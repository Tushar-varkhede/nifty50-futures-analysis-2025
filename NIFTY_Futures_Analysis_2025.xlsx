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8.xml.rels" ContentType="application/vnd.openxmlformats-package.relationships+xml"/>
  <Override PartName="/xl/worksheets/_rels/sheet5.xml.rels" ContentType="application/vnd.openxmlformats-package.relationships+xml"/>
  <Override PartName="/xl/worksheets/_rels/sheet13.xml.rels" ContentType="application/vnd.openxmlformats-package.relationships+xml"/>
  <Override PartName="/xl/worksheets/_rels/sheet1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Cover" sheetId="1" state="visible" r:id="rId3"/>
    <sheet name="Executive_Summary" sheetId="2" state="visible" r:id="rId4"/>
    <sheet name="Scope_and_Approach" sheetId="3" state="visible" r:id="rId5"/>
    <sheet name="Findings" sheetId="4" state="visible" r:id="rId6"/>
    <sheet name="Dashboard" sheetId="5" state="visible" r:id="rId7"/>
    <sheet name="Summary" sheetId="6" state="visible" r:id="rId8"/>
    <sheet name="Monthly_Summary" sheetId="7" state="visible" r:id="rId9"/>
    <sheet name="Expiry_Summary" sheetId="8" state="visible" r:id="rId10"/>
    <sheet name="Basis_Analysis" sheetId="9" state="visible" r:id="rId11"/>
    <sheet name="OI_Interpretation_Summary" sheetId="10" state="visible" r:id="rId12"/>
    <sheet name="Conclusion" sheetId="11" state="visible" r:id="rId13"/>
    <sheet name="NearMonth_Daily" sheetId="12" state="visible" r:id="rId14"/>
    <sheet name="Cleaned_Futures_Data" sheetId="13" state="visible" r:id="rId15"/>
  </sheets>
  <definedNames>
    <definedName function="false" hidden="true" localSheetId="12" name="_xlnm._FilterDatabase" vbProcedure="false">Cleaned_Futures_Data!$A$1:$AB$756</definedName>
    <definedName function="false" hidden="true" localSheetId="7" name="_xlnm._FilterDatabase" vbProcedure="false">Expiry_Summary!$A$1:$K$17</definedName>
    <definedName function="false" hidden="true" localSheetId="11" name="_xlnm._FilterDatabase" vbProcedure="false">NearMonth_Daily!$A$1:$I$250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<sst xmlns="http://schemas.openxmlformats.org/spreadsheetml/2006/main" count="1063" uniqueCount="275">
  <si>
    <t xml:space="preserve">NIFTY 50 Equity Derivatives – Futures Analysis</t>
  </si>
  <si>
    <t xml:space="preserve">Prepared by: Tushar Varkhede (MBA)</t>
  </si>
  <si>
    <t xml:space="preserve">Field</t>
  </si>
  <si>
    <t xml:space="preserve">Value</t>
  </si>
  <si>
    <t xml:space="preserve">Actual data period</t>
  </si>
  <si>
    <t xml:space="preserve">Source</t>
  </si>
  <si>
    <t xml:space="preserve">NSE NIFTY Index Futures CSV supplied by user</t>
  </si>
  <si>
    <t xml:space="preserve">Objective</t>
  </si>
  <si>
    <t xml:space="preserve">Describe how NIFTY index futures traded in 2025 – liquidity, basis (futures vs index), open interest and price–OI behaviour – and test whether simple price–OI labels carry any next-day information.</t>
  </si>
  <si>
    <t xml:space="preserve">Key questions</t>
  </si>
  <si>
    <t xml:space="preserve">1) Where does trading concentrate across contracts?  2) How does basis behave across tenor, time to expiry and month?  3) How does open interest roll between contracts?  4) Do price–OI labels predict the next day's move?</t>
  </si>
  <si>
    <t xml:space="preserve">Scope</t>
  </si>
  <si>
    <t xml:space="preserve">Futures price, basis, contracts, open interest and price–OI interpretation</t>
  </si>
  <si>
    <t xml:space="preserve">Limitation</t>
  </si>
  <si>
    <t xml:space="preserve">Options data is not included; this is a futures-only study. No interest-rate or dividend data, so carry is measured but not benchmarked.</t>
  </si>
  <si>
    <t xml:space="preserve">Method note</t>
  </si>
  <si>
    <t xml:space="preserve">Exact duplicate rows removed; repeated headers and blank rows excluded. Derived columns (basis, returns, OI interpretation) and all summary tables are live formulas on Cleaned_Futures_Data.</t>
  </si>
  <si>
    <t xml:space="preserve">Definitions</t>
  </si>
  <si>
    <t xml:space="preserve">Basis = futures close − underlying value (index points). Basis % = basis ÷ underlying. Annualised basis = Basis % × 365 ÷ days to expiry. Near month = contract with the earliest expiry on that date (Series Rank 1).</t>
  </si>
  <si>
    <t xml:space="preserve">OI interpretation rule</t>
  </si>
  <si>
    <t xml:space="preserve">Compared with the previous row of the same contract: price up &amp; OI up = Long buildup; price down &amp; OI up = Short buildup; price up &amp; OI down = Short covering; price down &amp; OI down = Long unwinding.</t>
  </si>
  <si>
    <t xml:space="preserve">Sheet guide</t>
  </si>
  <si>
    <t xml:space="preserve">Executive_Summary – overview and headline results | Scope_and_Approach – what was studied and how | Findings – detailed findings and data notes | Dashboard – charts and KPIs | Cleaned_Futures_Data – data plus derived/helper columns (blue headers V–AB are analysis helpers) | Summary, Monthly_Summary, Expiry_Summary, OI_Interpretation_Summary – tables | Basis_Analysis – basis by tenor, expiry proximity and OI rollover (holds the editable inputs) | NearMonth_Daily – daily near-month series | Conclusion – answers, limitations and next steps</t>
  </si>
  <si>
    <t xml:space="preserve">Editable inputs</t>
  </si>
  <si>
    <t xml:space="preserve">Basis_Analysis: expiry-week cutoff (B3), days-to-expiry bucket bounds and series rank bounds (blue text).</t>
  </si>
  <si>
    <t xml:space="preserve">Executive Summary</t>
  </si>
  <si>
    <t xml:space="preserve">NIFTY 50 Equity Derivatives – Futures Analysis 2025  |  Prepared by Tushar Varkhede (MBA)</t>
  </si>
  <si>
    <t xml:space="preserve">Executive summary</t>
  </si>
  <si>
    <t xml:space="preserve">Overview</t>
  </si>
  <si>
    <t xml:space="preserve">Headline results</t>
  </si>
  <si>
    <t xml:space="preserve">1. Liquidity</t>
  </si>
  <si>
    <t xml:space="preserve">2. Basis</t>
  </si>
  <si>
    <t xml:space="preserve">3. Open-interest rollover</t>
  </si>
  <si>
    <t xml:space="preserve">4. Price–OI labels</t>
  </si>
  <si>
    <t xml:space="preserve">Bottom line</t>
  </si>
  <si>
    <t xml:space="preserve">In 2025 NIFTY futures behaved as cost-of-carry pricing and an expiry-driven roll cycle would suggest. The price–OI labels are useful for describing what happened on a given day but should not be treated as a trading signal on this evidence.</t>
  </si>
  <si>
    <t xml:space="preserve">Scope and Approach</t>
  </si>
  <si>
    <t xml:space="preserve">In scope</t>
  </si>
  <si>
    <t xml:space="preserve">Out of scope</t>
  </si>
  <si>
    <t xml:space="preserve">Options, other indices and stock futures, intraday data, interest-rate and dividend data, and any trading-strategy test with costs.</t>
  </si>
  <si>
    <t xml:space="preserve">Data source</t>
  </si>
  <si>
    <t xml:space="preserve">NSE NIFTY Index Futures CSV supplied by the user. Exact duplicate rows were removed and repeated headers and blank rows excluded. The data was not re-verified against NSE directly.</t>
  </si>
  <si>
    <t xml:space="preserve">Data gaps</t>
  </si>
  <si>
    <t xml:space="preserve">Approach</t>
  </si>
  <si>
    <t xml:space="preserve">Step 1 – Prepare</t>
  </si>
  <si>
    <t xml:space="preserve">Add derived measures as live formulas on the cleaned data: basis (futures close minus index), basis %, days to expiry, daily price and open-interest changes, and the price–OI label.</t>
  </si>
  <si>
    <t xml:space="preserve">Step 2 – Near month</t>
  </si>
  <si>
    <t xml:space="preserve">Rank the listed expiries on each date. Rank 1 is the near-month contract and is used for like-for-like comparisons, because averaging across tenors mixes different basis levels.</t>
  </si>
  <si>
    <t xml:space="preserve">Step 3 – Basis</t>
  </si>
  <si>
    <t xml:space="preserve">Measure basis by contract series, by days to expiry and by month, and annualise it to get the carry rate implied by futures prices.</t>
  </si>
  <si>
    <t xml:space="preserve">Step 4 – Rollover</t>
  </si>
  <si>
    <t xml:space="preserve">Compare near- and next-month open interest as expiry approaches to see when positions roll.</t>
  </si>
  <si>
    <t xml:space="preserve">Step 5 – OI interpretation</t>
  </si>
  <si>
    <t xml:space="preserve">Label each day long buildup, short buildup, short covering or long unwinding from the direction of price and open interest against the previous day for the same contract.</t>
  </si>
  <si>
    <t xml:space="preserve">Step 6 – Signal test</t>
  </si>
  <si>
    <t xml:space="preserve">Step 7 – Present</t>
  </si>
  <si>
    <t xml:space="preserve">Summarise in the Findings sheet, dashboard charts and summary tables. Every figure is formula-linked to the cleaned data, so it updates if the data or inputs change.</t>
  </si>
  <si>
    <t xml:space="preserve">Key Findings</t>
  </si>
  <si>
    <t xml:space="preserve">Figures are formula-linked to the analysis sheets and update if the data or inputs change.</t>
  </si>
  <si>
    <t xml:space="preserve">#</t>
  </si>
  <si>
    <t xml:space="preserve">Theme</t>
  </si>
  <si>
    <t xml:space="preserve">Finding</t>
  </si>
  <si>
    <t xml:space="preserve">Evidence</t>
  </si>
  <si>
    <t xml:space="preserve">Liquidity concentration</t>
  </si>
  <si>
    <t xml:space="preserve">Basis_Analysis §2</t>
  </si>
  <si>
    <t xml:space="preserve">Basis and tenor</t>
  </si>
  <si>
    <t xml:space="preserve">Basis_Analysis §2; Summary</t>
  </si>
  <si>
    <t xml:space="preserve">Basis decay into expiry</t>
  </si>
  <si>
    <t xml:space="preserve">Basis_Analysis §1; Dashboard</t>
  </si>
  <si>
    <t xml:space="preserve">Implied carry</t>
  </si>
  <si>
    <t xml:space="preserve">Basis_Analysis B4</t>
  </si>
  <si>
    <t xml:space="preserve">Open-interest rollover</t>
  </si>
  <si>
    <t xml:space="preserve">Basis over the year</t>
  </si>
  <si>
    <t xml:space="preserve">Monthly_Summary col I; Dashboard</t>
  </si>
  <si>
    <t xml:space="preserve">Volume trend</t>
  </si>
  <si>
    <t xml:space="preserve">Monthly_Summary; NearMonth_Daily</t>
  </si>
  <si>
    <t xml:space="preserve">Peak open interest</t>
  </si>
  <si>
    <t xml:space="preserve">NearMonth_Daily; Dashboard</t>
  </si>
  <si>
    <t xml:space="preserve">OI classification mix</t>
  </si>
  <si>
    <t xml:space="preserve">OI_Interpretation_Summary</t>
  </si>
  <si>
    <t xml:space="preserve">Expiry-week distortion</t>
  </si>
  <si>
    <t xml:space="preserve">Do the labels predict?</t>
  </si>
  <si>
    <t xml:space="preserve">Limitations and data notes</t>
  </si>
  <si>
    <t xml:space="preserve">Topic</t>
  </si>
  <si>
    <t xml:space="preserve">Detail</t>
  </si>
  <si>
    <t xml:space="preserve">Count / value</t>
  </si>
  <si>
    <t xml:space="preserve">No-trade rows</t>
  </si>
  <si>
    <t xml:space="preserve">Contract listed but with no prices, volume or OI on that date; kept in the data but excluded from averages.</t>
  </si>
  <si>
    <t xml:space="preserve">Missing underlying</t>
  </si>
  <si>
    <t xml:space="preserve">Rows that have prices but no index value in the source file, so basis cannot be computed.</t>
  </si>
  <si>
    <t xml:space="preserve">Not classified</t>
  </si>
  <si>
    <t xml:space="preserve">Rows with no previous-day price/OI for the same contract (first observation of each expiry or a no-trade row lacking prior price/OI inputs).</t>
  </si>
  <si>
    <t xml:space="preserve">Neutral</t>
  </si>
  <si>
    <t xml:space="preserve">Close price exactly unchanged, so no price direction to label.</t>
  </si>
  <si>
    <t xml:space="preserve">Partial expiries</t>
  </si>
  <si>
    <t xml:space="preserve">Expiries listed before 01-Jan-2025 or running past 31-Dec-2025 are only partly observed (see Expiry_Summary).</t>
  </si>
  <si>
    <t xml:space="preserve">Futures only</t>
  </si>
  <si>
    <t xml:space="preserve">No options data, interest-rate or dividend data was used, so carry/mispricing and put-call analysis are out of scope.</t>
  </si>
  <si>
    <t xml:space="preserve">Source not re-verified</t>
  </si>
  <si>
    <t xml:space="preserve">Data is the NSE-format CSV supplied by the user; it was cleaned (exact duplicates removed) but not reconciled to NSE directly.</t>
  </si>
  <si>
    <t xml:space="preserve">Units</t>
  </si>
  <si>
    <t xml:space="preserve">Basis % is stored as a fraction (shown as %). Close Return % and OI Change % are in percentage points. Turnover is in ₹ lakhs.</t>
  </si>
  <si>
    <t xml:space="preserve">NIFTY Futures Dashboard</t>
  </si>
  <si>
    <t xml:space="preserve">Key metric</t>
  </si>
  <si>
    <t xml:space="preserve">Trading dates</t>
  </si>
  <si>
    <t xml:space="preserve">Contract-day records</t>
  </si>
  <si>
    <t xml:space="preserve">Expiries in data</t>
  </si>
  <si>
    <t xml:space="preserve">Total contracts (mn)</t>
  </si>
  <si>
    <t xml:space="preserve">Total turnover (₹ lakh crore)</t>
  </si>
  <si>
    <t xml:space="preserve">Near-month share of contracts</t>
  </si>
  <si>
    <t xml:space="preserve">Near-month avg basis (pts)</t>
  </si>
  <si>
    <t xml:space="preserve">Near-month annualised basis</t>
  </si>
  <si>
    <t xml:space="preserve">Peak near-month OI (mn)</t>
  </si>
  <si>
    <t xml:space="preserve">Peak OI date</t>
  </si>
  <si>
    <t xml:space="preserve">Conclusions: see the Findings sheet.</t>
  </si>
  <si>
    <t xml:space="preserve">NM = near month (earliest listed expiry on each date).</t>
  </si>
  <si>
    <t xml:space="preserve">Metric</t>
  </si>
  <si>
    <t xml:space="preserve">Data start</t>
  </si>
  <si>
    <t xml:space="preserve">Data end</t>
  </si>
  <si>
    <t xml:space="preserve">Cleaned records</t>
  </si>
  <si>
    <t xml:space="preserve">Unique trading dates</t>
  </si>
  <si>
    <t xml:space="preserve">Unique expiries</t>
  </si>
  <si>
    <t xml:space="preserve">Valid basis records</t>
  </si>
  <si>
    <t xml:space="preserve">Basis average</t>
  </si>
  <si>
    <t xml:space="preserve">Basis minimum</t>
  </si>
  <si>
    <t xml:space="preserve">Basis maximum</t>
  </si>
  <si>
    <t xml:space="preserve">Total contracts</t>
  </si>
  <si>
    <t xml:space="preserve">Total turnover (₹ Lakhs)</t>
  </si>
  <si>
    <t xml:space="preserve">OI classified records</t>
  </si>
  <si>
    <t xml:space="preserve">Near-month (front-series) metrics</t>
  </si>
  <si>
    <t xml:space="preserve">Near-month observations</t>
  </si>
  <si>
    <t xml:space="preserve">Near-month basis average (pts)</t>
  </si>
  <si>
    <t xml:space="preserve">Near-month basis average (%)</t>
  </si>
  <si>
    <t xml:space="preserve">Near-month annualised basis (DTE &gt; cutoff)</t>
  </si>
  <si>
    <t xml:space="preserve">Peak near-month open interest</t>
  </si>
  <si>
    <t xml:space="preserve">Peak open interest date</t>
  </si>
  <si>
    <t xml:space="preserve">Basis average above (row 8) blends near, next and far contracts. Use the near-month figures for a like-for-like view.</t>
  </si>
  <si>
    <t xml:space="preserve">Month</t>
  </si>
  <si>
    <t xml:space="preserve">Observations</t>
  </si>
  <si>
    <t xml:space="preserve">Total_Contracts</t>
  </si>
  <si>
    <t xml:space="preserve">Avg_OI</t>
  </si>
  <si>
    <t xml:space="preserve">Avg_Basis</t>
  </si>
  <si>
    <t xml:space="preserve">Turnover_Lakhs</t>
  </si>
  <si>
    <t xml:space="preserve">NM_Contracts</t>
  </si>
  <si>
    <t xml:space="preserve">NM_Share_of_Contracts</t>
  </si>
  <si>
    <t xml:space="preserve">NM_Avg_Basis</t>
  </si>
  <si>
    <t xml:space="preserve">NM_Avg_Basis_%</t>
  </si>
  <si>
    <t xml:space="preserve">NM_Avg_OI</t>
  </si>
  <si>
    <t xml:space="preserve">2025-01</t>
  </si>
  <si>
    <t xml:space="preserve">2025-02</t>
  </si>
  <si>
    <t xml:space="preserve">2025-03</t>
  </si>
  <si>
    <t xml:space="preserve">2025-04</t>
  </si>
  <si>
    <t xml:space="preserve">2025-05</t>
  </si>
  <si>
    <t xml:space="preserve">2025-06</t>
  </si>
  <si>
    <t xml:space="preserve">2025-07</t>
  </si>
  <si>
    <t xml:space="preserve">2025-08</t>
  </si>
  <si>
    <t xml:space="preserve">2025-09</t>
  </si>
  <si>
    <t xml:space="preserve">2025-10</t>
  </si>
  <si>
    <t xml:space="preserve">2025-11</t>
  </si>
  <si>
    <t xml:space="preserve">2025-12</t>
  </si>
  <si>
    <t xml:space="preserve">Total / overall</t>
  </si>
  <si>
    <t xml:space="preserve">Months are text keys (yyyy-mm). Columns B–F use all series (as in the original workbook); columns G–K restrict to the near-month contract (Series Rank = 1). Basis averages ignore rows with no underlying value.</t>
  </si>
  <si>
    <t xml:space="preserve">Expiry</t>
  </si>
  <si>
    <t xml:space="preserve">Avg_Futures_Close</t>
  </si>
  <si>
    <t xml:space="preserve">Avg_Underlying</t>
  </si>
  <si>
    <t xml:space="preserve">Avg_Basis_Pct</t>
  </si>
  <si>
    <t xml:space="preserve">Max_OI</t>
  </si>
  <si>
    <t xml:space="preserve">Min_OI</t>
  </si>
  <si>
    <t xml:space="preserve">Data_Coverage</t>
  </si>
  <si>
    <t xml:space="preserve">Coverage flag: expiries listed before 01-Jan-2025 or still running after 31-Dec-2025 are only partly observed, so their averages are not comparable with full-life expiries (e.g. Mar-2026 has one row). Sep-2025 shows two expiries (25-Sep and 30-Sep) in the source data.</t>
  </si>
  <si>
    <t xml:space="preserve">Basis &amp; Rollover Analysis</t>
  </si>
  <si>
    <t xml:space="preserve">Expiry-week cutoff (days to expiry)</t>
  </si>
  <si>
    <t xml:space="preserve">Input. Rows with Days to Expiry ≤ this value are treated as expiry week; the signal test on the OI_Interpretation_Summary sheet excludes them because OI falls mechanically as contracts expire.</t>
  </si>
  <si>
    <t xml:space="preserve">Annualised basis = Basis % × 365 ÷ Days to Expiry: the carry rate implied by the futures price. No interest-rate or dividend data was supplied, so it is not benchmarked here.</t>
  </si>
  <si>
    <t xml:space="preserve">1. Near-month basis by days to expiry</t>
  </si>
  <si>
    <t xml:space="preserve">Days-to-expiry bucket</t>
  </si>
  <si>
    <t xml:space="preserve">From (DTE)</t>
  </si>
  <si>
    <t xml:space="preserve">To (DTE)</t>
  </si>
  <si>
    <t xml:space="preserve">Avg Basis (pts)</t>
  </si>
  <si>
    <t xml:space="preserve">Avg Basis %</t>
  </si>
  <si>
    <t xml:space="preserve">Avg Annualised Basis %</t>
  </si>
  <si>
    <t xml:space="preserve">Avg Near-Month OI</t>
  </si>
  <si>
    <t xml:space="preserve">Avg Next-Month OI</t>
  </si>
  <si>
    <t xml:space="preserve">Near-Month Share of Near+Next OI</t>
  </si>
  <si>
    <t xml:space="preserve">Expiry day (0)</t>
  </si>
  <si>
    <t xml:space="preserve">1–5 days</t>
  </si>
  <si>
    <t xml:space="preserve">6–10 days</t>
  </si>
  <si>
    <t xml:space="preserve">11–15 days</t>
  </si>
  <si>
    <t xml:space="preserve">16–20 days</t>
  </si>
  <si>
    <t xml:space="preserve">21+ days</t>
  </si>
  <si>
    <t xml:space="preserve">Note: annualising very short tenors (≤5 days) is noisy because a small basis is divided by a small number of days. Near-month OI share = average of the daily ratio OI(near) ÷ [OI(near)+OI(next)].</t>
  </si>
  <si>
    <t xml:space="preserve">2. Basis and liquidity by contract series</t>
  </si>
  <si>
    <t xml:space="preserve">Series</t>
  </si>
  <si>
    <t xml:space="preserve">Rank from</t>
  </si>
  <si>
    <t xml:space="preserve">Rank to</t>
  </si>
  <si>
    <t xml:space="preserve">Total Contracts</t>
  </si>
  <si>
    <t xml:space="preserve">Share of Contracts</t>
  </si>
  <si>
    <t xml:space="preserve">Avg Open Interest</t>
  </si>
  <si>
    <t xml:space="preserve">Near month</t>
  </si>
  <si>
    <t xml:space="preserve">Next month</t>
  </si>
  <si>
    <t xml:space="preserve">Far month (3+)</t>
  </si>
  <si>
    <t xml:space="preserve">Note: the all-series average basis on the Summary sheet blends these three tenors, so it is higher than, and not comparable with, the near-month figure. Rank counts listed expiries per date (on a few dates in Sep-2025 four or five expiries were listed).</t>
  </si>
  <si>
    <t xml:space="preserve">Blue = editable input (bucket bounds, rank bounds, cutoff). Everything else is formula-driven from Cleaned_Futures_Data.</t>
  </si>
  <si>
    <t xml:space="preserve">Interpretation</t>
  </si>
  <si>
    <t xml:space="preserve">Share of Records</t>
  </si>
  <si>
    <t xml:space="preserve">Rule (vs previous row, same contract)</t>
  </si>
  <si>
    <t xml:space="preserve">Short buildup (interpretation)</t>
  </si>
  <si>
    <t xml:space="preserve">Price down, open interest up</t>
  </si>
  <si>
    <t xml:space="preserve">Long buildup (interpretation)</t>
  </si>
  <si>
    <t xml:space="preserve">Price up, open interest up</t>
  </si>
  <si>
    <t xml:space="preserve">Short covering (interpretation)</t>
  </si>
  <si>
    <t xml:space="preserve">Price up, open interest down</t>
  </si>
  <si>
    <t xml:space="preserve">Long unwinding (interpretation)</t>
  </si>
  <si>
    <t xml:space="preserve">Price down, open interest down</t>
  </si>
  <si>
    <t xml:space="preserve">No previous-day price/OI for the same contract (first observation of each expiry or a no-trade row lacking prior price/OI inputs)</t>
  </si>
  <si>
    <t xml:space="preserve">Close price unchanged vs previous day</t>
  </si>
  <si>
    <t xml:space="preserve">Total</t>
  </si>
  <si>
    <t xml:space="preserve">Signal test: near-month contract, outside expiry week</t>
  </si>
  <si>
    <t xml:space="preserve">Avg Same-Day Return %</t>
  </si>
  <si>
    <t xml:space="preserve">Avg Next-Day Return %</t>
  </si>
  <si>
    <t xml:space="preserve">% of Days Next Close Higher</t>
  </si>
  <si>
    <t xml:space="preserve">All labelled days</t>
  </si>
  <si>
    <t xml:space="preserve">Expiry-week effect (near-month, classified rows with Days to Expiry ≤ cutoff)</t>
  </si>
  <si>
    <t xml:space="preserve">Classified near-month rows in expiry week</t>
  </si>
  <si>
    <t xml:space="preserve">…of which Long unwinding or Short covering (OI falling)</t>
  </si>
  <si>
    <t xml:space="preserve">Share</t>
  </si>
  <si>
    <t xml:space="preserve">Reading: with only tens of observations per label, and next-day "up" rates near a coin flip, these labels describe what happened on the day; they are not evidence of a tradable edge. No costs, slippage or out-of-sample test were applied.</t>
  </si>
  <si>
    <t xml:space="preserve">Conclusion</t>
  </si>
  <si>
    <t xml:space="preserve">Answers to the key questions</t>
  </si>
  <si>
    <t xml:space="preserve">Where does trading concentrate?</t>
  </si>
  <si>
    <t xml:space="preserve">How does basis behave?</t>
  </si>
  <si>
    <t xml:space="preserve">How does open interest roll?</t>
  </si>
  <si>
    <t xml:space="preserve">Do price–OI labels predict?</t>
  </si>
  <si>
    <t xml:space="preserve">Conclusion and next steps</t>
  </si>
  <si>
    <t xml:space="preserve">Overall conclusion</t>
  </si>
  <si>
    <t xml:space="preserve">The 2025 NIFTY futures market looks orderly and consistent with textbook pricing: liquidity is concentrated in the front contract, basis converges to the index at expiry and open interest rolls forward on a regular cycle. Price–OI labels are a descriptive tool, not a trading signal.</t>
  </si>
  <si>
    <t xml:space="preserve">Limitations</t>
  </si>
  <si>
    <t xml:space="preserve">One year of data; futures only; implied carry is not benchmarked against interest rates or dividends; no transaction costs; the source file was not reconciled to NSE; label tests rest on small samples.</t>
  </si>
  <si>
    <t xml:space="preserve">Suggested next steps</t>
  </si>
  <si>
    <t xml:space="preserve">(1) Add interest-rate and dividend data to test whether futures were fairly priced. (2) Extend the study to more years. (3) Add options data, for example a put–call ratio, alongside futures open interest.</t>
  </si>
  <si>
    <t xml:space="preserve">Date</t>
  </si>
  <si>
    <t xml:space="preserve">Near-Month Expiry</t>
  </si>
  <si>
    <t xml:space="preserve">Days to Expiry</t>
  </si>
  <si>
    <t xml:space="preserve">Futures Close</t>
  </si>
  <si>
    <t xml:space="preserve">Underlying</t>
  </si>
  <si>
    <t xml:space="preserve">Basis (pts)</t>
  </si>
  <si>
    <t xml:space="preserve">Near-Month Contracts</t>
  </si>
  <si>
    <t xml:space="preserve">Near-Month OI</t>
  </si>
  <si>
    <t xml:space="preserve">All-Series Contracts</t>
  </si>
  <si>
    <t xml:space="preserve">One row per trading date (dates listed as keys); every other column is a formula on Cleaned_Futures_Data. Near month = earliest listed expiry on that date. Underlying is blank on dates where the source file has no index value.</t>
  </si>
  <si>
    <t xml:space="preserve">Symbol</t>
  </si>
  <si>
    <t xml:space="preserve">Open</t>
  </si>
  <si>
    <t xml:space="preserve">High</t>
  </si>
  <si>
    <t xml:space="preserve">Low</t>
  </si>
  <si>
    <t xml:space="preserve">Close</t>
  </si>
  <si>
    <t xml:space="preserve">LTP</t>
  </si>
  <si>
    <t xml:space="preserve">Settle Price</t>
  </si>
  <si>
    <t xml:space="preserve">No. of contracts</t>
  </si>
  <si>
    <t xml:space="preserve">Turnover * in   ₹ Lakhs</t>
  </si>
  <si>
    <t xml:space="preserve">Open Int</t>
  </si>
  <si>
    <t xml:space="preserve">Change in OI</t>
  </si>
  <si>
    <t xml:space="preserve">Underlying Value</t>
  </si>
  <si>
    <t xml:space="preserve">Basis</t>
  </si>
  <si>
    <t xml:space="preserve">Basis %</t>
  </si>
  <si>
    <t xml:space="preserve">Close Return %</t>
  </si>
  <si>
    <t xml:space="preserve">OI Change %</t>
  </si>
  <si>
    <t xml:space="preserve">Price Change</t>
  </si>
  <si>
    <t xml:space="preserve">OI Interpretation</t>
  </si>
  <si>
    <t xml:space="preserve">Series Rank (1=near)</t>
  </si>
  <si>
    <t xml:space="preserve">Annualised Basis %</t>
  </si>
  <si>
    <t xml:space="preserve">Next-Day Return %</t>
  </si>
  <si>
    <t xml:space="preserve">Signal Sample (1/0)</t>
  </si>
  <si>
    <t xml:space="preserve">Next-Series OI</t>
  </si>
  <si>
    <t xml:space="preserve">Near-Month OI Share</t>
  </si>
  <si>
    <t xml:space="preserve">NIFTY</t>
  </si>
</sst>
</file>

<file path=xl/styles.xml><?xml version="1.0" encoding="utf-8"?>
<styleSheet xmlns="http://schemas.openxmlformats.org/spreadsheetml/2006/main">
  <numFmts count="12">
    <numFmt numFmtId="164" formatCode="General"/>
    <numFmt numFmtId="165" formatCode="#,##0"/>
    <numFmt numFmtId="166" formatCode="0.0"/>
    <numFmt numFmtId="167" formatCode="0.0%"/>
    <numFmt numFmtId="168" formatCode="dd\-mmm\-yyyy"/>
    <numFmt numFmtId="169" formatCode="0.0,,\M"/>
    <numFmt numFmtId="170" formatCode="0%"/>
    <numFmt numFmtId="171" formatCode="0.00"/>
    <numFmt numFmtId="172" formatCode="#,##0.00"/>
    <numFmt numFmtId="173" formatCode="0.000%"/>
    <numFmt numFmtId="174" formatCode="0"/>
    <numFmt numFmtId="175" formatCode="0.00%"/>
  </numFmts>
  <fonts count="19">
    <font>
      <sz val="11"/>
      <color theme="1"/>
      <name val="Calibri"/>
      <family val="2"/>
      <charset val="1"/>
    </font>
    <font>
      <sz val="10"/>
      <name val="Arial"/>
      <family val="0"/>
    </font>
    <font>
      <sz val="10"/>
      <name val="Arial"/>
      <family val="0"/>
    </font>
    <font>
      <sz val="10"/>
      <name val="Arial"/>
      <family val="0"/>
    </font>
    <font>
      <b val="true"/>
      <sz val="24"/>
      <color rgb="FFFFFFFF"/>
      <name val="Calibri"/>
      <family val="0"/>
      <charset val="1"/>
    </font>
    <font>
      <b val="true"/>
      <sz val="18"/>
      <color rgb="FF1F4E78"/>
      <name val="Calibri"/>
      <family val="0"/>
      <charset val="1"/>
    </font>
    <font>
      <i val="true"/>
      <sz val="12"/>
      <color rgb="FF595959"/>
      <name val="Calibri"/>
      <family val="0"/>
      <charset val="1"/>
    </font>
    <font>
      <b val="true"/>
      <sz val="11"/>
      <color rgb="FFFFFFFF"/>
      <name val="Calibri"/>
      <family val="0"/>
      <charset val="1"/>
    </font>
    <font>
      <b val="true"/>
      <sz val="11"/>
      <name val="Calibri"/>
      <family val="0"/>
      <charset val="1"/>
    </font>
    <font>
      <sz val="11"/>
      <name val="Calibri"/>
      <family val="0"/>
      <charset val="1"/>
    </font>
    <font>
      <b val="true"/>
      <sz val="16"/>
      <color rgb="FF1F4E78"/>
      <name val="Calibri"/>
      <family val="0"/>
      <charset val="1"/>
    </font>
    <font>
      <i val="true"/>
      <sz val="10"/>
      <color rgb="FF595959"/>
      <name val="Calibri"/>
      <family val="0"/>
      <charset val="1"/>
    </font>
    <font>
      <b val="true"/>
      <sz val="14"/>
      <color rgb="FF1F4E78"/>
      <name val="Calibri"/>
      <family val="0"/>
      <charset val="1"/>
    </font>
    <font>
      <b val="true"/>
      <sz val="16"/>
      <color rgb="FFFFFFFF"/>
      <name val="Calibri"/>
      <family val="0"/>
      <charset val="1"/>
    </font>
    <font>
      <b val="true"/>
      <sz val="18"/>
      <color rgb="FF000000"/>
      <name val="Calibri"/>
      <family val="2"/>
    </font>
    <font>
      <sz val="10"/>
      <color rgb="FF000000"/>
      <name val="Calibri"/>
      <family val="2"/>
    </font>
    <font>
      <b val="true"/>
      <sz val="10"/>
      <color rgb="FF000000"/>
      <name val="Calibri"/>
      <family val="2"/>
    </font>
    <font>
      <b val="true"/>
      <sz val="11"/>
      <color rgb="FFFFFFFF"/>
      <name val="Cambria"/>
      <family val="0"/>
      <charset val="1"/>
    </font>
    <font>
      <sz val="11"/>
      <color rgb="FF0000FF"/>
      <name val="Calibri"/>
      <family val="0"/>
      <charset val="1"/>
    </font>
  </fonts>
  <fills count="6">
    <fill>
      <patternFill patternType="none"/>
    </fill>
    <fill>
      <patternFill patternType="gray125"/>
    </fill>
    <fill>
      <patternFill patternType="solid">
        <fgColor rgb="FF1F4E78"/>
        <bgColor rgb="FF003366"/>
      </patternFill>
    </fill>
    <fill>
      <patternFill patternType="solid">
        <fgColor rgb="FFDDEBF7"/>
        <bgColor rgb="FFD9D9D9"/>
      </patternFill>
    </fill>
    <fill>
      <patternFill patternType="solid">
        <fgColor rgb="FFFFFF00"/>
        <bgColor rgb="FFFFFF00"/>
      </patternFill>
    </fill>
    <fill>
      <patternFill patternType="solid">
        <fgColor rgb="FF2E75B6"/>
        <bgColor rgb="FF0066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right" vertical="bottom" textRotation="0" wrapText="false" indent="0" shrinkToFit="false"/>
      <protection locked="true" hidden="false"/>
    </xf>
    <xf numFmtId="166" fontId="9" fillId="0" borderId="1" xfId="0" applyFont="true" applyBorder="true" applyAlignment="true" applyProtection="false">
      <alignment horizontal="right" vertical="bottom" textRotation="0" wrapText="false" indent="0" shrinkToFit="false"/>
      <protection locked="true" hidden="false"/>
    </xf>
    <xf numFmtId="167" fontId="9" fillId="0" borderId="1" xfId="0" applyFont="true" applyBorder="true" applyAlignment="true" applyProtection="false">
      <alignment horizontal="right" vertical="bottom" textRotation="0" wrapText="false" indent="0" shrinkToFit="false"/>
      <protection locked="true" hidden="false"/>
    </xf>
    <xf numFmtId="168" fontId="9" fillId="0" borderId="1" xfId="0" applyFont="true" applyBorder="true" applyAlignment="true" applyProtection="false">
      <alignment horizontal="right" vertical="bottom" textRotation="0" wrapText="false" indent="0" shrinkToFit="false"/>
      <protection locked="true" hidden="false"/>
    </xf>
    <xf numFmtId="164" fontId="17" fillId="2" borderId="0" xfId="0" applyFont="true" applyBorder="false" applyAlignment="true" applyProtection="false">
      <alignment horizontal="center" vertical="bottom" textRotation="0" wrapText="false" indent="0" shrinkToFit="false"/>
      <protection locked="true" hidden="false"/>
    </xf>
    <xf numFmtId="168" fontId="9" fillId="0" borderId="1" xfId="0" applyFont="tru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71" fontId="9" fillId="0" borderId="1" xfId="0" applyFont="true" applyBorder="true" applyAlignment="true" applyProtection="false">
      <alignment horizontal="general" vertical="bottom" textRotation="0" wrapText="false" indent="0" shrinkToFit="false"/>
      <protection locked="true" hidden="false"/>
    </xf>
    <xf numFmtId="172" fontId="9" fillId="0" borderId="1" xfId="0" applyFont="true" applyBorder="true" applyAlignment="tru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general" vertical="bottom" textRotation="0" wrapText="false" indent="0" shrinkToFit="false"/>
      <protection locked="true" hidden="false"/>
    </xf>
    <xf numFmtId="173" fontId="9" fillId="0"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74" fontId="9"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74" fontId="8"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72" fontId="8"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18" fillId="4" borderId="1" xfId="0" applyFont="true" applyBorder="true" applyAlignment="tru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general" vertical="bottom" textRotation="0" wrapText="false" indent="0" shrinkToFit="false"/>
      <protection locked="true" hidden="false"/>
    </xf>
    <xf numFmtId="171" fontId="8" fillId="0"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74" fontId="9" fillId="0" borderId="0" xfId="0" applyFont="tru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71" fontId="9"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75" fontId="9" fillId="0"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2E75B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F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ED7D31"/>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Near-month futures close</a:t>
            </a:r>
          </a:p>
        </c:rich>
      </c:tx>
      <c:overlay val="0"/>
      <c:spPr>
        <a:noFill/>
        <a:ln w="0">
          <a:noFill/>
        </a:ln>
      </c:spPr>
    </c:title>
    <c:autoTitleDeleted val="0"/>
    <c:plotArea>
      <c:lineChart>
        <c:grouping val="standard"/>
        <c:varyColors val="0"/>
        <c:ser>
          <c:idx val="0"/>
          <c:order val="0"/>
          <c:tx>
            <c:strRef>
              <c:f>NearMonth_Daily!D1</c:f>
              <c:strCache>
                <c:ptCount val="1"/>
                <c:pt idx="0">
                  <c:v>Futures Close</c:v>
                </c:pt>
              </c:strCache>
            </c:strRef>
          </c:tx>
          <c:spPr>
            <a:solidFill>
              <a:srgbClr val="1f4e78"/>
            </a:solidFill>
            <a:ln w="19080">
              <a:solidFill>
                <a:srgbClr val="1f4e78"/>
              </a:solidFill>
              <a:round/>
            </a:ln>
          </c:spPr>
          <c:marker>
            <c:symbol val="none"/>
          </c:marker>
          <c:dLbls>
            <c:txPr>
              <a:bodyPr wrap="square"/>
              <a:lstStyle/>
              <a:p>
                <a:pPr>
                  <a:defRPr b="0" sz="1000" strike="noStrike" u="none">
                    <a:solidFill>
                      <a:srgbClr val="000000"/>
                    </a:solidFill>
                    <a:uFillTx/>
                    <a:latin typeface="Arial"/>
                  </a:defRPr>
                </a:pPr>
              </a:p>
            </c:txPr>
            <c:dLblPos val="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cat>
            <c:strRef>
              <c:f>NearMonth_Daily!$A$2:$A$250</c:f>
              <c:strCache>
                <c:ptCount val="249"/>
                <c:pt idx="0">
                  <c:v>01-Jan-2025</c:v>
                </c:pt>
                <c:pt idx="1">
                  <c:v>02-Jan-2025</c:v>
                </c:pt>
                <c:pt idx="2">
                  <c:v>03-Jan-2025</c:v>
                </c:pt>
                <c:pt idx="3">
                  <c:v>06-Jan-2025</c:v>
                </c:pt>
                <c:pt idx="4">
                  <c:v>07-Jan-2025</c:v>
                </c:pt>
                <c:pt idx="5">
                  <c:v>08-Jan-2025</c:v>
                </c:pt>
                <c:pt idx="6">
                  <c:v>09-Jan-2025</c:v>
                </c:pt>
                <c:pt idx="7">
                  <c:v>10-Jan-2025</c:v>
                </c:pt>
                <c:pt idx="8">
                  <c:v>13-Jan-2025</c:v>
                </c:pt>
                <c:pt idx="9">
                  <c:v>14-Jan-2025</c:v>
                </c:pt>
                <c:pt idx="10">
                  <c:v>15-Jan-2025</c:v>
                </c:pt>
                <c:pt idx="11">
                  <c:v>16-Jan-2025</c:v>
                </c:pt>
                <c:pt idx="12">
                  <c:v>17-Jan-2025</c:v>
                </c:pt>
                <c:pt idx="13">
                  <c:v>20-Jan-2025</c:v>
                </c:pt>
                <c:pt idx="14">
                  <c:v>21-Jan-2025</c:v>
                </c:pt>
                <c:pt idx="15">
                  <c:v>22-Jan-2025</c:v>
                </c:pt>
                <c:pt idx="16">
                  <c:v>23-Jan-2025</c:v>
                </c:pt>
                <c:pt idx="17">
                  <c:v>24-Jan-2025</c:v>
                </c:pt>
                <c:pt idx="18">
                  <c:v>27-Jan-2025</c:v>
                </c:pt>
                <c:pt idx="19">
                  <c:v>28-Jan-2025</c:v>
                </c:pt>
                <c:pt idx="20">
                  <c:v>29-Jan-2025</c:v>
                </c:pt>
                <c:pt idx="21">
                  <c:v>30-Jan-2025</c:v>
                </c:pt>
                <c:pt idx="22">
                  <c:v>31-Jan-2025</c:v>
                </c:pt>
                <c:pt idx="23">
                  <c:v>01-Feb-2025</c:v>
                </c:pt>
                <c:pt idx="24">
                  <c:v>03-Feb-2025</c:v>
                </c:pt>
                <c:pt idx="25">
                  <c:v>04-Feb-2025</c:v>
                </c:pt>
                <c:pt idx="26">
                  <c:v>05-Feb-2025</c:v>
                </c:pt>
                <c:pt idx="27">
                  <c:v>06-Feb-2025</c:v>
                </c:pt>
                <c:pt idx="28">
                  <c:v>07-Feb-2025</c:v>
                </c:pt>
                <c:pt idx="29">
                  <c:v>10-Feb-2025</c:v>
                </c:pt>
                <c:pt idx="30">
                  <c:v>11-Feb-2025</c:v>
                </c:pt>
                <c:pt idx="31">
                  <c:v>12-Feb-2025</c:v>
                </c:pt>
                <c:pt idx="32">
                  <c:v>13-Feb-2025</c:v>
                </c:pt>
                <c:pt idx="33">
                  <c:v>14-Feb-2025</c:v>
                </c:pt>
                <c:pt idx="34">
                  <c:v>17-Feb-2025</c:v>
                </c:pt>
                <c:pt idx="35">
                  <c:v>18-Feb-2025</c:v>
                </c:pt>
                <c:pt idx="36">
                  <c:v>19-Feb-2025</c:v>
                </c:pt>
                <c:pt idx="37">
                  <c:v>20-Feb-2025</c:v>
                </c:pt>
                <c:pt idx="38">
                  <c:v>21-Feb-2025</c:v>
                </c:pt>
                <c:pt idx="39">
                  <c:v>24-Feb-2025</c:v>
                </c:pt>
                <c:pt idx="40">
                  <c:v>25-Feb-2025</c:v>
                </c:pt>
                <c:pt idx="41">
                  <c:v>27-Feb-2025</c:v>
                </c:pt>
                <c:pt idx="42">
                  <c:v>28-Feb-2025</c:v>
                </c:pt>
                <c:pt idx="43">
                  <c:v>03-Mar-2025</c:v>
                </c:pt>
                <c:pt idx="44">
                  <c:v>04-Mar-2025</c:v>
                </c:pt>
                <c:pt idx="45">
                  <c:v>05-Mar-2025</c:v>
                </c:pt>
                <c:pt idx="46">
                  <c:v>06-Mar-2025</c:v>
                </c:pt>
                <c:pt idx="47">
                  <c:v>07-Mar-2025</c:v>
                </c:pt>
                <c:pt idx="48">
                  <c:v>10-Mar-2025</c:v>
                </c:pt>
                <c:pt idx="49">
                  <c:v>11-Mar-2025</c:v>
                </c:pt>
                <c:pt idx="50">
                  <c:v>12-Mar-2025</c:v>
                </c:pt>
                <c:pt idx="51">
                  <c:v>13-Mar-2025</c:v>
                </c:pt>
                <c:pt idx="52">
                  <c:v>17-Mar-2025</c:v>
                </c:pt>
                <c:pt idx="53">
                  <c:v>18-Mar-2025</c:v>
                </c:pt>
                <c:pt idx="54">
                  <c:v>19-Mar-2025</c:v>
                </c:pt>
                <c:pt idx="55">
                  <c:v>20-Mar-2025</c:v>
                </c:pt>
                <c:pt idx="56">
                  <c:v>21-Mar-2025</c:v>
                </c:pt>
                <c:pt idx="57">
                  <c:v>24-Mar-2025</c:v>
                </c:pt>
                <c:pt idx="58">
                  <c:v>25-Mar-2025</c:v>
                </c:pt>
                <c:pt idx="59">
                  <c:v>26-Mar-2025</c:v>
                </c:pt>
                <c:pt idx="60">
                  <c:v>27-Mar-2025</c:v>
                </c:pt>
                <c:pt idx="61">
                  <c:v>28-Mar-2025</c:v>
                </c:pt>
                <c:pt idx="62">
                  <c:v>01-Apr-2025</c:v>
                </c:pt>
                <c:pt idx="63">
                  <c:v>02-Apr-2025</c:v>
                </c:pt>
                <c:pt idx="64">
                  <c:v>03-Apr-2025</c:v>
                </c:pt>
                <c:pt idx="65">
                  <c:v>04-Apr-2025</c:v>
                </c:pt>
                <c:pt idx="66">
                  <c:v>07-Apr-2025</c:v>
                </c:pt>
                <c:pt idx="67">
                  <c:v>08-Apr-2025</c:v>
                </c:pt>
                <c:pt idx="68">
                  <c:v>09-Apr-2025</c:v>
                </c:pt>
                <c:pt idx="69">
                  <c:v>11-Apr-2025</c:v>
                </c:pt>
                <c:pt idx="70">
                  <c:v>15-Apr-2025</c:v>
                </c:pt>
                <c:pt idx="71">
                  <c:v>16-Apr-2025</c:v>
                </c:pt>
                <c:pt idx="72">
                  <c:v>17-Apr-2025</c:v>
                </c:pt>
                <c:pt idx="73">
                  <c:v>21-Apr-2025</c:v>
                </c:pt>
                <c:pt idx="74">
                  <c:v>22-Apr-2025</c:v>
                </c:pt>
                <c:pt idx="75">
                  <c:v>23-Apr-2025</c:v>
                </c:pt>
                <c:pt idx="76">
                  <c:v>24-Apr-2025</c:v>
                </c:pt>
                <c:pt idx="77">
                  <c:v>25-Apr-2025</c:v>
                </c:pt>
                <c:pt idx="78">
                  <c:v>28-Apr-2025</c:v>
                </c:pt>
                <c:pt idx="79">
                  <c:v>29-Apr-2025</c:v>
                </c:pt>
                <c:pt idx="80">
                  <c:v>30-Apr-2025</c:v>
                </c:pt>
                <c:pt idx="81">
                  <c:v>02-May-2025</c:v>
                </c:pt>
                <c:pt idx="82">
                  <c:v>05-May-2025</c:v>
                </c:pt>
                <c:pt idx="83">
                  <c:v>06-May-2025</c:v>
                </c:pt>
                <c:pt idx="84">
                  <c:v>07-May-2025</c:v>
                </c:pt>
                <c:pt idx="85">
                  <c:v>08-May-2025</c:v>
                </c:pt>
                <c:pt idx="86">
                  <c:v>09-May-2025</c:v>
                </c:pt>
                <c:pt idx="87">
                  <c:v>12-May-2025</c:v>
                </c:pt>
                <c:pt idx="88">
                  <c:v>13-May-2025</c:v>
                </c:pt>
                <c:pt idx="89">
                  <c:v>14-May-2025</c:v>
                </c:pt>
                <c:pt idx="90">
                  <c:v>15-May-2025</c:v>
                </c:pt>
                <c:pt idx="91">
                  <c:v>16-May-2025</c:v>
                </c:pt>
                <c:pt idx="92">
                  <c:v>19-May-2025</c:v>
                </c:pt>
                <c:pt idx="93">
                  <c:v>20-May-2025</c:v>
                </c:pt>
                <c:pt idx="94">
                  <c:v>21-May-2025</c:v>
                </c:pt>
                <c:pt idx="95">
                  <c:v>22-May-2025</c:v>
                </c:pt>
                <c:pt idx="96">
                  <c:v>23-May-2025</c:v>
                </c:pt>
                <c:pt idx="97">
                  <c:v>26-May-2025</c:v>
                </c:pt>
                <c:pt idx="98">
                  <c:v>27-May-2025</c:v>
                </c:pt>
                <c:pt idx="99">
                  <c:v>28-May-2025</c:v>
                </c:pt>
                <c:pt idx="100">
                  <c:v>29-May-2025</c:v>
                </c:pt>
                <c:pt idx="101">
                  <c:v>30-May-2025</c:v>
                </c:pt>
                <c:pt idx="102">
                  <c:v>02-Jun-2025</c:v>
                </c:pt>
                <c:pt idx="103">
                  <c:v>03-Jun-2025</c:v>
                </c:pt>
                <c:pt idx="104">
                  <c:v>04-Jun-2025</c:v>
                </c:pt>
                <c:pt idx="105">
                  <c:v>05-Jun-2025</c:v>
                </c:pt>
                <c:pt idx="106">
                  <c:v>06-Jun-2025</c:v>
                </c:pt>
                <c:pt idx="107">
                  <c:v>09-Jun-2025</c:v>
                </c:pt>
                <c:pt idx="108">
                  <c:v>10-Jun-2025</c:v>
                </c:pt>
                <c:pt idx="109">
                  <c:v>11-Jun-2025</c:v>
                </c:pt>
                <c:pt idx="110">
                  <c:v>12-Jun-2025</c:v>
                </c:pt>
                <c:pt idx="111">
                  <c:v>13-Jun-2025</c:v>
                </c:pt>
                <c:pt idx="112">
                  <c:v>16-Jun-2025</c:v>
                </c:pt>
                <c:pt idx="113">
                  <c:v>17-Jun-2025</c:v>
                </c:pt>
                <c:pt idx="114">
                  <c:v>18-Jun-2025</c:v>
                </c:pt>
                <c:pt idx="115">
                  <c:v>19-Jun-2025</c:v>
                </c:pt>
                <c:pt idx="116">
                  <c:v>20-Jun-2025</c:v>
                </c:pt>
                <c:pt idx="117">
                  <c:v>23-Jun-2025</c:v>
                </c:pt>
                <c:pt idx="118">
                  <c:v>24-Jun-2025</c:v>
                </c:pt>
                <c:pt idx="119">
                  <c:v>25-Jun-2025</c:v>
                </c:pt>
                <c:pt idx="120">
                  <c:v>26-Jun-2025</c:v>
                </c:pt>
                <c:pt idx="121">
                  <c:v>27-Jun-2025</c:v>
                </c:pt>
                <c:pt idx="122">
                  <c:v>30-Jun-2025</c:v>
                </c:pt>
                <c:pt idx="123">
                  <c:v>01-Jul-2025</c:v>
                </c:pt>
                <c:pt idx="124">
                  <c:v>02-Jul-2025</c:v>
                </c:pt>
                <c:pt idx="125">
                  <c:v>03-Jul-2025</c:v>
                </c:pt>
                <c:pt idx="126">
                  <c:v>04-Jul-2025</c:v>
                </c:pt>
                <c:pt idx="127">
                  <c:v>07-Jul-2025</c:v>
                </c:pt>
                <c:pt idx="128">
                  <c:v>08-Jul-2025</c:v>
                </c:pt>
                <c:pt idx="129">
                  <c:v>09-Jul-2025</c:v>
                </c:pt>
                <c:pt idx="130">
                  <c:v>10-Jul-2025</c:v>
                </c:pt>
                <c:pt idx="131">
                  <c:v>11-Jul-2025</c:v>
                </c:pt>
                <c:pt idx="132">
                  <c:v>14-Jul-2025</c:v>
                </c:pt>
                <c:pt idx="133">
                  <c:v>15-Jul-2025</c:v>
                </c:pt>
                <c:pt idx="134">
                  <c:v>16-Jul-2025</c:v>
                </c:pt>
                <c:pt idx="135">
                  <c:v>17-Jul-2025</c:v>
                </c:pt>
                <c:pt idx="136">
                  <c:v>18-Jul-2025</c:v>
                </c:pt>
                <c:pt idx="137">
                  <c:v>21-Jul-2025</c:v>
                </c:pt>
                <c:pt idx="138">
                  <c:v>22-Jul-2025</c:v>
                </c:pt>
                <c:pt idx="139">
                  <c:v>23-Jul-2025</c:v>
                </c:pt>
                <c:pt idx="140">
                  <c:v>24-Jul-2025</c:v>
                </c:pt>
                <c:pt idx="141">
                  <c:v>25-Jul-2025</c:v>
                </c:pt>
                <c:pt idx="142">
                  <c:v>28-Jul-2025</c:v>
                </c:pt>
                <c:pt idx="143">
                  <c:v>29-Jul-2025</c:v>
                </c:pt>
                <c:pt idx="144">
                  <c:v>30-Jul-2025</c:v>
                </c:pt>
                <c:pt idx="145">
                  <c:v>31-Jul-2025</c:v>
                </c:pt>
                <c:pt idx="146">
                  <c:v>01-Aug-2025</c:v>
                </c:pt>
                <c:pt idx="147">
                  <c:v>04-Aug-2025</c:v>
                </c:pt>
                <c:pt idx="148">
                  <c:v>05-Aug-2025</c:v>
                </c:pt>
                <c:pt idx="149">
                  <c:v>06-Aug-2025</c:v>
                </c:pt>
                <c:pt idx="150">
                  <c:v>07-Aug-2025</c:v>
                </c:pt>
                <c:pt idx="151">
                  <c:v>08-Aug-2025</c:v>
                </c:pt>
                <c:pt idx="152">
                  <c:v>11-Aug-2025</c:v>
                </c:pt>
                <c:pt idx="153">
                  <c:v>12-Aug-2025</c:v>
                </c:pt>
                <c:pt idx="154">
                  <c:v>13-Aug-2025</c:v>
                </c:pt>
                <c:pt idx="155">
                  <c:v>14-Aug-2025</c:v>
                </c:pt>
                <c:pt idx="156">
                  <c:v>18-Aug-2025</c:v>
                </c:pt>
                <c:pt idx="157">
                  <c:v>19-Aug-2025</c:v>
                </c:pt>
                <c:pt idx="158">
                  <c:v>20-Aug-2025</c:v>
                </c:pt>
                <c:pt idx="159">
                  <c:v>21-Aug-2025</c:v>
                </c:pt>
                <c:pt idx="160">
                  <c:v>22-Aug-2025</c:v>
                </c:pt>
                <c:pt idx="161">
                  <c:v>25-Aug-2025</c:v>
                </c:pt>
                <c:pt idx="162">
                  <c:v>26-Aug-2025</c:v>
                </c:pt>
                <c:pt idx="163">
                  <c:v>28-Aug-2025</c:v>
                </c:pt>
                <c:pt idx="164">
                  <c:v>29-Aug-2025</c:v>
                </c:pt>
                <c:pt idx="165">
                  <c:v>01-Sep-2025</c:v>
                </c:pt>
                <c:pt idx="166">
                  <c:v>02-Sep-2025</c:v>
                </c:pt>
                <c:pt idx="167">
                  <c:v>03-Sep-2025</c:v>
                </c:pt>
                <c:pt idx="168">
                  <c:v>04-Sep-2025</c:v>
                </c:pt>
                <c:pt idx="169">
                  <c:v>05-Sep-2025</c:v>
                </c:pt>
                <c:pt idx="170">
                  <c:v>08-Sep-2025</c:v>
                </c:pt>
                <c:pt idx="171">
                  <c:v>09-Sep-2025</c:v>
                </c:pt>
                <c:pt idx="172">
                  <c:v>10-Sep-2025</c:v>
                </c:pt>
                <c:pt idx="173">
                  <c:v>11-Sep-2025</c:v>
                </c:pt>
                <c:pt idx="174">
                  <c:v>12-Sep-2025</c:v>
                </c:pt>
                <c:pt idx="175">
                  <c:v>15-Sep-2025</c:v>
                </c:pt>
                <c:pt idx="176">
                  <c:v>16-Sep-2025</c:v>
                </c:pt>
                <c:pt idx="177">
                  <c:v>17-Sep-2025</c:v>
                </c:pt>
                <c:pt idx="178">
                  <c:v>18-Sep-2025</c:v>
                </c:pt>
                <c:pt idx="179">
                  <c:v>19-Sep-2025</c:v>
                </c:pt>
                <c:pt idx="180">
                  <c:v>22-Sep-2025</c:v>
                </c:pt>
                <c:pt idx="181">
                  <c:v>23-Sep-2025</c:v>
                </c:pt>
                <c:pt idx="182">
                  <c:v>24-Sep-2025</c:v>
                </c:pt>
                <c:pt idx="183">
                  <c:v>25-Sep-2025</c:v>
                </c:pt>
                <c:pt idx="184">
                  <c:v>26-Sep-2025</c:v>
                </c:pt>
                <c:pt idx="185">
                  <c:v>29-Sep-2025</c:v>
                </c:pt>
                <c:pt idx="186">
                  <c:v>30-Sep-2025</c:v>
                </c:pt>
                <c:pt idx="187">
                  <c:v>01-Oct-2025</c:v>
                </c:pt>
                <c:pt idx="188">
                  <c:v>03-Oct-2025</c:v>
                </c:pt>
                <c:pt idx="189">
                  <c:v>06-Oct-2025</c:v>
                </c:pt>
                <c:pt idx="190">
                  <c:v>07-Oct-2025</c:v>
                </c:pt>
                <c:pt idx="191">
                  <c:v>08-Oct-2025</c:v>
                </c:pt>
                <c:pt idx="192">
                  <c:v>09-Oct-2025</c:v>
                </c:pt>
                <c:pt idx="193">
                  <c:v>10-Oct-2025</c:v>
                </c:pt>
                <c:pt idx="194">
                  <c:v>13-Oct-2025</c:v>
                </c:pt>
                <c:pt idx="195">
                  <c:v>14-Oct-2025</c:v>
                </c:pt>
                <c:pt idx="196">
                  <c:v>15-Oct-2025</c:v>
                </c:pt>
                <c:pt idx="197">
                  <c:v>16-Oct-2025</c:v>
                </c:pt>
                <c:pt idx="198">
                  <c:v>17-Oct-2025</c:v>
                </c:pt>
                <c:pt idx="199">
                  <c:v>20-Oct-2025</c:v>
                </c:pt>
                <c:pt idx="200">
                  <c:v>21-Oct-2025</c:v>
                </c:pt>
                <c:pt idx="201">
                  <c:v>23-Oct-2025</c:v>
                </c:pt>
                <c:pt idx="202">
                  <c:v>24-Oct-2025</c:v>
                </c:pt>
                <c:pt idx="203">
                  <c:v>27-Oct-2025</c:v>
                </c:pt>
                <c:pt idx="204">
                  <c:v>28-Oct-2025</c:v>
                </c:pt>
                <c:pt idx="205">
                  <c:v>29-Oct-2025</c:v>
                </c:pt>
                <c:pt idx="206">
                  <c:v>30-Oct-2025</c:v>
                </c:pt>
                <c:pt idx="207">
                  <c:v>31-Oct-2025</c:v>
                </c:pt>
                <c:pt idx="208">
                  <c:v>03-Nov-2025</c:v>
                </c:pt>
                <c:pt idx="209">
                  <c:v>04-Nov-2025</c:v>
                </c:pt>
                <c:pt idx="210">
                  <c:v>06-Nov-2025</c:v>
                </c:pt>
                <c:pt idx="211">
                  <c:v>07-Nov-2025</c:v>
                </c:pt>
                <c:pt idx="212">
                  <c:v>10-Nov-2025</c:v>
                </c:pt>
                <c:pt idx="213">
                  <c:v>11-Nov-2025</c:v>
                </c:pt>
                <c:pt idx="214">
                  <c:v>12-Nov-2025</c:v>
                </c:pt>
                <c:pt idx="215">
                  <c:v>13-Nov-2025</c:v>
                </c:pt>
                <c:pt idx="216">
                  <c:v>14-Nov-2025</c:v>
                </c:pt>
                <c:pt idx="217">
                  <c:v>17-Nov-2025</c:v>
                </c:pt>
                <c:pt idx="218">
                  <c:v>18-Nov-2025</c:v>
                </c:pt>
                <c:pt idx="219">
                  <c:v>19-Nov-2025</c:v>
                </c:pt>
                <c:pt idx="220">
                  <c:v>20-Nov-2025</c:v>
                </c:pt>
                <c:pt idx="221">
                  <c:v>21-Nov-2025</c:v>
                </c:pt>
                <c:pt idx="222">
                  <c:v>24-Nov-2025</c:v>
                </c:pt>
                <c:pt idx="223">
                  <c:v>25-Nov-2025</c:v>
                </c:pt>
                <c:pt idx="224">
                  <c:v>26-Nov-2025</c:v>
                </c:pt>
                <c:pt idx="225">
                  <c:v>27-Nov-2025</c:v>
                </c:pt>
                <c:pt idx="226">
                  <c:v>28-Nov-2025</c:v>
                </c:pt>
                <c:pt idx="227">
                  <c:v>01-Dec-2025</c:v>
                </c:pt>
                <c:pt idx="228">
                  <c:v>02-Dec-2025</c:v>
                </c:pt>
                <c:pt idx="229">
                  <c:v>03-Dec-2025</c:v>
                </c:pt>
                <c:pt idx="230">
                  <c:v>04-Dec-2025</c:v>
                </c:pt>
                <c:pt idx="231">
                  <c:v>05-Dec-2025</c:v>
                </c:pt>
                <c:pt idx="232">
                  <c:v>08-Dec-2025</c:v>
                </c:pt>
                <c:pt idx="233">
                  <c:v>09-Dec-2025</c:v>
                </c:pt>
                <c:pt idx="234">
                  <c:v>10-Dec-2025</c:v>
                </c:pt>
                <c:pt idx="235">
                  <c:v>11-Dec-2025</c:v>
                </c:pt>
                <c:pt idx="236">
                  <c:v>12-Dec-2025</c:v>
                </c:pt>
                <c:pt idx="237">
                  <c:v>15-Dec-2025</c:v>
                </c:pt>
                <c:pt idx="238">
                  <c:v>16-Dec-2025</c:v>
                </c:pt>
                <c:pt idx="239">
                  <c:v>17-Dec-2025</c:v>
                </c:pt>
                <c:pt idx="240">
                  <c:v>18-Dec-2025</c:v>
                </c:pt>
                <c:pt idx="241">
                  <c:v>19-Dec-2025</c:v>
                </c:pt>
                <c:pt idx="242">
                  <c:v>22-Dec-2025</c:v>
                </c:pt>
                <c:pt idx="243">
                  <c:v>23-Dec-2025</c:v>
                </c:pt>
                <c:pt idx="244">
                  <c:v>24-Dec-2025</c:v>
                </c:pt>
                <c:pt idx="245">
                  <c:v>26-Dec-2025</c:v>
                </c:pt>
                <c:pt idx="246">
                  <c:v>29-Dec-2025</c:v>
                </c:pt>
                <c:pt idx="247">
                  <c:v>30-Dec-2025</c:v>
                </c:pt>
                <c:pt idx="248">
                  <c:v>31-Dec-2025</c:v>
                </c:pt>
              </c:strCache>
            </c:strRef>
          </c:cat>
          <c:val>
            <c:numRef>
              <c:f>NearMonth_Daily!$D$2:$D$250</c:f>
              <c:numCache>
                <c:formatCode>#,##0.00</c:formatCode>
                <c:ptCount val="249"/>
                <c:pt idx="0">
                  <c:v>23897.85</c:v>
                </c:pt>
                <c:pt idx="1">
                  <c:v>24282.65</c:v>
                </c:pt>
                <c:pt idx="2">
                  <c:v>24092.4</c:v>
                </c:pt>
                <c:pt idx="3">
                  <c:v>23721.05</c:v>
                </c:pt>
                <c:pt idx="4">
                  <c:v>23795.05</c:v>
                </c:pt>
                <c:pt idx="5">
                  <c:v>23781.35</c:v>
                </c:pt>
                <c:pt idx="6">
                  <c:v>23648.1</c:v>
                </c:pt>
                <c:pt idx="7">
                  <c:v>23500.65</c:v>
                </c:pt>
                <c:pt idx="8">
                  <c:v>23162.1</c:v>
                </c:pt>
                <c:pt idx="9">
                  <c:v>23271.75</c:v>
                </c:pt>
                <c:pt idx="10">
                  <c:v>23265.9</c:v>
                </c:pt>
                <c:pt idx="11">
                  <c:v>23377.55</c:v>
                </c:pt>
                <c:pt idx="12">
                  <c:v>23267.2</c:v>
                </c:pt>
                <c:pt idx="13">
                  <c:v>23400.2</c:v>
                </c:pt>
                <c:pt idx="14">
                  <c:v>23103.2</c:v>
                </c:pt>
                <c:pt idx="15">
                  <c:v>23198.95</c:v>
                </c:pt>
                <c:pt idx="16">
                  <c:v>23263.7</c:v>
                </c:pt>
                <c:pt idx="17">
                  <c:v>23113.9</c:v>
                </c:pt>
                <c:pt idx="18">
                  <c:v>22846.45</c:v>
                </c:pt>
                <c:pt idx="19">
                  <c:v>22977.7</c:v>
                </c:pt>
                <c:pt idx="20">
                  <c:v>23148.25</c:v>
                </c:pt>
                <c:pt idx="21">
                  <c:v>23235.1</c:v>
                </c:pt>
                <c:pt idx="22">
                  <c:v>23620.2</c:v>
                </c:pt>
                <c:pt idx="23">
                  <c:v>23555.55</c:v>
                </c:pt>
                <c:pt idx="24">
                  <c:v>23442.75</c:v>
                </c:pt>
                <c:pt idx="25">
                  <c:v>23785.4</c:v>
                </c:pt>
                <c:pt idx="26">
                  <c:v>23772.6</c:v>
                </c:pt>
                <c:pt idx="27">
                  <c:v>23688.9</c:v>
                </c:pt>
                <c:pt idx="28">
                  <c:v>23614.95</c:v>
                </c:pt>
                <c:pt idx="29">
                  <c:v>23459.15</c:v>
                </c:pt>
                <c:pt idx="30">
                  <c:v>23153.15</c:v>
                </c:pt>
                <c:pt idx="31">
                  <c:v>23123.85</c:v>
                </c:pt>
                <c:pt idx="32">
                  <c:v>23107.75</c:v>
                </c:pt>
                <c:pt idx="33">
                  <c:v>22995.65</c:v>
                </c:pt>
                <c:pt idx="34">
                  <c:v>23026.4</c:v>
                </c:pt>
                <c:pt idx="35">
                  <c:v>22972.6</c:v>
                </c:pt>
                <c:pt idx="36">
                  <c:v>22964.5</c:v>
                </c:pt>
                <c:pt idx="37">
                  <c:v>22942.5</c:v>
                </c:pt>
                <c:pt idx="38">
                  <c:v>22822.6</c:v>
                </c:pt>
                <c:pt idx="39">
                  <c:v>22612.65</c:v>
                </c:pt>
                <c:pt idx="40">
                  <c:v>22582.15</c:v>
                </c:pt>
                <c:pt idx="41">
                  <c:v>22547.75</c:v>
                </c:pt>
                <c:pt idx="42">
                  <c:v>22280.05</c:v>
                </c:pt>
                <c:pt idx="43">
                  <c:v>22259.8</c:v>
                </c:pt>
                <c:pt idx="44">
                  <c:v>22191.05</c:v>
                </c:pt>
                <c:pt idx="45">
                  <c:v>22441.35</c:v>
                </c:pt>
                <c:pt idx="46">
                  <c:v>22620.95</c:v>
                </c:pt>
                <c:pt idx="47">
                  <c:v>22649.95</c:v>
                </c:pt>
                <c:pt idx="48">
                  <c:v>22515.65</c:v>
                </c:pt>
                <c:pt idx="49">
                  <c:v>22564.3</c:v>
                </c:pt>
                <c:pt idx="50">
                  <c:v>22530.35</c:v>
                </c:pt>
                <c:pt idx="51">
                  <c:v>22444.25</c:v>
                </c:pt>
                <c:pt idx="52">
                  <c:v>22584.3</c:v>
                </c:pt>
                <c:pt idx="53">
                  <c:v>22895.4</c:v>
                </c:pt>
                <c:pt idx="54">
                  <c:v>22972.95</c:v>
                </c:pt>
                <c:pt idx="55">
                  <c:v>23200.25</c:v>
                </c:pt>
                <c:pt idx="56">
                  <c:v>23379.85</c:v>
                </c:pt>
                <c:pt idx="57">
                  <c:v>23699.35</c:v>
                </c:pt>
                <c:pt idx="58">
                  <c:v>23705.35</c:v>
                </c:pt>
                <c:pt idx="59">
                  <c:v>23521.9</c:v>
                </c:pt>
                <c:pt idx="60">
                  <c:v>23593.6</c:v>
                </c:pt>
                <c:pt idx="61">
                  <c:v>23637.65</c:v>
                </c:pt>
                <c:pt idx="62">
                  <c:v>23321.4</c:v>
                </c:pt>
                <c:pt idx="63">
                  <c:v>23438.95</c:v>
                </c:pt>
                <c:pt idx="64">
                  <c:v>23325.95</c:v>
                </c:pt>
                <c:pt idx="65">
                  <c:v>22958.15</c:v>
                </c:pt>
                <c:pt idx="66">
                  <c:v>22263.8</c:v>
                </c:pt>
                <c:pt idx="67">
                  <c:v>22630.35</c:v>
                </c:pt>
                <c:pt idx="68">
                  <c:v>22479.65</c:v>
                </c:pt>
                <c:pt idx="69">
                  <c:v>22917.65</c:v>
                </c:pt>
                <c:pt idx="70">
                  <c:v>23340.9</c:v>
                </c:pt>
                <c:pt idx="71">
                  <c:v>23433.5</c:v>
                </c:pt>
                <c:pt idx="72">
                  <c:v>23851.3</c:v>
                </c:pt>
                <c:pt idx="73">
                  <c:v>24135.5</c:v>
                </c:pt>
                <c:pt idx="74">
                  <c:v>24169</c:v>
                </c:pt>
                <c:pt idx="75">
                  <c:v>24312.7</c:v>
                </c:pt>
                <c:pt idx="76">
                  <c:v>24245.7</c:v>
                </c:pt>
                <c:pt idx="77">
                  <c:v>24139.1</c:v>
                </c:pt>
                <c:pt idx="78">
                  <c:v>24452.8</c:v>
                </c:pt>
                <c:pt idx="79">
                  <c:v>24425.3</c:v>
                </c:pt>
                <c:pt idx="80">
                  <c:v>24418.4</c:v>
                </c:pt>
                <c:pt idx="81">
                  <c:v>24400.7</c:v>
                </c:pt>
                <c:pt idx="82">
                  <c:v>24553.7</c:v>
                </c:pt>
                <c:pt idx="83">
                  <c:v>24431.4</c:v>
                </c:pt>
                <c:pt idx="84">
                  <c:v>24461.4</c:v>
                </c:pt>
                <c:pt idx="85">
                  <c:v>24271.9</c:v>
                </c:pt>
                <c:pt idx="86">
                  <c:v>24065.5</c:v>
                </c:pt>
                <c:pt idx="87">
                  <c:v>25044.1</c:v>
                </c:pt>
                <c:pt idx="88">
                  <c:v>24640.2</c:v>
                </c:pt>
                <c:pt idx="89">
                  <c:v>24715.9</c:v>
                </c:pt>
                <c:pt idx="90">
                  <c:v>25078.7</c:v>
                </c:pt>
                <c:pt idx="91">
                  <c:v>25078.7</c:v>
                </c:pt>
                <c:pt idx="92">
                  <c:v>24976.4</c:v>
                </c:pt>
                <c:pt idx="93">
                  <c:v>24774.6</c:v>
                </c:pt>
                <c:pt idx="94">
                  <c:v>24832.2</c:v>
                </c:pt>
                <c:pt idx="95">
                  <c:v>24652.2</c:v>
                </c:pt>
                <c:pt idx="96">
                  <c:v>24879.9</c:v>
                </c:pt>
                <c:pt idx="97">
                  <c:v>25035.9</c:v>
                </c:pt>
                <c:pt idx="98">
                  <c:v>24862.6</c:v>
                </c:pt>
                <c:pt idx="99">
                  <c:v>24762.5</c:v>
                </c:pt>
                <c:pt idx="100">
                  <c:v>24814.2</c:v>
                </c:pt>
                <c:pt idx="101">
                  <c:v>24871.2</c:v>
                </c:pt>
                <c:pt idx="102">
                  <c:v>24826.3</c:v>
                </c:pt>
                <c:pt idx="103">
                  <c:v>24675.3</c:v>
                </c:pt>
                <c:pt idx="104">
                  <c:v>24729.4</c:v>
                </c:pt>
                <c:pt idx="105">
                  <c:v>24861.4</c:v>
                </c:pt>
                <c:pt idx="106">
                  <c:v>25096.3</c:v>
                </c:pt>
                <c:pt idx="107">
                  <c:v>25181.8</c:v>
                </c:pt>
                <c:pt idx="108">
                  <c:v>25160.6</c:v>
                </c:pt>
                <c:pt idx="109">
                  <c:v>25211.7</c:v>
                </c:pt>
                <c:pt idx="110">
                  <c:v>24937.4</c:v>
                </c:pt>
                <c:pt idx="111">
                  <c:v>24727.4</c:v>
                </c:pt>
                <c:pt idx="112">
                  <c:v>24996.2</c:v>
                </c:pt>
                <c:pt idx="113">
                  <c:v>24868.8</c:v>
                </c:pt>
                <c:pt idx="114">
                  <c:v>24826.9</c:v>
                </c:pt>
                <c:pt idx="115">
                  <c:v>24803.1</c:v>
                </c:pt>
                <c:pt idx="116">
                  <c:v>25111.7</c:v>
                </c:pt>
                <c:pt idx="117">
                  <c:v>24993.3</c:v>
                </c:pt>
                <c:pt idx="118">
                  <c:v>25071.7</c:v>
                </c:pt>
                <c:pt idx="119">
                  <c:v>25252.2</c:v>
                </c:pt>
                <c:pt idx="120">
                  <c:v>25551</c:v>
                </c:pt>
                <c:pt idx="121">
                  <c:v>25750.2</c:v>
                </c:pt>
                <c:pt idx="122">
                  <c:v>25614.2</c:v>
                </c:pt>
                <c:pt idx="123">
                  <c:v>25643.3</c:v>
                </c:pt>
                <c:pt idx="124">
                  <c:v>25546.1</c:v>
                </c:pt>
                <c:pt idx="125">
                  <c:v>25508.6</c:v>
                </c:pt>
                <c:pt idx="126">
                  <c:v>25540.1</c:v>
                </c:pt>
                <c:pt idx="127">
                  <c:v>25538.9</c:v>
                </c:pt>
                <c:pt idx="128">
                  <c:v>25611.9</c:v>
                </c:pt>
                <c:pt idx="129">
                  <c:v>25558.8</c:v>
                </c:pt>
                <c:pt idx="130">
                  <c:v>25421.9</c:v>
                </c:pt>
                <c:pt idx="131">
                  <c:v>25223.4</c:v>
                </c:pt>
                <c:pt idx="132">
                  <c:v>25167.5</c:v>
                </c:pt>
                <c:pt idx="133">
                  <c:v>25265.6</c:v>
                </c:pt>
                <c:pt idx="134">
                  <c:v>25245.8</c:v>
                </c:pt>
                <c:pt idx="135">
                  <c:v>25174.6</c:v>
                </c:pt>
                <c:pt idx="136">
                  <c:v>25032.3</c:v>
                </c:pt>
                <c:pt idx="137">
                  <c:v>25127.6</c:v>
                </c:pt>
                <c:pt idx="138">
                  <c:v>25093.9</c:v>
                </c:pt>
                <c:pt idx="139">
                  <c:v>25252.8</c:v>
                </c:pt>
                <c:pt idx="140">
                  <c:v>25095.4</c:v>
                </c:pt>
                <c:pt idx="141">
                  <c:v>24850.4</c:v>
                </c:pt>
                <c:pt idx="142">
                  <c:v>24710.2</c:v>
                </c:pt>
                <c:pt idx="143">
                  <c:v>24838.8</c:v>
                </c:pt>
                <c:pt idx="144">
                  <c:v>24869.3</c:v>
                </c:pt>
                <c:pt idx="145">
                  <c:v>24771.9</c:v>
                </c:pt>
                <c:pt idx="146">
                  <c:v>24627.2</c:v>
                </c:pt>
                <c:pt idx="147">
                  <c:v>24793.1</c:v>
                </c:pt>
                <c:pt idx="148">
                  <c:v>24707.8</c:v>
                </c:pt>
                <c:pt idx="149">
                  <c:v>24634.9</c:v>
                </c:pt>
                <c:pt idx="150">
                  <c:v>24673.4</c:v>
                </c:pt>
                <c:pt idx="151">
                  <c:v>24441.1</c:v>
                </c:pt>
                <c:pt idx="152">
                  <c:v>24627.9</c:v>
                </c:pt>
                <c:pt idx="153">
                  <c:v>24554.9</c:v>
                </c:pt>
                <c:pt idx="154">
                  <c:v>24712.2</c:v>
                </c:pt>
                <c:pt idx="155">
                  <c:v>24684.7</c:v>
                </c:pt>
                <c:pt idx="156">
                  <c:v>24966.8</c:v>
                </c:pt>
                <c:pt idx="157">
                  <c:v>25033.5</c:v>
                </c:pt>
                <c:pt idx="158">
                  <c:v>25083.3</c:v>
                </c:pt>
                <c:pt idx="159">
                  <c:v>25122.5</c:v>
                </c:pt>
                <c:pt idx="160">
                  <c:v>24898.2</c:v>
                </c:pt>
                <c:pt idx="161">
                  <c:v>24989.7</c:v>
                </c:pt>
                <c:pt idx="162">
                  <c:v>24731.5</c:v>
                </c:pt>
                <c:pt idx="163">
                  <c:v>24496.3</c:v>
                </c:pt>
                <c:pt idx="164">
                  <c:v>24568.5</c:v>
                </c:pt>
                <c:pt idx="165">
                  <c:v>24748</c:v>
                </c:pt>
                <c:pt idx="166">
                  <c:v>24691.8</c:v>
                </c:pt>
                <c:pt idx="167">
                  <c:v>24813.1</c:v>
                </c:pt>
                <c:pt idx="168">
                  <c:v>24827.5</c:v>
                </c:pt>
                <c:pt idx="169">
                  <c:v>24847.7</c:v>
                </c:pt>
                <c:pt idx="170">
                  <c:v>24892.7</c:v>
                </c:pt>
                <c:pt idx="171">
                  <c:v>24950.3</c:v>
                </c:pt>
                <c:pt idx="172">
                  <c:v>25072.3</c:v>
                </c:pt>
                <c:pt idx="173">
                  <c:v>25104.5</c:v>
                </c:pt>
                <c:pt idx="174">
                  <c:v>25205</c:v>
                </c:pt>
                <c:pt idx="175">
                  <c:v>25164.7</c:v>
                </c:pt>
                <c:pt idx="176">
                  <c:v>25331.4</c:v>
                </c:pt>
                <c:pt idx="177">
                  <c:v>25423.4</c:v>
                </c:pt>
                <c:pt idx="178">
                  <c:v>25510.9</c:v>
                </c:pt>
                <c:pt idx="179">
                  <c:v>25411.2</c:v>
                </c:pt>
                <c:pt idx="180">
                  <c:v>25277.7</c:v>
                </c:pt>
                <c:pt idx="181">
                  <c:v>25255.8</c:v>
                </c:pt>
                <c:pt idx="182">
                  <c:v>25111.9</c:v>
                </c:pt>
                <c:pt idx="183">
                  <c:v>24967.7</c:v>
                </c:pt>
                <c:pt idx="184">
                  <c:v>24689.9</c:v>
                </c:pt>
                <c:pt idx="185">
                  <c:v>24685</c:v>
                </c:pt>
                <c:pt idx="186">
                  <c:v>24612</c:v>
                </c:pt>
                <c:pt idx="187">
                  <c:v>24967.2</c:v>
                </c:pt>
                <c:pt idx="188">
                  <c:v>25006.6</c:v>
                </c:pt>
                <c:pt idx="189">
                  <c:v>25185.4</c:v>
                </c:pt>
                <c:pt idx="190">
                  <c:v>25225.3</c:v>
                </c:pt>
                <c:pt idx="191">
                  <c:v>25120.4</c:v>
                </c:pt>
                <c:pt idx="192">
                  <c:v>25273.8</c:v>
                </c:pt>
                <c:pt idx="193">
                  <c:v>25411</c:v>
                </c:pt>
                <c:pt idx="194">
                  <c:v>25309.3</c:v>
                </c:pt>
                <c:pt idx="195">
                  <c:v>25206</c:v>
                </c:pt>
                <c:pt idx="196">
                  <c:v>25424.8</c:v>
                </c:pt>
                <c:pt idx="197">
                  <c:v>25656.1</c:v>
                </c:pt>
                <c:pt idx="198">
                  <c:v>25757.8</c:v>
                </c:pt>
                <c:pt idx="199">
                  <c:v>25915.1</c:v>
                </c:pt>
                <c:pt idx="200">
                  <c:v>25906.3</c:v>
                </c:pt>
                <c:pt idx="201">
                  <c:v>25976.9</c:v>
                </c:pt>
                <c:pt idx="202">
                  <c:v>25814.8</c:v>
                </c:pt>
                <c:pt idx="203">
                  <c:v>26013.5</c:v>
                </c:pt>
                <c:pt idx="204">
                  <c:v>25922.4</c:v>
                </c:pt>
                <c:pt idx="205">
                  <c:v>26238.7</c:v>
                </c:pt>
                <c:pt idx="206">
                  <c:v>26031.6</c:v>
                </c:pt>
                <c:pt idx="207">
                  <c:v>25905.5</c:v>
                </c:pt>
                <c:pt idx="208">
                  <c:v>25898.9</c:v>
                </c:pt>
                <c:pt idx="209">
                  <c:v>25708.3</c:v>
                </c:pt>
                <c:pt idx="210">
                  <c:v>25627.2</c:v>
                </c:pt>
                <c:pt idx="211">
                  <c:v>25589.2</c:v>
                </c:pt>
                <c:pt idx="212">
                  <c:v>25694.5</c:v>
                </c:pt>
                <c:pt idx="213">
                  <c:v>25811.4</c:v>
                </c:pt>
                <c:pt idx="214">
                  <c:v>25986.1</c:v>
                </c:pt>
                <c:pt idx="215">
                  <c:v>25953.8</c:v>
                </c:pt>
                <c:pt idx="216">
                  <c:v>25951.4</c:v>
                </c:pt>
                <c:pt idx="217">
                  <c:v>26060.1</c:v>
                </c:pt>
                <c:pt idx="218">
                  <c:v>25948.8</c:v>
                </c:pt>
                <c:pt idx="219">
                  <c:v>26071</c:v>
                </c:pt>
                <c:pt idx="220">
                  <c:v>26220.8</c:v>
                </c:pt>
                <c:pt idx="221">
                  <c:v>26077.5</c:v>
                </c:pt>
                <c:pt idx="222">
                  <c:v>25996.4</c:v>
                </c:pt>
                <c:pt idx="223">
                  <c:v>25886.8</c:v>
                </c:pt>
                <c:pt idx="224">
                  <c:v>26381.2</c:v>
                </c:pt>
                <c:pt idx="225">
                  <c:v>26390.9</c:v>
                </c:pt>
                <c:pt idx="226">
                  <c:v>26387.4</c:v>
                </c:pt>
                <c:pt idx="227">
                  <c:v>26334.7</c:v>
                </c:pt>
                <c:pt idx="228">
                  <c:v>26213</c:v>
                </c:pt>
                <c:pt idx="229">
                  <c:v>26136.2</c:v>
                </c:pt>
                <c:pt idx="230">
                  <c:v>26186.5</c:v>
                </c:pt>
                <c:pt idx="231">
                  <c:v>26333.2</c:v>
                </c:pt>
                <c:pt idx="232">
                  <c:v>26064.7</c:v>
                </c:pt>
                <c:pt idx="233">
                  <c:v>25960.2</c:v>
                </c:pt>
                <c:pt idx="234">
                  <c:v>25863.9</c:v>
                </c:pt>
                <c:pt idx="235">
                  <c:v>26009.5</c:v>
                </c:pt>
                <c:pt idx="236">
                  <c:v>26145.4</c:v>
                </c:pt>
                <c:pt idx="237">
                  <c:v>26108.7</c:v>
                </c:pt>
                <c:pt idx="238">
                  <c:v>25940.7</c:v>
                </c:pt>
                <c:pt idx="239">
                  <c:v>25897.8</c:v>
                </c:pt>
                <c:pt idx="240">
                  <c:v>25880.6</c:v>
                </c:pt>
                <c:pt idx="241">
                  <c:v>26030</c:v>
                </c:pt>
                <c:pt idx="242">
                  <c:v>26197.9</c:v>
                </c:pt>
                <c:pt idx="243">
                  <c:v>26206.9</c:v>
                </c:pt>
                <c:pt idx="244">
                  <c:v>26173.1</c:v>
                </c:pt>
                <c:pt idx="245">
                  <c:v>26060.2</c:v>
                </c:pt>
                <c:pt idx="246">
                  <c:v>25957.2</c:v>
                </c:pt>
                <c:pt idx="247">
                  <c:v>25936.8</c:v>
                </c:pt>
                <c:pt idx="248">
                  <c:v>26296.3</c:v>
                </c:pt>
              </c:numCache>
            </c:numRef>
          </c:val>
          <c:smooth val="0"/>
        </c:ser>
        <c:hiLowLines>
          <c:spPr>
            <a:ln w="0">
              <a:noFill/>
            </a:ln>
          </c:spPr>
        </c:hiLowLines>
        <c:marker val="0"/>
        <c:axId val="38347537"/>
        <c:axId val="18670343"/>
      </c:lineChart>
      <c:catAx>
        <c:axId val="38347537"/>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Date</a:t>
                </a:r>
              </a:p>
            </c:rich>
          </c:tx>
          <c:overlay val="0"/>
          <c:spPr>
            <a:noFill/>
            <a:ln w="0">
              <a:noFill/>
            </a:ln>
          </c:spPr>
        </c:title>
        <c:numFmt formatCode="mmm\-yy"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8670343"/>
        <c:crosses val="autoZero"/>
        <c:auto val="1"/>
        <c:lblAlgn val="ctr"/>
        <c:lblOffset val="100"/>
        <c:noMultiLvlLbl val="0"/>
      </c:catAx>
      <c:valAx>
        <c:axId val="18670343"/>
        <c:scaling>
          <c:orientation val="minMax"/>
          <c:min val="21000"/>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Index points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3834753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Near-month open interest</a:t>
            </a:r>
          </a:p>
        </c:rich>
      </c:tx>
      <c:overlay val="0"/>
      <c:spPr>
        <a:noFill/>
        <a:ln w="0">
          <a:noFill/>
        </a:ln>
      </c:spPr>
    </c:title>
    <c:autoTitleDeleted val="0"/>
    <c:plotArea>
      <c:lineChart>
        <c:grouping val="standard"/>
        <c:varyColors val="0"/>
        <c:ser>
          <c:idx val="0"/>
          <c:order val="0"/>
          <c:tx>
            <c:strRef>
              <c:f>NearMonth_Daily!H1</c:f>
              <c:strCache>
                <c:ptCount val="1"/>
                <c:pt idx="0">
                  <c:v>Near-Month OI</c:v>
                </c:pt>
              </c:strCache>
            </c:strRef>
          </c:tx>
          <c:spPr>
            <a:solidFill>
              <a:srgbClr val="1f4e78"/>
            </a:solidFill>
            <a:ln w="19080">
              <a:solidFill>
                <a:srgbClr val="1f4e78"/>
              </a:solidFill>
              <a:round/>
            </a:ln>
          </c:spPr>
          <c:marker>
            <c:symbol val="none"/>
          </c:marker>
          <c:dLbls>
            <c:txPr>
              <a:bodyPr wrap="square"/>
              <a:lstStyle/>
              <a:p>
                <a:pPr>
                  <a:defRPr b="0" sz="1000" strike="noStrike" u="none">
                    <a:solidFill>
                      <a:srgbClr val="000000"/>
                    </a:solidFill>
                    <a:uFillTx/>
                    <a:latin typeface="Arial"/>
                  </a:defRPr>
                </a:pPr>
              </a:p>
            </c:txPr>
            <c:dLblPos val="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cat>
            <c:strRef>
              <c:f>NearMonth_Daily!$A$2:$A$250</c:f>
              <c:strCache>
                <c:ptCount val="249"/>
                <c:pt idx="0">
                  <c:v>01-Jan-2025</c:v>
                </c:pt>
                <c:pt idx="1">
                  <c:v>02-Jan-2025</c:v>
                </c:pt>
                <c:pt idx="2">
                  <c:v>03-Jan-2025</c:v>
                </c:pt>
                <c:pt idx="3">
                  <c:v>06-Jan-2025</c:v>
                </c:pt>
                <c:pt idx="4">
                  <c:v>07-Jan-2025</c:v>
                </c:pt>
                <c:pt idx="5">
                  <c:v>08-Jan-2025</c:v>
                </c:pt>
                <c:pt idx="6">
                  <c:v>09-Jan-2025</c:v>
                </c:pt>
                <c:pt idx="7">
                  <c:v>10-Jan-2025</c:v>
                </c:pt>
                <c:pt idx="8">
                  <c:v>13-Jan-2025</c:v>
                </c:pt>
                <c:pt idx="9">
                  <c:v>14-Jan-2025</c:v>
                </c:pt>
                <c:pt idx="10">
                  <c:v>15-Jan-2025</c:v>
                </c:pt>
                <c:pt idx="11">
                  <c:v>16-Jan-2025</c:v>
                </c:pt>
                <c:pt idx="12">
                  <c:v>17-Jan-2025</c:v>
                </c:pt>
                <c:pt idx="13">
                  <c:v>20-Jan-2025</c:v>
                </c:pt>
                <c:pt idx="14">
                  <c:v>21-Jan-2025</c:v>
                </c:pt>
                <c:pt idx="15">
                  <c:v>22-Jan-2025</c:v>
                </c:pt>
                <c:pt idx="16">
                  <c:v>23-Jan-2025</c:v>
                </c:pt>
                <c:pt idx="17">
                  <c:v>24-Jan-2025</c:v>
                </c:pt>
                <c:pt idx="18">
                  <c:v>27-Jan-2025</c:v>
                </c:pt>
                <c:pt idx="19">
                  <c:v>28-Jan-2025</c:v>
                </c:pt>
                <c:pt idx="20">
                  <c:v>29-Jan-2025</c:v>
                </c:pt>
                <c:pt idx="21">
                  <c:v>30-Jan-2025</c:v>
                </c:pt>
                <c:pt idx="22">
                  <c:v>31-Jan-2025</c:v>
                </c:pt>
                <c:pt idx="23">
                  <c:v>01-Feb-2025</c:v>
                </c:pt>
                <c:pt idx="24">
                  <c:v>03-Feb-2025</c:v>
                </c:pt>
                <c:pt idx="25">
                  <c:v>04-Feb-2025</c:v>
                </c:pt>
                <c:pt idx="26">
                  <c:v>05-Feb-2025</c:v>
                </c:pt>
                <c:pt idx="27">
                  <c:v>06-Feb-2025</c:v>
                </c:pt>
                <c:pt idx="28">
                  <c:v>07-Feb-2025</c:v>
                </c:pt>
                <c:pt idx="29">
                  <c:v>10-Feb-2025</c:v>
                </c:pt>
                <c:pt idx="30">
                  <c:v>11-Feb-2025</c:v>
                </c:pt>
                <c:pt idx="31">
                  <c:v>12-Feb-2025</c:v>
                </c:pt>
                <c:pt idx="32">
                  <c:v>13-Feb-2025</c:v>
                </c:pt>
                <c:pt idx="33">
                  <c:v>14-Feb-2025</c:v>
                </c:pt>
                <c:pt idx="34">
                  <c:v>17-Feb-2025</c:v>
                </c:pt>
                <c:pt idx="35">
                  <c:v>18-Feb-2025</c:v>
                </c:pt>
                <c:pt idx="36">
                  <c:v>19-Feb-2025</c:v>
                </c:pt>
                <c:pt idx="37">
                  <c:v>20-Feb-2025</c:v>
                </c:pt>
                <c:pt idx="38">
                  <c:v>21-Feb-2025</c:v>
                </c:pt>
                <c:pt idx="39">
                  <c:v>24-Feb-2025</c:v>
                </c:pt>
                <c:pt idx="40">
                  <c:v>25-Feb-2025</c:v>
                </c:pt>
                <c:pt idx="41">
                  <c:v>27-Feb-2025</c:v>
                </c:pt>
                <c:pt idx="42">
                  <c:v>28-Feb-2025</c:v>
                </c:pt>
                <c:pt idx="43">
                  <c:v>03-Mar-2025</c:v>
                </c:pt>
                <c:pt idx="44">
                  <c:v>04-Mar-2025</c:v>
                </c:pt>
                <c:pt idx="45">
                  <c:v>05-Mar-2025</c:v>
                </c:pt>
                <c:pt idx="46">
                  <c:v>06-Mar-2025</c:v>
                </c:pt>
                <c:pt idx="47">
                  <c:v>07-Mar-2025</c:v>
                </c:pt>
                <c:pt idx="48">
                  <c:v>10-Mar-2025</c:v>
                </c:pt>
                <c:pt idx="49">
                  <c:v>11-Mar-2025</c:v>
                </c:pt>
                <c:pt idx="50">
                  <c:v>12-Mar-2025</c:v>
                </c:pt>
                <c:pt idx="51">
                  <c:v>13-Mar-2025</c:v>
                </c:pt>
                <c:pt idx="52">
                  <c:v>17-Mar-2025</c:v>
                </c:pt>
                <c:pt idx="53">
                  <c:v>18-Mar-2025</c:v>
                </c:pt>
                <c:pt idx="54">
                  <c:v>19-Mar-2025</c:v>
                </c:pt>
                <c:pt idx="55">
                  <c:v>20-Mar-2025</c:v>
                </c:pt>
                <c:pt idx="56">
                  <c:v>21-Mar-2025</c:v>
                </c:pt>
                <c:pt idx="57">
                  <c:v>24-Mar-2025</c:v>
                </c:pt>
                <c:pt idx="58">
                  <c:v>25-Mar-2025</c:v>
                </c:pt>
                <c:pt idx="59">
                  <c:v>26-Mar-2025</c:v>
                </c:pt>
                <c:pt idx="60">
                  <c:v>27-Mar-2025</c:v>
                </c:pt>
                <c:pt idx="61">
                  <c:v>28-Mar-2025</c:v>
                </c:pt>
                <c:pt idx="62">
                  <c:v>01-Apr-2025</c:v>
                </c:pt>
                <c:pt idx="63">
                  <c:v>02-Apr-2025</c:v>
                </c:pt>
                <c:pt idx="64">
                  <c:v>03-Apr-2025</c:v>
                </c:pt>
                <c:pt idx="65">
                  <c:v>04-Apr-2025</c:v>
                </c:pt>
                <c:pt idx="66">
                  <c:v>07-Apr-2025</c:v>
                </c:pt>
                <c:pt idx="67">
                  <c:v>08-Apr-2025</c:v>
                </c:pt>
                <c:pt idx="68">
                  <c:v>09-Apr-2025</c:v>
                </c:pt>
                <c:pt idx="69">
                  <c:v>11-Apr-2025</c:v>
                </c:pt>
                <c:pt idx="70">
                  <c:v>15-Apr-2025</c:v>
                </c:pt>
                <c:pt idx="71">
                  <c:v>16-Apr-2025</c:v>
                </c:pt>
                <c:pt idx="72">
                  <c:v>17-Apr-2025</c:v>
                </c:pt>
                <c:pt idx="73">
                  <c:v>21-Apr-2025</c:v>
                </c:pt>
                <c:pt idx="74">
                  <c:v>22-Apr-2025</c:v>
                </c:pt>
                <c:pt idx="75">
                  <c:v>23-Apr-2025</c:v>
                </c:pt>
                <c:pt idx="76">
                  <c:v>24-Apr-2025</c:v>
                </c:pt>
                <c:pt idx="77">
                  <c:v>25-Apr-2025</c:v>
                </c:pt>
                <c:pt idx="78">
                  <c:v>28-Apr-2025</c:v>
                </c:pt>
                <c:pt idx="79">
                  <c:v>29-Apr-2025</c:v>
                </c:pt>
                <c:pt idx="80">
                  <c:v>30-Apr-2025</c:v>
                </c:pt>
                <c:pt idx="81">
                  <c:v>02-May-2025</c:v>
                </c:pt>
                <c:pt idx="82">
                  <c:v>05-May-2025</c:v>
                </c:pt>
                <c:pt idx="83">
                  <c:v>06-May-2025</c:v>
                </c:pt>
                <c:pt idx="84">
                  <c:v>07-May-2025</c:v>
                </c:pt>
                <c:pt idx="85">
                  <c:v>08-May-2025</c:v>
                </c:pt>
                <c:pt idx="86">
                  <c:v>09-May-2025</c:v>
                </c:pt>
                <c:pt idx="87">
                  <c:v>12-May-2025</c:v>
                </c:pt>
                <c:pt idx="88">
                  <c:v>13-May-2025</c:v>
                </c:pt>
                <c:pt idx="89">
                  <c:v>14-May-2025</c:v>
                </c:pt>
                <c:pt idx="90">
                  <c:v>15-May-2025</c:v>
                </c:pt>
                <c:pt idx="91">
                  <c:v>16-May-2025</c:v>
                </c:pt>
                <c:pt idx="92">
                  <c:v>19-May-2025</c:v>
                </c:pt>
                <c:pt idx="93">
                  <c:v>20-May-2025</c:v>
                </c:pt>
                <c:pt idx="94">
                  <c:v>21-May-2025</c:v>
                </c:pt>
                <c:pt idx="95">
                  <c:v>22-May-2025</c:v>
                </c:pt>
                <c:pt idx="96">
                  <c:v>23-May-2025</c:v>
                </c:pt>
                <c:pt idx="97">
                  <c:v>26-May-2025</c:v>
                </c:pt>
                <c:pt idx="98">
                  <c:v>27-May-2025</c:v>
                </c:pt>
                <c:pt idx="99">
                  <c:v>28-May-2025</c:v>
                </c:pt>
                <c:pt idx="100">
                  <c:v>29-May-2025</c:v>
                </c:pt>
                <c:pt idx="101">
                  <c:v>30-May-2025</c:v>
                </c:pt>
                <c:pt idx="102">
                  <c:v>02-Jun-2025</c:v>
                </c:pt>
                <c:pt idx="103">
                  <c:v>03-Jun-2025</c:v>
                </c:pt>
                <c:pt idx="104">
                  <c:v>04-Jun-2025</c:v>
                </c:pt>
                <c:pt idx="105">
                  <c:v>05-Jun-2025</c:v>
                </c:pt>
                <c:pt idx="106">
                  <c:v>06-Jun-2025</c:v>
                </c:pt>
                <c:pt idx="107">
                  <c:v>09-Jun-2025</c:v>
                </c:pt>
                <c:pt idx="108">
                  <c:v>10-Jun-2025</c:v>
                </c:pt>
                <c:pt idx="109">
                  <c:v>11-Jun-2025</c:v>
                </c:pt>
                <c:pt idx="110">
                  <c:v>12-Jun-2025</c:v>
                </c:pt>
                <c:pt idx="111">
                  <c:v>13-Jun-2025</c:v>
                </c:pt>
                <c:pt idx="112">
                  <c:v>16-Jun-2025</c:v>
                </c:pt>
                <c:pt idx="113">
                  <c:v>17-Jun-2025</c:v>
                </c:pt>
                <c:pt idx="114">
                  <c:v>18-Jun-2025</c:v>
                </c:pt>
                <c:pt idx="115">
                  <c:v>19-Jun-2025</c:v>
                </c:pt>
                <c:pt idx="116">
                  <c:v>20-Jun-2025</c:v>
                </c:pt>
                <c:pt idx="117">
                  <c:v>23-Jun-2025</c:v>
                </c:pt>
                <c:pt idx="118">
                  <c:v>24-Jun-2025</c:v>
                </c:pt>
                <c:pt idx="119">
                  <c:v>25-Jun-2025</c:v>
                </c:pt>
                <c:pt idx="120">
                  <c:v>26-Jun-2025</c:v>
                </c:pt>
                <c:pt idx="121">
                  <c:v>27-Jun-2025</c:v>
                </c:pt>
                <c:pt idx="122">
                  <c:v>30-Jun-2025</c:v>
                </c:pt>
                <c:pt idx="123">
                  <c:v>01-Jul-2025</c:v>
                </c:pt>
                <c:pt idx="124">
                  <c:v>02-Jul-2025</c:v>
                </c:pt>
                <c:pt idx="125">
                  <c:v>03-Jul-2025</c:v>
                </c:pt>
                <c:pt idx="126">
                  <c:v>04-Jul-2025</c:v>
                </c:pt>
                <c:pt idx="127">
                  <c:v>07-Jul-2025</c:v>
                </c:pt>
                <c:pt idx="128">
                  <c:v>08-Jul-2025</c:v>
                </c:pt>
                <c:pt idx="129">
                  <c:v>09-Jul-2025</c:v>
                </c:pt>
                <c:pt idx="130">
                  <c:v>10-Jul-2025</c:v>
                </c:pt>
                <c:pt idx="131">
                  <c:v>11-Jul-2025</c:v>
                </c:pt>
                <c:pt idx="132">
                  <c:v>14-Jul-2025</c:v>
                </c:pt>
                <c:pt idx="133">
                  <c:v>15-Jul-2025</c:v>
                </c:pt>
                <c:pt idx="134">
                  <c:v>16-Jul-2025</c:v>
                </c:pt>
                <c:pt idx="135">
                  <c:v>17-Jul-2025</c:v>
                </c:pt>
                <c:pt idx="136">
                  <c:v>18-Jul-2025</c:v>
                </c:pt>
                <c:pt idx="137">
                  <c:v>21-Jul-2025</c:v>
                </c:pt>
                <c:pt idx="138">
                  <c:v>22-Jul-2025</c:v>
                </c:pt>
                <c:pt idx="139">
                  <c:v>23-Jul-2025</c:v>
                </c:pt>
                <c:pt idx="140">
                  <c:v>24-Jul-2025</c:v>
                </c:pt>
                <c:pt idx="141">
                  <c:v>25-Jul-2025</c:v>
                </c:pt>
                <c:pt idx="142">
                  <c:v>28-Jul-2025</c:v>
                </c:pt>
                <c:pt idx="143">
                  <c:v>29-Jul-2025</c:v>
                </c:pt>
                <c:pt idx="144">
                  <c:v>30-Jul-2025</c:v>
                </c:pt>
                <c:pt idx="145">
                  <c:v>31-Jul-2025</c:v>
                </c:pt>
                <c:pt idx="146">
                  <c:v>01-Aug-2025</c:v>
                </c:pt>
                <c:pt idx="147">
                  <c:v>04-Aug-2025</c:v>
                </c:pt>
                <c:pt idx="148">
                  <c:v>05-Aug-2025</c:v>
                </c:pt>
                <c:pt idx="149">
                  <c:v>06-Aug-2025</c:v>
                </c:pt>
                <c:pt idx="150">
                  <c:v>07-Aug-2025</c:v>
                </c:pt>
                <c:pt idx="151">
                  <c:v>08-Aug-2025</c:v>
                </c:pt>
                <c:pt idx="152">
                  <c:v>11-Aug-2025</c:v>
                </c:pt>
                <c:pt idx="153">
                  <c:v>12-Aug-2025</c:v>
                </c:pt>
                <c:pt idx="154">
                  <c:v>13-Aug-2025</c:v>
                </c:pt>
                <c:pt idx="155">
                  <c:v>14-Aug-2025</c:v>
                </c:pt>
                <c:pt idx="156">
                  <c:v>18-Aug-2025</c:v>
                </c:pt>
                <c:pt idx="157">
                  <c:v>19-Aug-2025</c:v>
                </c:pt>
                <c:pt idx="158">
                  <c:v>20-Aug-2025</c:v>
                </c:pt>
                <c:pt idx="159">
                  <c:v>21-Aug-2025</c:v>
                </c:pt>
                <c:pt idx="160">
                  <c:v>22-Aug-2025</c:v>
                </c:pt>
                <c:pt idx="161">
                  <c:v>25-Aug-2025</c:v>
                </c:pt>
                <c:pt idx="162">
                  <c:v>26-Aug-2025</c:v>
                </c:pt>
                <c:pt idx="163">
                  <c:v>28-Aug-2025</c:v>
                </c:pt>
                <c:pt idx="164">
                  <c:v>29-Aug-2025</c:v>
                </c:pt>
                <c:pt idx="165">
                  <c:v>01-Sep-2025</c:v>
                </c:pt>
                <c:pt idx="166">
                  <c:v>02-Sep-2025</c:v>
                </c:pt>
                <c:pt idx="167">
                  <c:v>03-Sep-2025</c:v>
                </c:pt>
                <c:pt idx="168">
                  <c:v>04-Sep-2025</c:v>
                </c:pt>
                <c:pt idx="169">
                  <c:v>05-Sep-2025</c:v>
                </c:pt>
                <c:pt idx="170">
                  <c:v>08-Sep-2025</c:v>
                </c:pt>
                <c:pt idx="171">
                  <c:v>09-Sep-2025</c:v>
                </c:pt>
                <c:pt idx="172">
                  <c:v>10-Sep-2025</c:v>
                </c:pt>
                <c:pt idx="173">
                  <c:v>11-Sep-2025</c:v>
                </c:pt>
                <c:pt idx="174">
                  <c:v>12-Sep-2025</c:v>
                </c:pt>
                <c:pt idx="175">
                  <c:v>15-Sep-2025</c:v>
                </c:pt>
                <c:pt idx="176">
                  <c:v>16-Sep-2025</c:v>
                </c:pt>
                <c:pt idx="177">
                  <c:v>17-Sep-2025</c:v>
                </c:pt>
                <c:pt idx="178">
                  <c:v>18-Sep-2025</c:v>
                </c:pt>
                <c:pt idx="179">
                  <c:v>19-Sep-2025</c:v>
                </c:pt>
                <c:pt idx="180">
                  <c:v>22-Sep-2025</c:v>
                </c:pt>
                <c:pt idx="181">
                  <c:v>23-Sep-2025</c:v>
                </c:pt>
                <c:pt idx="182">
                  <c:v>24-Sep-2025</c:v>
                </c:pt>
                <c:pt idx="183">
                  <c:v>25-Sep-2025</c:v>
                </c:pt>
                <c:pt idx="184">
                  <c:v>26-Sep-2025</c:v>
                </c:pt>
                <c:pt idx="185">
                  <c:v>29-Sep-2025</c:v>
                </c:pt>
                <c:pt idx="186">
                  <c:v>30-Sep-2025</c:v>
                </c:pt>
                <c:pt idx="187">
                  <c:v>01-Oct-2025</c:v>
                </c:pt>
                <c:pt idx="188">
                  <c:v>03-Oct-2025</c:v>
                </c:pt>
                <c:pt idx="189">
                  <c:v>06-Oct-2025</c:v>
                </c:pt>
                <c:pt idx="190">
                  <c:v>07-Oct-2025</c:v>
                </c:pt>
                <c:pt idx="191">
                  <c:v>08-Oct-2025</c:v>
                </c:pt>
                <c:pt idx="192">
                  <c:v>09-Oct-2025</c:v>
                </c:pt>
                <c:pt idx="193">
                  <c:v>10-Oct-2025</c:v>
                </c:pt>
                <c:pt idx="194">
                  <c:v>13-Oct-2025</c:v>
                </c:pt>
                <c:pt idx="195">
                  <c:v>14-Oct-2025</c:v>
                </c:pt>
                <c:pt idx="196">
                  <c:v>15-Oct-2025</c:v>
                </c:pt>
                <c:pt idx="197">
                  <c:v>16-Oct-2025</c:v>
                </c:pt>
                <c:pt idx="198">
                  <c:v>17-Oct-2025</c:v>
                </c:pt>
                <c:pt idx="199">
                  <c:v>20-Oct-2025</c:v>
                </c:pt>
                <c:pt idx="200">
                  <c:v>21-Oct-2025</c:v>
                </c:pt>
                <c:pt idx="201">
                  <c:v>23-Oct-2025</c:v>
                </c:pt>
                <c:pt idx="202">
                  <c:v>24-Oct-2025</c:v>
                </c:pt>
                <c:pt idx="203">
                  <c:v>27-Oct-2025</c:v>
                </c:pt>
                <c:pt idx="204">
                  <c:v>28-Oct-2025</c:v>
                </c:pt>
                <c:pt idx="205">
                  <c:v>29-Oct-2025</c:v>
                </c:pt>
                <c:pt idx="206">
                  <c:v>30-Oct-2025</c:v>
                </c:pt>
                <c:pt idx="207">
                  <c:v>31-Oct-2025</c:v>
                </c:pt>
                <c:pt idx="208">
                  <c:v>03-Nov-2025</c:v>
                </c:pt>
                <c:pt idx="209">
                  <c:v>04-Nov-2025</c:v>
                </c:pt>
                <c:pt idx="210">
                  <c:v>06-Nov-2025</c:v>
                </c:pt>
                <c:pt idx="211">
                  <c:v>07-Nov-2025</c:v>
                </c:pt>
                <c:pt idx="212">
                  <c:v>10-Nov-2025</c:v>
                </c:pt>
                <c:pt idx="213">
                  <c:v>11-Nov-2025</c:v>
                </c:pt>
                <c:pt idx="214">
                  <c:v>12-Nov-2025</c:v>
                </c:pt>
                <c:pt idx="215">
                  <c:v>13-Nov-2025</c:v>
                </c:pt>
                <c:pt idx="216">
                  <c:v>14-Nov-2025</c:v>
                </c:pt>
                <c:pt idx="217">
                  <c:v>17-Nov-2025</c:v>
                </c:pt>
                <c:pt idx="218">
                  <c:v>18-Nov-2025</c:v>
                </c:pt>
                <c:pt idx="219">
                  <c:v>19-Nov-2025</c:v>
                </c:pt>
                <c:pt idx="220">
                  <c:v>20-Nov-2025</c:v>
                </c:pt>
                <c:pt idx="221">
                  <c:v>21-Nov-2025</c:v>
                </c:pt>
                <c:pt idx="222">
                  <c:v>24-Nov-2025</c:v>
                </c:pt>
                <c:pt idx="223">
                  <c:v>25-Nov-2025</c:v>
                </c:pt>
                <c:pt idx="224">
                  <c:v>26-Nov-2025</c:v>
                </c:pt>
                <c:pt idx="225">
                  <c:v>27-Nov-2025</c:v>
                </c:pt>
                <c:pt idx="226">
                  <c:v>28-Nov-2025</c:v>
                </c:pt>
                <c:pt idx="227">
                  <c:v>01-Dec-2025</c:v>
                </c:pt>
                <c:pt idx="228">
                  <c:v>02-Dec-2025</c:v>
                </c:pt>
                <c:pt idx="229">
                  <c:v>03-Dec-2025</c:v>
                </c:pt>
                <c:pt idx="230">
                  <c:v>04-Dec-2025</c:v>
                </c:pt>
                <c:pt idx="231">
                  <c:v>05-Dec-2025</c:v>
                </c:pt>
                <c:pt idx="232">
                  <c:v>08-Dec-2025</c:v>
                </c:pt>
                <c:pt idx="233">
                  <c:v>09-Dec-2025</c:v>
                </c:pt>
                <c:pt idx="234">
                  <c:v>10-Dec-2025</c:v>
                </c:pt>
                <c:pt idx="235">
                  <c:v>11-Dec-2025</c:v>
                </c:pt>
                <c:pt idx="236">
                  <c:v>12-Dec-2025</c:v>
                </c:pt>
                <c:pt idx="237">
                  <c:v>15-Dec-2025</c:v>
                </c:pt>
                <c:pt idx="238">
                  <c:v>16-Dec-2025</c:v>
                </c:pt>
                <c:pt idx="239">
                  <c:v>17-Dec-2025</c:v>
                </c:pt>
                <c:pt idx="240">
                  <c:v>18-Dec-2025</c:v>
                </c:pt>
                <c:pt idx="241">
                  <c:v>19-Dec-2025</c:v>
                </c:pt>
                <c:pt idx="242">
                  <c:v>22-Dec-2025</c:v>
                </c:pt>
                <c:pt idx="243">
                  <c:v>23-Dec-2025</c:v>
                </c:pt>
                <c:pt idx="244">
                  <c:v>24-Dec-2025</c:v>
                </c:pt>
                <c:pt idx="245">
                  <c:v>26-Dec-2025</c:v>
                </c:pt>
                <c:pt idx="246">
                  <c:v>29-Dec-2025</c:v>
                </c:pt>
                <c:pt idx="247">
                  <c:v>30-Dec-2025</c:v>
                </c:pt>
                <c:pt idx="248">
                  <c:v>31-Dec-2025</c:v>
                </c:pt>
              </c:strCache>
            </c:strRef>
          </c:cat>
          <c:val>
            <c:numRef>
              <c:f>NearMonth_Daily!$H$2:$H$250</c:f>
              <c:numCache>
                <c:formatCode>#,##0</c:formatCode>
                <c:ptCount val="249"/>
                <c:pt idx="0">
                  <c:v>13270450</c:v>
                </c:pt>
                <c:pt idx="1">
                  <c:v>12424650</c:v>
                </c:pt>
                <c:pt idx="2">
                  <c:v>12608625</c:v>
                </c:pt>
                <c:pt idx="3">
                  <c:v>12439200</c:v>
                </c:pt>
                <c:pt idx="4">
                  <c:v>12651100</c:v>
                </c:pt>
                <c:pt idx="5">
                  <c:v>12927575</c:v>
                </c:pt>
                <c:pt idx="6">
                  <c:v>13641200</c:v>
                </c:pt>
                <c:pt idx="7">
                  <c:v>13543325</c:v>
                </c:pt>
                <c:pt idx="8">
                  <c:v>13866925</c:v>
                </c:pt>
                <c:pt idx="9">
                  <c:v>13753850</c:v>
                </c:pt>
                <c:pt idx="10">
                  <c:v>13536300</c:v>
                </c:pt>
                <c:pt idx="11">
                  <c:v>13500850</c:v>
                </c:pt>
                <c:pt idx="12">
                  <c:v>14032150</c:v>
                </c:pt>
                <c:pt idx="13">
                  <c:v>14133750</c:v>
                </c:pt>
                <c:pt idx="14">
                  <c:v>14572600</c:v>
                </c:pt>
                <c:pt idx="15">
                  <c:v>14085325</c:v>
                </c:pt>
                <c:pt idx="16">
                  <c:v>13637050</c:v>
                </c:pt>
                <c:pt idx="17">
                  <c:v>13209950</c:v>
                </c:pt>
                <c:pt idx="18">
                  <c:v>11804150</c:v>
                </c:pt>
                <c:pt idx="19">
                  <c:v>8969500</c:v>
                </c:pt>
                <c:pt idx="20">
                  <c:v>6367950</c:v>
                </c:pt>
                <c:pt idx="21">
                  <c:v>4310725</c:v>
                </c:pt>
                <c:pt idx="22">
                  <c:v>17774775</c:v>
                </c:pt>
                <c:pt idx="23">
                  <c:v>17392275</c:v>
                </c:pt>
                <c:pt idx="24">
                  <c:v>17125575</c:v>
                </c:pt>
                <c:pt idx="25">
                  <c:v>16697400</c:v>
                </c:pt>
                <c:pt idx="26">
                  <c:v>16613175</c:v>
                </c:pt>
                <c:pt idx="27">
                  <c:v>16787400</c:v>
                </c:pt>
                <c:pt idx="28">
                  <c:v>16761000</c:v>
                </c:pt>
                <c:pt idx="29">
                  <c:v>17100975</c:v>
                </c:pt>
                <c:pt idx="30">
                  <c:v>17240925</c:v>
                </c:pt>
                <c:pt idx="31">
                  <c:v>17572200</c:v>
                </c:pt>
                <c:pt idx="32">
                  <c:v>17272950</c:v>
                </c:pt>
                <c:pt idx="33">
                  <c:v>17385600</c:v>
                </c:pt>
                <c:pt idx="34">
                  <c:v>17193300</c:v>
                </c:pt>
                <c:pt idx="35">
                  <c:v>16780425</c:v>
                </c:pt>
                <c:pt idx="36">
                  <c:v>16659825</c:v>
                </c:pt>
                <c:pt idx="37">
                  <c:v>16391775</c:v>
                </c:pt>
                <c:pt idx="38">
                  <c:v>15082500</c:v>
                </c:pt>
                <c:pt idx="39">
                  <c:v>11660625</c:v>
                </c:pt>
                <c:pt idx="40">
                  <c:v>7711800</c:v>
                </c:pt>
                <c:pt idx="41">
                  <c:v>3467625</c:v>
                </c:pt>
                <c:pt idx="42">
                  <c:v>17905950</c:v>
                </c:pt>
                <c:pt idx="43">
                  <c:v>17949600</c:v>
                </c:pt>
                <c:pt idx="44">
                  <c:v>18198750</c:v>
                </c:pt>
                <c:pt idx="45">
                  <c:v>17827425</c:v>
                </c:pt>
                <c:pt idx="46">
                  <c:v>18106275</c:v>
                </c:pt>
                <c:pt idx="47">
                  <c:v>18054525</c:v>
                </c:pt>
                <c:pt idx="48">
                  <c:v>17677275</c:v>
                </c:pt>
                <c:pt idx="49">
                  <c:v>17580075</c:v>
                </c:pt>
                <c:pt idx="50">
                  <c:v>17460150</c:v>
                </c:pt>
                <c:pt idx="51">
                  <c:v>17564925</c:v>
                </c:pt>
                <c:pt idx="52">
                  <c:v>17206125</c:v>
                </c:pt>
                <c:pt idx="53">
                  <c:v>16764675</c:v>
                </c:pt>
                <c:pt idx="54">
                  <c:v>16443750</c:v>
                </c:pt>
                <c:pt idx="55">
                  <c:v>15414525</c:v>
                </c:pt>
                <c:pt idx="56">
                  <c:v>14353050</c:v>
                </c:pt>
                <c:pt idx="57">
                  <c:v>12926625</c:v>
                </c:pt>
                <c:pt idx="58">
                  <c:v>11648400</c:v>
                </c:pt>
                <c:pt idx="59">
                  <c:v>7067400</c:v>
                </c:pt>
                <c:pt idx="60">
                  <c:v>4421475</c:v>
                </c:pt>
                <c:pt idx="61">
                  <c:v>12560100</c:v>
                </c:pt>
                <c:pt idx="62">
                  <c:v>12808425</c:v>
                </c:pt>
                <c:pt idx="63">
                  <c:v>12604950</c:v>
                </c:pt>
                <c:pt idx="64">
                  <c:v>13032300</c:v>
                </c:pt>
                <c:pt idx="65">
                  <c:v>13654275</c:v>
                </c:pt>
                <c:pt idx="66">
                  <c:v>13875975</c:v>
                </c:pt>
                <c:pt idx="67">
                  <c:v>13430775</c:v>
                </c:pt>
                <c:pt idx="68">
                  <c:v>13164825</c:v>
                </c:pt>
                <c:pt idx="69">
                  <c:v>12919500</c:v>
                </c:pt>
                <c:pt idx="70">
                  <c:v>12380700</c:v>
                </c:pt>
                <c:pt idx="71">
                  <c:v>12106575</c:v>
                </c:pt>
                <c:pt idx="72">
                  <c:v>11622975</c:v>
                </c:pt>
                <c:pt idx="73">
                  <c:v>11051175</c:v>
                </c:pt>
                <c:pt idx="74">
                  <c:v>8816400</c:v>
                </c:pt>
                <c:pt idx="75">
                  <c:v>5549550</c:v>
                </c:pt>
                <c:pt idx="76">
                  <c:v>3392175</c:v>
                </c:pt>
                <c:pt idx="77">
                  <c:v>11736900</c:v>
                </c:pt>
                <c:pt idx="78">
                  <c:v>12629700</c:v>
                </c:pt>
                <c:pt idx="79">
                  <c:v>13070550</c:v>
                </c:pt>
                <c:pt idx="80">
                  <c:v>13347750</c:v>
                </c:pt>
                <c:pt idx="81">
                  <c:v>12934800</c:v>
                </c:pt>
                <c:pt idx="82">
                  <c:v>13520250</c:v>
                </c:pt>
                <c:pt idx="83">
                  <c:v>13527900</c:v>
                </c:pt>
                <c:pt idx="84">
                  <c:v>13159275</c:v>
                </c:pt>
                <c:pt idx="85">
                  <c:v>12776925</c:v>
                </c:pt>
                <c:pt idx="86">
                  <c:v>12619800</c:v>
                </c:pt>
                <c:pt idx="87">
                  <c:v>12644025</c:v>
                </c:pt>
                <c:pt idx="88">
                  <c:v>12246525</c:v>
                </c:pt>
                <c:pt idx="89">
                  <c:v>11632575</c:v>
                </c:pt>
                <c:pt idx="90">
                  <c:v>12191025</c:v>
                </c:pt>
                <c:pt idx="91">
                  <c:v>11973975</c:v>
                </c:pt>
                <c:pt idx="92">
                  <c:v>11775375</c:v>
                </c:pt>
                <c:pt idx="93">
                  <c:v>11175975</c:v>
                </c:pt>
                <c:pt idx="94">
                  <c:v>10785750</c:v>
                </c:pt>
                <c:pt idx="95">
                  <c:v>10423125</c:v>
                </c:pt>
                <c:pt idx="96">
                  <c:v>10398000</c:v>
                </c:pt>
                <c:pt idx="97">
                  <c:v>9418875</c:v>
                </c:pt>
                <c:pt idx="98">
                  <c:v>7685625</c:v>
                </c:pt>
                <c:pt idx="99">
                  <c:v>5931375</c:v>
                </c:pt>
                <c:pt idx="100">
                  <c:v>3945300</c:v>
                </c:pt>
                <c:pt idx="101">
                  <c:v>13020000</c:v>
                </c:pt>
                <c:pt idx="102">
                  <c:v>12674100</c:v>
                </c:pt>
                <c:pt idx="103">
                  <c:v>12731325</c:v>
                </c:pt>
                <c:pt idx="104">
                  <c:v>12494550</c:v>
                </c:pt>
                <c:pt idx="105">
                  <c:v>12317325</c:v>
                </c:pt>
                <c:pt idx="106">
                  <c:v>12180600</c:v>
                </c:pt>
                <c:pt idx="107">
                  <c:v>11925600</c:v>
                </c:pt>
                <c:pt idx="108">
                  <c:v>11487600</c:v>
                </c:pt>
                <c:pt idx="109">
                  <c:v>11403000</c:v>
                </c:pt>
                <c:pt idx="110">
                  <c:v>11388075</c:v>
                </c:pt>
                <c:pt idx="111">
                  <c:v>11825400</c:v>
                </c:pt>
                <c:pt idx="112">
                  <c:v>11748900</c:v>
                </c:pt>
                <c:pt idx="113">
                  <c:v>11568075</c:v>
                </c:pt>
                <c:pt idx="114">
                  <c:v>11174250</c:v>
                </c:pt>
                <c:pt idx="115">
                  <c:v>11068050</c:v>
                </c:pt>
                <c:pt idx="116">
                  <c:v>10854000</c:v>
                </c:pt>
                <c:pt idx="117">
                  <c:v>9159975</c:v>
                </c:pt>
                <c:pt idx="118">
                  <c:v>7305300</c:v>
                </c:pt>
                <c:pt idx="119">
                  <c:v>5420850</c:v>
                </c:pt>
                <c:pt idx="120">
                  <c:v>4190625</c:v>
                </c:pt>
                <c:pt idx="121">
                  <c:v>14899275</c:v>
                </c:pt>
                <c:pt idx="122">
                  <c:v>14414550</c:v>
                </c:pt>
                <c:pt idx="123">
                  <c:v>14546325</c:v>
                </c:pt>
                <c:pt idx="124">
                  <c:v>14085450</c:v>
                </c:pt>
                <c:pt idx="125">
                  <c:v>13701525</c:v>
                </c:pt>
                <c:pt idx="126">
                  <c:v>13464600</c:v>
                </c:pt>
                <c:pt idx="127">
                  <c:v>13276800</c:v>
                </c:pt>
                <c:pt idx="128">
                  <c:v>13341975</c:v>
                </c:pt>
                <c:pt idx="129">
                  <c:v>13456800</c:v>
                </c:pt>
                <c:pt idx="130">
                  <c:v>13465950</c:v>
                </c:pt>
                <c:pt idx="131">
                  <c:v>13451400</c:v>
                </c:pt>
                <c:pt idx="132">
                  <c:v>13697325</c:v>
                </c:pt>
                <c:pt idx="133">
                  <c:v>13659150</c:v>
                </c:pt>
                <c:pt idx="134">
                  <c:v>13731975</c:v>
                </c:pt>
                <c:pt idx="135">
                  <c:v>13825575</c:v>
                </c:pt>
                <c:pt idx="136">
                  <c:v>13738800</c:v>
                </c:pt>
                <c:pt idx="137">
                  <c:v>13284525</c:v>
                </c:pt>
                <c:pt idx="138">
                  <c:v>13220850</c:v>
                </c:pt>
                <c:pt idx="139">
                  <c:v>12754875</c:v>
                </c:pt>
                <c:pt idx="140">
                  <c:v>12360525</c:v>
                </c:pt>
                <c:pt idx="141">
                  <c:v>12162000</c:v>
                </c:pt>
                <c:pt idx="142">
                  <c:v>11209875</c:v>
                </c:pt>
                <c:pt idx="143">
                  <c:v>9140775</c:v>
                </c:pt>
                <c:pt idx="144">
                  <c:v>6997125</c:v>
                </c:pt>
                <c:pt idx="145">
                  <c:v>5278950</c:v>
                </c:pt>
                <c:pt idx="146">
                  <c:v>16890450</c:v>
                </c:pt>
                <c:pt idx="147">
                  <c:v>16496700</c:v>
                </c:pt>
                <c:pt idx="148">
                  <c:v>16602675</c:v>
                </c:pt>
                <c:pt idx="149">
                  <c:v>16681725</c:v>
                </c:pt>
                <c:pt idx="150">
                  <c:v>16752675</c:v>
                </c:pt>
                <c:pt idx="151">
                  <c:v>17244675</c:v>
                </c:pt>
                <c:pt idx="152">
                  <c:v>16920750</c:v>
                </c:pt>
                <c:pt idx="153">
                  <c:v>17018250</c:v>
                </c:pt>
                <c:pt idx="154">
                  <c:v>16845375</c:v>
                </c:pt>
                <c:pt idx="155">
                  <c:v>16733775</c:v>
                </c:pt>
                <c:pt idx="156">
                  <c:v>16437225</c:v>
                </c:pt>
                <c:pt idx="157">
                  <c:v>16231575</c:v>
                </c:pt>
                <c:pt idx="158">
                  <c:v>15889275</c:v>
                </c:pt>
                <c:pt idx="159">
                  <c:v>14993325</c:v>
                </c:pt>
                <c:pt idx="160">
                  <c:v>14147475</c:v>
                </c:pt>
                <c:pt idx="161">
                  <c:v>11033400</c:v>
                </c:pt>
                <c:pt idx="162">
                  <c:v>6923325</c:v>
                </c:pt>
                <c:pt idx="163">
                  <c:v>3311925</c:v>
                </c:pt>
                <c:pt idx="164">
                  <c:v>16610100</c:v>
                </c:pt>
                <c:pt idx="165">
                  <c:v>16621050</c:v>
                </c:pt>
                <c:pt idx="166">
                  <c:v>16496325</c:v>
                </c:pt>
                <c:pt idx="167">
                  <c:v>16501875</c:v>
                </c:pt>
                <c:pt idx="168">
                  <c:v>16957875</c:v>
                </c:pt>
                <c:pt idx="169">
                  <c:v>17097750</c:v>
                </c:pt>
                <c:pt idx="170">
                  <c:v>16973250</c:v>
                </c:pt>
                <c:pt idx="171">
                  <c:v>16931550</c:v>
                </c:pt>
                <c:pt idx="172">
                  <c:v>17231025</c:v>
                </c:pt>
                <c:pt idx="173">
                  <c:v>17062725</c:v>
                </c:pt>
                <c:pt idx="174">
                  <c:v>16637775</c:v>
                </c:pt>
                <c:pt idx="175">
                  <c:v>16654725</c:v>
                </c:pt>
                <c:pt idx="176">
                  <c:v>16082100</c:v>
                </c:pt>
                <c:pt idx="177">
                  <c:v>15695850</c:v>
                </c:pt>
                <c:pt idx="178">
                  <c:v>15519900</c:v>
                </c:pt>
                <c:pt idx="179">
                  <c:v>15007275</c:v>
                </c:pt>
                <c:pt idx="180">
                  <c:v>14757825</c:v>
                </c:pt>
                <c:pt idx="181">
                  <c:v>14358900</c:v>
                </c:pt>
                <c:pt idx="182">
                  <c:v>14210700</c:v>
                </c:pt>
                <c:pt idx="183">
                  <c:v>12505050</c:v>
                </c:pt>
                <c:pt idx="184">
                  <c:v>9691950</c:v>
                </c:pt>
                <c:pt idx="185">
                  <c:v>6130575</c:v>
                </c:pt>
                <c:pt idx="186">
                  <c:v>3831600</c:v>
                </c:pt>
                <c:pt idx="187">
                  <c:v>17259900</c:v>
                </c:pt>
                <c:pt idx="188">
                  <c:v>18015450</c:v>
                </c:pt>
                <c:pt idx="189">
                  <c:v>18296400</c:v>
                </c:pt>
                <c:pt idx="190">
                  <c:v>18017475</c:v>
                </c:pt>
                <c:pt idx="191">
                  <c:v>17699550</c:v>
                </c:pt>
                <c:pt idx="192">
                  <c:v>17510175</c:v>
                </c:pt>
                <c:pt idx="193">
                  <c:v>17289075</c:v>
                </c:pt>
                <c:pt idx="194">
                  <c:v>17247225</c:v>
                </c:pt>
                <c:pt idx="195">
                  <c:v>17773650</c:v>
                </c:pt>
                <c:pt idx="196">
                  <c:v>17931750</c:v>
                </c:pt>
                <c:pt idx="197">
                  <c:v>17756925</c:v>
                </c:pt>
                <c:pt idx="198">
                  <c:v>16718400</c:v>
                </c:pt>
                <c:pt idx="199">
                  <c:v>17353425</c:v>
                </c:pt>
                <c:pt idx="200">
                  <c:v>17435700</c:v>
                </c:pt>
                <c:pt idx="201">
                  <c:v>15719250</c:v>
                </c:pt>
                <c:pt idx="202">
                  <c:v>12844650</c:v>
                </c:pt>
                <c:pt idx="203">
                  <c:v>8375850</c:v>
                </c:pt>
                <c:pt idx="204">
                  <c:v>4845750</c:v>
                </c:pt>
                <c:pt idx="205">
                  <c:v>14784150</c:v>
                </c:pt>
                <c:pt idx="206">
                  <c:v>15791250</c:v>
                </c:pt>
                <c:pt idx="207">
                  <c:v>16902225</c:v>
                </c:pt>
                <c:pt idx="208">
                  <c:v>16784025</c:v>
                </c:pt>
                <c:pt idx="209">
                  <c:v>17687175</c:v>
                </c:pt>
                <c:pt idx="210">
                  <c:v>17669175</c:v>
                </c:pt>
                <c:pt idx="211">
                  <c:v>18547500</c:v>
                </c:pt>
                <c:pt idx="212">
                  <c:v>18529950</c:v>
                </c:pt>
                <c:pt idx="213">
                  <c:v>18523050</c:v>
                </c:pt>
                <c:pt idx="214">
                  <c:v>17753700</c:v>
                </c:pt>
                <c:pt idx="215">
                  <c:v>17577300</c:v>
                </c:pt>
                <c:pt idx="216">
                  <c:v>18342450</c:v>
                </c:pt>
                <c:pt idx="217">
                  <c:v>18060375</c:v>
                </c:pt>
                <c:pt idx="218">
                  <c:v>17610000</c:v>
                </c:pt>
                <c:pt idx="219">
                  <c:v>16795500</c:v>
                </c:pt>
                <c:pt idx="220">
                  <c:v>14612850</c:v>
                </c:pt>
                <c:pt idx="221">
                  <c:v>12346875</c:v>
                </c:pt>
                <c:pt idx="222">
                  <c:v>9271125</c:v>
                </c:pt>
                <c:pt idx="223">
                  <c:v>6607875</c:v>
                </c:pt>
                <c:pt idx="224">
                  <c:v>14001225</c:v>
                </c:pt>
                <c:pt idx="225">
                  <c:v>13814175</c:v>
                </c:pt>
                <c:pt idx="226">
                  <c:v>13619100</c:v>
                </c:pt>
                <c:pt idx="227">
                  <c:v>14077275</c:v>
                </c:pt>
                <c:pt idx="228">
                  <c:v>14568000</c:v>
                </c:pt>
                <c:pt idx="229">
                  <c:v>15189000</c:v>
                </c:pt>
                <c:pt idx="230">
                  <c:v>15098475</c:v>
                </c:pt>
                <c:pt idx="231">
                  <c:v>14727075</c:v>
                </c:pt>
                <c:pt idx="232">
                  <c:v>15977700</c:v>
                </c:pt>
                <c:pt idx="233">
                  <c:v>16474200</c:v>
                </c:pt>
                <c:pt idx="234">
                  <c:v>16857150</c:v>
                </c:pt>
                <c:pt idx="235">
                  <c:v>16285800</c:v>
                </c:pt>
                <c:pt idx="236">
                  <c:v>16302825</c:v>
                </c:pt>
                <c:pt idx="237">
                  <c:v>15875025</c:v>
                </c:pt>
                <c:pt idx="238">
                  <c:v>16142550</c:v>
                </c:pt>
                <c:pt idx="239">
                  <c:v>16414725</c:v>
                </c:pt>
                <c:pt idx="240">
                  <c:v>16043025</c:v>
                </c:pt>
                <c:pt idx="241">
                  <c:v>15160350</c:v>
                </c:pt>
                <c:pt idx="242">
                  <c:v>14458500</c:v>
                </c:pt>
                <c:pt idx="243">
                  <c:v>13633650</c:v>
                </c:pt>
                <c:pt idx="244">
                  <c:v>12572700</c:v>
                </c:pt>
                <c:pt idx="245">
                  <c:v>10364700</c:v>
                </c:pt>
                <c:pt idx="246">
                  <c:v>7395750</c:v>
                </c:pt>
                <c:pt idx="247">
                  <c:v>5790000</c:v>
                </c:pt>
                <c:pt idx="248">
                  <c:v>14026480</c:v>
                </c:pt>
              </c:numCache>
            </c:numRef>
          </c:val>
          <c:smooth val="0"/>
        </c:ser>
        <c:hiLowLines>
          <c:spPr>
            <a:ln w="0">
              <a:noFill/>
            </a:ln>
          </c:spPr>
        </c:hiLowLines>
        <c:marker val="0"/>
        <c:axId val="61594353"/>
        <c:axId val="28016755"/>
      </c:lineChart>
      <c:catAx>
        <c:axId val="61594353"/>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Date</a:t>
                </a:r>
              </a:p>
            </c:rich>
          </c:tx>
          <c:overlay val="0"/>
          <c:spPr>
            <a:noFill/>
            <a:ln w="0">
              <a:noFill/>
            </a:ln>
          </c:spPr>
        </c:title>
        <c:numFmt formatCode="mmm\-yy"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8016755"/>
        <c:crosses val="autoZero"/>
        <c:auto val="1"/>
        <c:lblAlgn val="ctr"/>
        <c:lblOffset val="100"/>
        <c:noMultiLvlLbl val="0"/>
      </c:catAx>
      <c:valAx>
        <c:axId val="28016755"/>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Contracts (mn)</a:t>
                </a:r>
              </a:p>
            </c:rich>
          </c:tx>
          <c:overlay val="0"/>
          <c:spPr>
            <a:noFill/>
            <a:ln w="0">
              <a:noFill/>
            </a:ln>
          </c:spPr>
        </c:title>
        <c:numFmt formatCode="0.0,,\M"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6159435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Near-month basis by days to expiry</a:t>
            </a:r>
          </a:p>
        </c:rich>
      </c:tx>
      <c:overlay val="0"/>
      <c:spPr>
        <a:noFill/>
        <a:ln w="0">
          <a:noFill/>
        </a:ln>
      </c:spPr>
    </c:title>
    <c:autoTitleDeleted val="0"/>
    <c:plotArea>
      <c:barChart>
        <c:barDir val="col"/>
        <c:grouping val="clustered"/>
        <c:varyColors val="0"/>
        <c:ser>
          <c:idx val="0"/>
          <c:order val="0"/>
          <c:tx>
            <c:strRef>
              <c:f>Basis_Analysis!E7</c:f>
              <c:strCache>
                <c:ptCount val="1"/>
                <c:pt idx="0">
                  <c:v>Avg Basis (pts)</c:v>
                </c:pt>
              </c:strCache>
            </c:strRef>
          </c:tx>
          <c:spPr>
            <a:solidFill>
              <a:srgbClr val="2e75b6"/>
            </a:solidFill>
            <a:ln w="0">
              <a:solidFill>
                <a:srgbClr val="2e75b6"/>
              </a:solidFill>
            </a:ln>
          </c:spPr>
          <c:invertIfNegative val="0"/>
          <c:dLbls>
            <c:txPr>
              <a:bodyPr wrap="square"/>
              <a:lstStyle/>
              <a:p>
                <a:pPr>
                  <a:defRPr b="0" sz="1000" strike="noStrike" u="none">
                    <a:solidFill>
                      <a:srgbClr val="000000"/>
                    </a:solidFill>
                    <a:uFillTx/>
                    <a:latin typeface="Arial"/>
                  </a:defRPr>
                </a:pPr>
              </a:p>
            </c:txPr>
            <c:dLblPos val="outEnd"/>
            <c:showLegendKey val="0"/>
            <c:showVal val="0"/>
            <c:showCatName val="0"/>
            <c:showSerName val="0"/>
            <c:showPercent val="0"/>
            <c:separator>; </c:separator>
            <c:showLeaderLines val="1"/>
            <c:leaderLines>
              <c:spPr>
                <a:ln>
                  <a:solidFill>
                    <a:srgbClr val="2e75b6"/>
                  </a:solidFill>
                </a:ln>
              </c:spPr>
            </c:leaderLines>
            <c:extLst>
              <c:ext xmlns:c15="http://schemas.microsoft.com/office/drawing/2012/chart" uri="{CE6537A1-D6FC-4f65-9D91-7224C49458BB}">
                <c15:showLeaderLines val="1"/>
              </c:ext>
            </c:extLst>
          </c:dLbls>
          <c:cat>
            <c:strRef>
              <c:f>Basis_Analysis!$A$8:$A$13</c:f>
              <c:strCache>
                <c:ptCount val="6"/>
                <c:pt idx="0">
                  <c:v>Expiry day (0)</c:v>
                </c:pt>
                <c:pt idx="1">
                  <c:v>1–5 days</c:v>
                </c:pt>
                <c:pt idx="2">
                  <c:v>6–10 days</c:v>
                </c:pt>
                <c:pt idx="3">
                  <c:v>11–15 days</c:v>
                </c:pt>
                <c:pt idx="4">
                  <c:v>16–20 days</c:v>
                </c:pt>
                <c:pt idx="5">
                  <c:v>21+ days</c:v>
                </c:pt>
              </c:strCache>
            </c:strRef>
          </c:cat>
          <c:val>
            <c:numRef>
              <c:f>Basis_Analysis!$E$8:$E$13</c:f>
              <c:numCache>
                <c:formatCode>0.0</c:formatCode>
                <c:ptCount val="6"/>
                <c:pt idx="0">
                  <c:v>-3.53749999999976</c:v>
                </c:pt>
                <c:pt idx="1">
                  <c:v>26.9000000000002</c:v>
                </c:pt>
                <c:pt idx="2">
                  <c:v>38.6877551020406</c:v>
                </c:pt>
                <c:pt idx="3">
                  <c:v>70.4341463414638</c:v>
                </c:pt>
                <c:pt idx="4">
                  <c:v>82.4924242424247</c:v>
                </c:pt>
                <c:pt idx="5">
                  <c:v>108.645394736842</c:v>
                </c:pt>
              </c:numCache>
            </c:numRef>
          </c:val>
        </c:ser>
        <c:gapWidth val="60"/>
        <c:overlap val="0"/>
        <c:axId val="40106218"/>
        <c:axId val="11483365"/>
      </c:barChart>
      <c:catAx>
        <c:axId val="40106218"/>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Days to expiry</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1483365"/>
        <c:crosses val="autoZero"/>
        <c:auto val="1"/>
        <c:lblAlgn val="ctr"/>
        <c:lblOffset val="100"/>
        <c:noMultiLvlLbl val="0"/>
      </c:catAx>
      <c:valAx>
        <c:axId val="11483365"/>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Avg basis (pts)</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4010621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Near-month share of near+next OI (rollover)</a:t>
            </a:r>
          </a:p>
        </c:rich>
      </c:tx>
      <c:overlay val="0"/>
      <c:spPr>
        <a:noFill/>
        <a:ln w="0">
          <a:noFill/>
        </a:ln>
      </c:spPr>
    </c:title>
    <c:autoTitleDeleted val="0"/>
    <c:plotArea>
      <c:barChart>
        <c:barDir val="col"/>
        <c:grouping val="clustered"/>
        <c:varyColors val="0"/>
        <c:ser>
          <c:idx val="0"/>
          <c:order val="0"/>
          <c:tx>
            <c:strRef>
              <c:f>Basis_Analysis!J7</c:f>
              <c:strCache>
                <c:ptCount val="1"/>
                <c:pt idx="0">
                  <c:v>Near-Month Share of Near+Next OI</c:v>
                </c:pt>
              </c:strCache>
            </c:strRef>
          </c:tx>
          <c:spPr>
            <a:solidFill>
              <a:srgbClr val="1f4e78"/>
            </a:solidFill>
            <a:ln w="0">
              <a:solidFill>
                <a:srgbClr val="1f4e78"/>
              </a:solidFill>
            </a:ln>
          </c:spPr>
          <c:invertIfNegative val="0"/>
          <c:dLbls>
            <c:txPr>
              <a:bodyPr wrap="square"/>
              <a:lstStyle/>
              <a:p>
                <a:pPr>
                  <a:defRPr b="0" sz="1000" strike="noStrike" u="none">
                    <a:solidFill>
                      <a:srgbClr val="000000"/>
                    </a:solidFill>
                    <a:uFillTx/>
                    <a:latin typeface="Arial"/>
                  </a:defRPr>
                </a:pPr>
              </a:p>
            </c:txPr>
            <c:dLblPos val="outEnd"/>
            <c:showLegendKey val="0"/>
            <c:showVal val="0"/>
            <c:showCatName val="0"/>
            <c:showSerName val="0"/>
            <c:showPercent val="0"/>
            <c:separator>; </c:separator>
            <c:showLeaderLines val="1"/>
            <c:leaderLines>
              <c:spPr>
                <a:ln>
                  <a:solidFill>
                    <a:srgbClr val="1f4e78"/>
                  </a:solidFill>
                </a:ln>
              </c:spPr>
            </c:leaderLines>
            <c:extLst>
              <c:ext xmlns:c15="http://schemas.microsoft.com/office/drawing/2012/chart" uri="{CE6537A1-D6FC-4f65-9D91-7224C49458BB}">
                <c15:showLeaderLines val="1"/>
              </c:ext>
            </c:extLst>
          </c:dLbls>
          <c:cat>
            <c:strRef>
              <c:f>Basis_Analysis!$A$8:$A$13</c:f>
              <c:strCache>
                <c:ptCount val="6"/>
                <c:pt idx="0">
                  <c:v>Expiry day (0)</c:v>
                </c:pt>
                <c:pt idx="1">
                  <c:v>1–5 days</c:v>
                </c:pt>
                <c:pt idx="2">
                  <c:v>6–10 days</c:v>
                </c:pt>
                <c:pt idx="3">
                  <c:v>11–15 days</c:v>
                </c:pt>
                <c:pt idx="4">
                  <c:v>16–20 days</c:v>
                </c:pt>
                <c:pt idx="5">
                  <c:v>21+ days</c:v>
                </c:pt>
              </c:strCache>
            </c:strRef>
          </c:cat>
          <c:val>
            <c:numRef>
              <c:f>Basis_Analysis!$J$8:$J$13</c:f>
              <c:numCache>
                <c:formatCode>0.0%</c:formatCode>
                <c:ptCount val="6"/>
                <c:pt idx="0">
                  <c:v>0.233183861058626</c:v>
                </c:pt>
                <c:pt idx="1">
                  <c:v>0.516732807776064</c:v>
                </c:pt>
                <c:pt idx="2">
                  <c:v>0.784221227055774</c:v>
                </c:pt>
                <c:pt idx="3">
                  <c:v>0.862955312403415</c:v>
                </c:pt>
                <c:pt idx="4">
                  <c:v>0.878698901394143</c:v>
                </c:pt>
                <c:pt idx="5">
                  <c:v>0.909314154667939</c:v>
                </c:pt>
              </c:numCache>
            </c:numRef>
          </c:val>
        </c:ser>
        <c:gapWidth val="60"/>
        <c:overlap val="0"/>
        <c:axId val="20828080"/>
        <c:axId val="66150460"/>
      </c:barChart>
      <c:catAx>
        <c:axId val="20828080"/>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Days to expiry</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66150460"/>
        <c:crosses val="autoZero"/>
        <c:auto val="1"/>
        <c:lblAlgn val="ctr"/>
        <c:lblOffset val="100"/>
        <c:noMultiLvlLbl val="0"/>
      </c:catAx>
      <c:valAx>
        <c:axId val="66150460"/>
        <c:scaling>
          <c:orientation val="minMax"/>
          <c:max val="1"/>
          <c:min val="0"/>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Share of OI</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082808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Average basis by month: near month vs all series</a:t>
            </a:r>
          </a:p>
        </c:rich>
      </c:tx>
      <c:overlay val="0"/>
      <c:spPr>
        <a:noFill/>
        <a:ln w="0">
          <a:noFill/>
        </a:ln>
      </c:spPr>
    </c:title>
    <c:autoTitleDeleted val="0"/>
    <c:plotArea>
      <c:lineChart>
        <c:grouping val="standard"/>
        <c:varyColors val="0"/>
        <c:ser>
          <c:idx val="0"/>
          <c:order val="0"/>
          <c:tx>
            <c:strRef>
              <c:f>Monthly_Summary!I1</c:f>
              <c:strCache>
                <c:ptCount val="1"/>
                <c:pt idx="0">
                  <c:v>NM_Avg_Basis</c:v>
                </c:pt>
              </c:strCache>
            </c:strRef>
          </c:tx>
          <c:spPr>
            <a:solidFill>
              <a:srgbClr val="1f4e78"/>
            </a:solidFill>
            <a:ln w="19080">
              <a:solidFill>
                <a:srgbClr val="1f4e78"/>
              </a:solidFill>
              <a:round/>
            </a:ln>
          </c:spPr>
          <c:marker>
            <c:symbol val="none"/>
          </c:marker>
          <c:dLbls>
            <c:txPr>
              <a:bodyPr wrap="square"/>
              <a:lstStyle/>
              <a:p>
                <a:pPr>
                  <a:defRPr b="0" sz="1000" strike="noStrike" u="none">
                    <a:solidFill>
                      <a:srgbClr val="000000"/>
                    </a:solidFill>
                    <a:uFillTx/>
                    <a:latin typeface="Arial"/>
                  </a:defRPr>
                </a:pPr>
              </a:p>
            </c:txPr>
            <c:dLblPos val="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cat>
            <c:strRef>
              <c:f>Monthly_Summary!$A$2:$A$13</c:f>
              <c:strCach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Cache>
            </c:strRef>
          </c:cat>
          <c:val>
            <c:numRef>
              <c:f>Monthly_Summary!$I$2:$I$13</c:f>
              <c:numCache>
                <c:formatCode>0.0</c:formatCode>
                <c:ptCount val="12"/>
                <c:pt idx="0">
                  <c:v>67.136956521739</c:v>
                </c:pt>
                <c:pt idx="1">
                  <c:v>62.4210526315791</c:v>
                </c:pt>
                <c:pt idx="2">
                  <c:v>61.7083333333329</c:v>
                </c:pt>
                <c:pt idx="3">
                  <c:v>56.5764705882357</c:v>
                </c:pt>
                <c:pt idx="4">
                  <c:v>43.9075000000003</c:v>
                </c:pt>
                <c:pt idx="5">
                  <c:v>55.9785714285716</c:v>
                </c:pt>
                <c:pt idx="6">
                  <c:v>56.3739130434784</c:v>
                </c:pt>
                <c:pt idx="7">
                  <c:v>57.0289473684214</c:v>
                </c:pt>
                <c:pt idx="8">
                  <c:v>84.347727272728</c:v>
                </c:pt>
                <c:pt idx="9">
                  <c:v>90.1309523809524</c:v>
                </c:pt>
                <c:pt idx="10">
                  <c:v>86.3078947368422</c:v>
                </c:pt>
                <c:pt idx="11">
                  <c:v>90.1477272727278</c:v>
                </c:pt>
              </c:numCache>
            </c:numRef>
          </c:val>
          <c:smooth val="0"/>
        </c:ser>
        <c:ser>
          <c:idx val="1"/>
          <c:order val="1"/>
          <c:tx>
            <c:strRef>
              <c:f>Monthly_Summary!E1</c:f>
              <c:strCache>
                <c:ptCount val="1"/>
                <c:pt idx="0">
                  <c:v>Avg_Basis</c:v>
                </c:pt>
              </c:strCache>
            </c:strRef>
          </c:tx>
          <c:spPr>
            <a:solidFill>
              <a:srgbClr val="ed7d31"/>
            </a:solidFill>
            <a:ln w="19080">
              <a:solidFill>
                <a:srgbClr val="ed7d31"/>
              </a:solidFill>
              <a:round/>
            </a:ln>
          </c:spPr>
          <c:marker>
            <c:symbol val="none"/>
          </c:marker>
          <c:dLbls>
            <c:txPr>
              <a:bodyPr wrap="square"/>
              <a:lstStyle/>
              <a:p>
                <a:pPr>
                  <a:defRPr b="0" sz="1000" strike="noStrike" u="none">
                    <a:solidFill>
                      <a:srgbClr val="000000"/>
                    </a:solidFill>
                    <a:uFillTx/>
                    <a:latin typeface="Arial"/>
                  </a:defRPr>
                </a:pPr>
              </a:p>
            </c:txPr>
            <c:dLblPos val="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cat>
            <c:strRef>
              <c:f>Monthly_Summary!$A$2:$A$13</c:f>
              <c:strCach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Cache>
            </c:strRef>
          </c:cat>
          <c:val>
            <c:numRef>
              <c:f>Monthly_Summary!$E$2:$E$13</c:f>
              <c:numCache>
                <c:formatCode>0.0</c:formatCode>
                <c:ptCount val="12"/>
                <c:pt idx="0">
                  <c:v>208.815942028985</c:v>
                </c:pt>
                <c:pt idx="1">
                  <c:v>203.679824561404</c:v>
                </c:pt>
                <c:pt idx="2">
                  <c:v>199.350925925926</c:v>
                </c:pt>
                <c:pt idx="3">
                  <c:v>170.392156862745</c:v>
                </c:pt>
                <c:pt idx="4">
                  <c:v>160.0525</c:v>
                </c:pt>
                <c:pt idx="5">
                  <c:v>172.635714285714</c:v>
                </c:pt>
                <c:pt idx="6">
                  <c:v>176.392753623189</c:v>
                </c:pt>
                <c:pt idx="7">
                  <c:v>187.676315789474</c:v>
                </c:pt>
                <c:pt idx="8">
                  <c:v>207.241666666667</c:v>
                </c:pt>
                <c:pt idx="9">
                  <c:v>238.497619047619</c:v>
                </c:pt>
                <c:pt idx="10">
                  <c:v>261.532456140351</c:v>
                </c:pt>
                <c:pt idx="11">
                  <c:v>250.176515151515</c:v>
                </c:pt>
              </c:numCache>
            </c:numRef>
          </c:val>
          <c:smooth val="0"/>
        </c:ser>
        <c:hiLowLines>
          <c:spPr>
            <a:ln w="0">
              <a:noFill/>
            </a:ln>
          </c:spPr>
        </c:hiLowLines>
        <c:marker val="0"/>
        <c:axId val="6754367"/>
        <c:axId val="75699730"/>
      </c:lineChart>
      <c:catAx>
        <c:axId val="6754367"/>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Month</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5699730"/>
        <c:crosses val="autoZero"/>
        <c:auto val="1"/>
        <c:lblAlgn val="ctr"/>
        <c:lblOffset val="100"/>
        <c:noMultiLvlLbl val="0"/>
      </c:catAx>
      <c:valAx>
        <c:axId val="75699730"/>
        <c:scaling>
          <c:orientation val="minMax"/>
          <c:min val="0"/>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Basis (pts)</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6754367"/>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Total contracts by month</a:t>
            </a:r>
          </a:p>
        </c:rich>
      </c:tx>
      <c:overlay val="0"/>
      <c:spPr>
        <a:noFill/>
        <a:ln w="0">
          <a:noFill/>
        </a:ln>
      </c:spPr>
    </c:title>
    <c:autoTitleDeleted val="0"/>
    <c:plotArea>
      <c:barChart>
        <c:barDir val="col"/>
        <c:grouping val="clustered"/>
        <c:varyColors val="0"/>
        <c:ser>
          <c:idx val="0"/>
          <c:order val="0"/>
          <c:tx>
            <c:strRef>
              <c:f>Monthly_Summary!C1</c:f>
              <c:strCache>
                <c:ptCount val="1"/>
                <c:pt idx="0">
                  <c:v>Total_Contracts</c:v>
                </c:pt>
              </c:strCache>
            </c:strRef>
          </c:tx>
          <c:spPr>
            <a:solidFill>
              <a:srgbClr val="2e75b6"/>
            </a:solidFill>
            <a:ln w="0">
              <a:solidFill>
                <a:srgbClr val="2e75b6"/>
              </a:solidFill>
            </a:ln>
          </c:spPr>
          <c:invertIfNegative val="0"/>
          <c:dLbls>
            <c:txPr>
              <a:bodyPr wrap="square"/>
              <a:lstStyle/>
              <a:p>
                <a:pPr>
                  <a:defRPr b="0" sz="1000" strike="noStrike" u="none">
                    <a:solidFill>
                      <a:srgbClr val="000000"/>
                    </a:solidFill>
                    <a:uFillTx/>
                    <a:latin typeface="Arial"/>
                  </a:defRPr>
                </a:pPr>
              </a:p>
            </c:txPr>
            <c:dLblPos val="outEnd"/>
            <c:showLegendKey val="0"/>
            <c:showVal val="0"/>
            <c:showCatName val="0"/>
            <c:showSerName val="0"/>
            <c:showPercent val="0"/>
            <c:separator>; </c:separator>
            <c:showLeaderLines val="1"/>
            <c:leaderLines>
              <c:spPr>
                <a:ln>
                  <a:solidFill>
                    <a:srgbClr val="2e75b6"/>
                  </a:solidFill>
                </a:ln>
              </c:spPr>
            </c:leaderLines>
            <c:extLst>
              <c:ext xmlns:c15="http://schemas.microsoft.com/office/drawing/2012/chart" uri="{CE6537A1-D6FC-4f65-9D91-7224C49458BB}">
                <c15:showLeaderLines val="1"/>
              </c:ext>
            </c:extLst>
          </c:dLbls>
          <c:cat>
            <c:strRef>
              <c:f>Monthly_Summary!$A$2:$A$13</c:f>
              <c:strCach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Cache>
            </c:strRef>
          </c:cat>
          <c:val>
            <c:numRef>
              <c:f>Monthly_Summary!$C$2:$C$13</c:f>
              <c:numCache>
                <c:formatCode>#,##0</c:formatCode>
                <c:ptCount val="12"/>
                <c:pt idx="0">
                  <c:v>6009928</c:v>
                </c:pt>
                <c:pt idx="1">
                  <c:v>2326946</c:v>
                </c:pt>
                <c:pt idx="2">
                  <c:v>2149492</c:v>
                </c:pt>
                <c:pt idx="3">
                  <c:v>2543096</c:v>
                </c:pt>
                <c:pt idx="4">
                  <c:v>2972628</c:v>
                </c:pt>
                <c:pt idx="5">
                  <c:v>2390931</c:v>
                </c:pt>
                <c:pt idx="6">
                  <c:v>1909479</c:v>
                </c:pt>
                <c:pt idx="7">
                  <c:v>1812422</c:v>
                </c:pt>
                <c:pt idx="8">
                  <c:v>1810486</c:v>
                </c:pt>
                <c:pt idx="9">
                  <c:v>2117667</c:v>
                </c:pt>
                <c:pt idx="10">
                  <c:v>1884889</c:v>
                </c:pt>
                <c:pt idx="11">
                  <c:v>1926824</c:v>
                </c:pt>
              </c:numCache>
            </c:numRef>
          </c:val>
        </c:ser>
        <c:gapWidth val="50"/>
        <c:overlap val="0"/>
        <c:axId val="78675837"/>
        <c:axId val="16371973"/>
      </c:barChart>
      <c:catAx>
        <c:axId val="78675837"/>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Month</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6371973"/>
        <c:crosses val="autoZero"/>
        <c:auto val="1"/>
        <c:lblAlgn val="ctr"/>
        <c:lblOffset val="100"/>
        <c:noMultiLvlLbl val="0"/>
      </c:catAx>
      <c:valAx>
        <c:axId val="16371973"/>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Contracts (mn)</a:t>
                </a:r>
              </a:p>
            </c:rich>
          </c:tx>
          <c:overlay val="0"/>
          <c:spPr>
            <a:noFill/>
            <a:ln w="0">
              <a:noFill/>
            </a:ln>
          </c:spPr>
        </c:title>
        <c:numFmt formatCode="0.0,,\M"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867583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Records by OI interpretation</a:t>
            </a:r>
          </a:p>
        </c:rich>
      </c:tx>
      <c:overlay val="0"/>
      <c:spPr>
        <a:noFill/>
        <a:ln w="0">
          <a:noFill/>
        </a:ln>
      </c:spPr>
    </c:title>
    <c:autoTitleDeleted val="0"/>
    <c:plotArea>
      <c:barChart>
        <c:barDir val="col"/>
        <c:grouping val="clustered"/>
        <c:varyColors val="0"/>
        <c:ser>
          <c:idx val="0"/>
          <c:order val="0"/>
          <c:tx>
            <c:strRef>
              <c:f>OI_Interpretation_Summary!B1</c:f>
              <c:strCache>
                <c:ptCount val="1"/>
                <c:pt idx="0">
                  <c:v>Observations</c:v>
                </c:pt>
              </c:strCache>
            </c:strRef>
          </c:tx>
          <c:spPr>
            <a:solidFill>
              <a:srgbClr val="1f4e78"/>
            </a:solidFill>
            <a:ln w="0">
              <a:solidFill>
                <a:srgbClr val="1f4e78"/>
              </a:solidFill>
            </a:ln>
          </c:spPr>
          <c:invertIfNegative val="0"/>
          <c:dLbls>
            <c:txPr>
              <a:bodyPr wrap="square"/>
              <a:lstStyle/>
              <a:p>
                <a:pPr>
                  <a:defRPr b="0" sz="1000" strike="noStrike" u="none">
                    <a:solidFill>
                      <a:srgbClr val="000000"/>
                    </a:solidFill>
                    <a:uFillTx/>
                    <a:latin typeface="Arial"/>
                  </a:defRPr>
                </a:pPr>
              </a:p>
            </c:txPr>
            <c:dLblPos val="outEnd"/>
            <c:showLegendKey val="0"/>
            <c:showVal val="0"/>
            <c:showCatName val="0"/>
            <c:showSerName val="0"/>
            <c:showPercent val="0"/>
            <c:separator>; </c:separator>
            <c:showLeaderLines val="1"/>
            <c:leaderLines>
              <c:spPr>
                <a:ln>
                  <a:solidFill>
                    <a:srgbClr val="1f4e78"/>
                  </a:solidFill>
                </a:ln>
              </c:spPr>
            </c:leaderLines>
            <c:extLst>
              <c:ext xmlns:c15="http://schemas.microsoft.com/office/drawing/2012/chart" uri="{CE6537A1-D6FC-4f65-9D91-7224C49458BB}">
                <c15:showLeaderLines val="1"/>
              </c:ext>
            </c:extLst>
          </c:dLbls>
          <c:cat>
            <c:strRef>
              <c:f>OI_Interpretation_Summary!$A$2:$A$5</c:f>
              <c:strCache>
                <c:ptCount val="4"/>
                <c:pt idx="0">
                  <c:v>Short buildup (interpretation)</c:v>
                </c:pt>
                <c:pt idx="1">
                  <c:v>Long buildup (interpretation)</c:v>
                </c:pt>
                <c:pt idx="2">
                  <c:v>Short covering (interpretation)</c:v>
                </c:pt>
                <c:pt idx="3">
                  <c:v>Long unwinding (interpretation)</c:v>
                </c:pt>
              </c:strCache>
            </c:strRef>
          </c:cat>
          <c:val>
            <c:numRef>
              <c:f>OI_Interpretation_Summary!$B$2:$B$5</c:f>
              <c:numCache>
                <c:formatCode>General</c:formatCode>
                <c:ptCount val="4"/>
                <c:pt idx="0">
                  <c:v>306</c:v>
                </c:pt>
                <c:pt idx="1">
                  <c:v>240</c:v>
                </c:pt>
                <c:pt idx="2">
                  <c:v>98</c:v>
                </c:pt>
                <c:pt idx="3">
                  <c:v>86</c:v>
                </c:pt>
              </c:numCache>
            </c:numRef>
          </c:val>
        </c:ser>
        <c:gapWidth val="60"/>
        <c:overlap val="0"/>
        <c:axId val="98324909"/>
        <c:axId val="2102931"/>
      </c:barChart>
      <c:catAx>
        <c:axId val="98324909"/>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Interpretation</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102931"/>
        <c:crosses val="autoZero"/>
        <c:auto val="1"/>
        <c:lblAlgn val="ctr"/>
        <c:lblOffset val="100"/>
        <c:noMultiLvlLbl val="0"/>
      </c:catAx>
      <c:valAx>
        <c:axId val="2102931"/>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Records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832490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Share of contracts by series</a:t>
            </a:r>
          </a:p>
        </c:rich>
      </c:tx>
      <c:overlay val="0"/>
      <c:spPr>
        <a:noFill/>
        <a:ln w="0">
          <a:noFill/>
        </a:ln>
      </c:spPr>
    </c:title>
    <c:autoTitleDeleted val="0"/>
    <c:plotArea>
      <c:barChart>
        <c:barDir val="col"/>
        <c:grouping val="clustered"/>
        <c:varyColors val="0"/>
        <c:ser>
          <c:idx val="0"/>
          <c:order val="0"/>
          <c:tx>
            <c:strRef>
              <c:f>Basis_Analysis!F17</c:f>
              <c:strCache>
                <c:ptCount val="1"/>
                <c:pt idx="0">
                  <c:v>Share of Contracts</c:v>
                </c:pt>
              </c:strCache>
            </c:strRef>
          </c:tx>
          <c:spPr>
            <a:solidFill>
              <a:srgbClr val="2e75b6"/>
            </a:solidFill>
            <a:ln w="0">
              <a:solidFill>
                <a:srgbClr val="2e75b6"/>
              </a:solidFill>
            </a:ln>
          </c:spPr>
          <c:invertIfNegative val="0"/>
          <c:dLbls>
            <c:txPr>
              <a:bodyPr wrap="square"/>
              <a:lstStyle/>
              <a:p>
                <a:pPr>
                  <a:defRPr b="0" sz="1000" strike="noStrike" u="none">
                    <a:solidFill>
                      <a:srgbClr val="000000"/>
                    </a:solidFill>
                    <a:uFillTx/>
                    <a:latin typeface="Arial"/>
                  </a:defRPr>
                </a:pPr>
              </a:p>
            </c:txPr>
            <c:dLblPos val="outEnd"/>
            <c:showLegendKey val="0"/>
            <c:showVal val="0"/>
            <c:showCatName val="0"/>
            <c:showSerName val="0"/>
            <c:showPercent val="0"/>
            <c:separator>; </c:separator>
            <c:showLeaderLines val="1"/>
            <c:leaderLines>
              <c:spPr>
                <a:ln>
                  <a:solidFill>
                    <a:srgbClr val="2e75b6"/>
                  </a:solidFill>
                </a:ln>
              </c:spPr>
            </c:leaderLines>
            <c:extLst>
              <c:ext xmlns:c15="http://schemas.microsoft.com/office/drawing/2012/chart" uri="{CE6537A1-D6FC-4f65-9D91-7224C49458BB}">
                <c15:showLeaderLines val="1"/>
              </c:ext>
            </c:extLst>
          </c:dLbls>
          <c:cat>
            <c:strRef>
              <c:f>Basis_Analysis!$A$18:$A$20</c:f>
              <c:strCache>
                <c:ptCount val="3"/>
                <c:pt idx="0">
                  <c:v>Near month</c:v>
                </c:pt>
                <c:pt idx="1">
                  <c:v>Next month</c:v>
                </c:pt>
                <c:pt idx="2">
                  <c:v>Far month (3+)</c:v>
                </c:pt>
              </c:strCache>
            </c:strRef>
          </c:cat>
          <c:val>
            <c:numRef>
              <c:f>Basis_Analysis!$F$18:$F$20</c:f>
              <c:numCache>
                <c:formatCode>0.0%</c:formatCode>
                <c:ptCount val="3"/>
                <c:pt idx="0">
                  <c:v>0.79259293350199</c:v>
                </c:pt>
                <c:pt idx="1">
                  <c:v>0.182960033077441</c:v>
                </c:pt>
                <c:pt idx="2">
                  <c:v>0.0244470334205689</c:v>
                </c:pt>
              </c:numCache>
            </c:numRef>
          </c:val>
        </c:ser>
        <c:gapWidth val="60"/>
        <c:overlap val="0"/>
        <c:axId val="60827114"/>
        <c:axId val="80420806"/>
      </c:barChart>
      <c:catAx>
        <c:axId val="60827114"/>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Series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80420806"/>
        <c:crosses val="autoZero"/>
        <c:auto val="1"/>
        <c:lblAlgn val="ctr"/>
        <c:lblOffset val="100"/>
        <c:noMultiLvlLbl val="0"/>
      </c:catAx>
      <c:valAx>
        <c:axId val="80420806"/>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Share of contracts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6082711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xdr:row>
      <xdr:rowOff>0</xdr:rowOff>
    </xdr:from>
    <xdr:to>
      <xdr:col>14</xdr:col>
      <xdr:colOff>4320</xdr:colOff>
      <xdr:row>17</xdr:row>
      <xdr:rowOff>93600</xdr:rowOff>
    </xdr:to>
    <xdr:graphicFrame>
      <xdr:nvGraphicFramePr>
        <xdr:cNvPr id="0" name="Chart 1"/>
        <xdr:cNvGraphicFramePr/>
      </xdr:nvGraphicFramePr>
      <xdr:xfrm>
        <a:off x="4347360" y="542880"/>
        <a:ext cx="6119280" cy="2951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0</xdr:colOff>
      <xdr:row>2</xdr:row>
      <xdr:rowOff>0</xdr:rowOff>
    </xdr:from>
    <xdr:to>
      <xdr:col>24</xdr:col>
      <xdr:colOff>4320</xdr:colOff>
      <xdr:row>17</xdr:row>
      <xdr:rowOff>93600</xdr:rowOff>
    </xdr:to>
    <xdr:graphicFrame>
      <xdr:nvGraphicFramePr>
        <xdr:cNvPr id="1" name="Chart 2"/>
        <xdr:cNvGraphicFramePr/>
      </xdr:nvGraphicFramePr>
      <xdr:xfrm>
        <a:off x="10462320" y="542880"/>
        <a:ext cx="6119280" cy="2951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0</xdr:colOff>
      <xdr:row>19</xdr:row>
      <xdr:rowOff>0</xdr:rowOff>
    </xdr:from>
    <xdr:to>
      <xdr:col>14</xdr:col>
      <xdr:colOff>4320</xdr:colOff>
      <xdr:row>34</xdr:row>
      <xdr:rowOff>93960</xdr:rowOff>
    </xdr:to>
    <xdr:graphicFrame>
      <xdr:nvGraphicFramePr>
        <xdr:cNvPr id="2" name="Chart 3"/>
        <xdr:cNvGraphicFramePr/>
      </xdr:nvGraphicFramePr>
      <xdr:xfrm>
        <a:off x="4347360" y="3781440"/>
        <a:ext cx="6119280" cy="2951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0</xdr:colOff>
      <xdr:row>19</xdr:row>
      <xdr:rowOff>0</xdr:rowOff>
    </xdr:from>
    <xdr:to>
      <xdr:col>24</xdr:col>
      <xdr:colOff>4320</xdr:colOff>
      <xdr:row>34</xdr:row>
      <xdr:rowOff>93960</xdr:rowOff>
    </xdr:to>
    <xdr:graphicFrame>
      <xdr:nvGraphicFramePr>
        <xdr:cNvPr id="3" name="Chart 4"/>
        <xdr:cNvGraphicFramePr/>
      </xdr:nvGraphicFramePr>
      <xdr:xfrm>
        <a:off x="10462320" y="3781440"/>
        <a:ext cx="6119280" cy="2951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0</xdr:colOff>
      <xdr:row>36</xdr:row>
      <xdr:rowOff>0</xdr:rowOff>
    </xdr:from>
    <xdr:to>
      <xdr:col>14</xdr:col>
      <xdr:colOff>4320</xdr:colOff>
      <xdr:row>51</xdr:row>
      <xdr:rowOff>93960</xdr:rowOff>
    </xdr:to>
    <xdr:graphicFrame>
      <xdr:nvGraphicFramePr>
        <xdr:cNvPr id="4" name="Chart 5"/>
        <xdr:cNvGraphicFramePr/>
      </xdr:nvGraphicFramePr>
      <xdr:xfrm>
        <a:off x="4347360" y="7020000"/>
        <a:ext cx="6119280" cy="29512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0</xdr:colOff>
      <xdr:row>36</xdr:row>
      <xdr:rowOff>0</xdr:rowOff>
    </xdr:from>
    <xdr:to>
      <xdr:col>24</xdr:col>
      <xdr:colOff>4320</xdr:colOff>
      <xdr:row>51</xdr:row>
      <xdr:rowOff>93960</xdr:rowOff>
    </xdr:to>
    <xdr:graphicFrame>
      <xdr:nvGraphicFramePr>
        <xdr:cNvPr id="5" name="Chart 6"/>
        <xdr:cNvGraphicFramePr/>
      </xdr:nvGraphicFramePr>
      <xdr:xfrm>
        <a:off x="10462320" y="7020000"/>
        <a:ext cx="6119280" cy="29512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0</xdr:colOff>
      <xdr:row>53</xdr:row>
      <xdr:rowOff>0</xdr:rowOff>
    </xdr:from>
    <xdr:to>
      <xdr:col>14</xdr:col>
      <xdr:colOff>4320</xdr:colOff>
      <xdr:row>68</xdr:row>
      <xdr:rowOff>93960</xdr:rowOff>
    </xdr:to>
    <xdr:graphicFrame>
      <xdr:nvGraphicFramePr>
        <xdr:cNvPr id="6" name="Chart 7"/>
        <xdr:cNvGraphicFramePr/>
      </xdr:nvGraphicFramePr>
      <xdr:xfrm>
        <a:off x="4347360" y="10258560"/>
        <a:ext cx="6119280" cy="295128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0</xdr:colOff>
      <xdr:row>53</xdr:row>
      <xdr:rowOff>0</xdr:rowOff>
    </xdr:from>
    <xdr:to>
      <xdr:col>24</xdr:col>
      <xdr:colOff>4320</xdr:colOff>
      <xdr:row>68</xdr:row>
      <xdr:rowOff>93960</xdr:rowOff>
    </xdr:to>
    <xdr:graphicFrame>
      <xdr:nvGraphicFramePr>
        <xdr:cNvPr id="7" name="Chart 8"/>
        <xdr:cNvGraphicFramePr/>
      </xdr:nvGraphicFramePr>
      <xdr:xfrm>
        <a:off x="10462320" y="10258560"/>
        <a:ext cx="6119280" cy="295128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12.xml.rels><?xml version="1.0" encoding="UTF-8"?>
<Relationships xmlns="http://schemas.openxmlformats.org/package/2006/relationships"><Relationship Id="rId1" Type="http://schemas.openxmlformats.org/officeDocument/2006/relationships/drawing" Target="../drawings/drawing3.xml"/>
</Relationships>
</file>

<file path=xl/worksheets/_rels/sheet13.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4"/>
    <col collapsed="false" customWidth="true" hidden="false" outlineLevel="0" max="2" min="2" style="1" width="120"/>
  </cols>
  <sheetData>
    <row r="1" customFormat="false" ht="51.75" hidden="false" customHeight="true" outlineLevel="0" collapsed="false">
      <c r="A1" s="2" t="s">
        <v>0</v>
      </c>
      <c r="B1" s="2"/>
    </row>
    <row r="2" customFormat="false" ht="33.75" hidden="false" customHeight="true" outlineLevel="0" collapsed="false">
      <c r="A2" s="3" t="s">
        <v>1</v>
      </c>
      <c r="B2" s="3"/>
    </row>
    <row r="3" customFormat="false" ht="24" hidden="false" customHeight="true" outlineLevel="0" collapsed="false">
      <c r="A3" s="4" t="str">
        <f aca="false">TEXT(Summary!B2,"dd-mmm-yyyy")&amp;" to "&amp;TEXT(Summary!B3,"dd-mmm-yyyy")&amp;"  |  NSE NIFTY Index Futures"</f>
        <v>01-Jan-2025 to 31-Dec-2025  |  NSE NIFTY Index Futures</v>
      </c>
      <c r="B3" s="4"/>
    </row>
    <row r="5" customFormat="false" ht="15" hidden="false" customHeight="true" outlineLevel="0" collapsed="false">
      <c r="A5" s="5" t="s">
        <v>2</v>
      </c>
      <c r="B5" s="5" t="s">
        <v>3</v>
      </c>
    </row>
    <row r="6" customFormat="false" ht="19.5" hidden="false" customHeight="true" outlineLevel="0" collapsed="false">
      <c r="A6" s="6" t="s">
        <v>4</v>
      </c>
      <c r="B6" s="7" t="str">
        <f aca="false">TEXT(Summary!B2,"dd-mmm-yyyy")&amp;" to "&amp;TEXT(Summary!B3,"dd-mmm-yyyy")</f>
        <v>01-Jan-2025 to 31-Dec-2025</v>
      </c>
    </row>
    <row r="7" customFormat="false" ht="19.5" hidden="false" customHeight="true" outlineLevel="0" collapsed="false">
      <c r="A7" s="6" t="s">
        <v>5</v>
      </c>
      <c r="B7" s="7" t="s">
        <v>6</v>
      </c>
    </row>
    <row r="8" customFormat="false" ht="36" hidden="false" customHeight="true" outlineLevel="0" collapsed="false">
      <c r="A8" s="6" t="s">
        <v>7</v>
      </c>
      <c r="B8" s="7" t="s">
        <v>8</v>
      </c>
    </row>
    <row r="9" customFormat="false" ht="51" hidden="false" customHeight="true" outlineLevel="0" collapsed="false">
      <c r="A9" s="6" t="s">
        <v>9</v>
      </c>
      <c r="B9" s="7" t="s">
        <v>10</v>
      </c>
    </row>
    <row r="10" customFormat="false" ht="19.5" hidden="false" customHeight="true" outlineLevel="0" collapsed="false">
      <c r="A10" s="6" t="s">
        <v>11</v>
      </c>
      <c r="B10" s="7" t="s">
        <v>12</v>
      </c>
    </row>
    <row r="11" customFormat="false" ht="36" hidden="false" customHeight="true" outlineLevel="0" collapsed="false">
      <c r="A11" s="6" t="s">
        <v>13</v>
      </c>
      <c r="B11" s="7" t="s">
        <v>14</v>
      </c>
    </row>
    <row r="12" customFormat="false" ht="36" hidden="false" customHeight="true" outlineLevel="0" collapsed="false">
      <c r="A12" s="6" t="s">
        <v>15</v>
      </c>
      <c r="B12" s="7" t="s">
        <v>16</v>
      </c>
    </row>
    <row r="13" customFormat="false" ht="51" hidden="false" customHeight="true" outlineLevel="0" collapsed="false">
      <c r="A13" s="6" t="s">
        <v>17</v>
      </c>
      <c r="B13" s="7" t="s">
        <v>18</v>
      </c>
    </row>
    <row r="14" customFormat="false" ht="36" hidden="false" customHeight="true" outlineLevel="0" collapsed="false">
      <c r="A14" s="6" t="s">
        <v>19</v>
      </c>
      <c r="B14" s="7" t="s">
        <v>20</v>
      </c>
    </row>
    <row r="15" customFormat="false" ht="96" hidden="false" customHeight="true" outlineLevel="0" collapsed="false">
      <c r="A15" s="6" t="s">
        <v>21</v>
      </c>
      <c r="B15" s="7" t="s">
        <v>22</v>
      </c>
    </row>
    <row r="16" customFormat="false" ht="19.5" hidden="false" customHeight="true" outlineLevel="0" collapsed="false">
      <c r="A16" s="6" t="s">
        <v>23</v>
      </c>
      <c r="B16" s="7" t="s">
        <v>24</v>
      </c>
    </row>
  </sheetData>
  <mergeCells count="3">
    <mergeCell ref="A1:B1"/>
    <mergeCell ref="A2:B2"/>
    <mergeCell ref="A3:B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6"/>
    <col collapsed="false" customWidth="true" hidden="false" outlineLevel="0" max="2" min="2" style="1" width="120"/>
  </cols>
  <sheetData>
    <row r="1" customFormat="false" ht="19.5" hidden="false" customHeight="true" outlineLevel="0" collapsed="false">
      <c r="A1" s="8" t="s">
        <v>25</v>
      </c>
    </row>
    <row r="2" customFormat="false" ht="15" hidden="false" customHeight="true" outlineLevel="0" collapsed="false">
      <c r="A2" s="9" t="s">
        <v>26</v>
      </c>
    </row>
    <row r="4" customFormat="false" ht="19.5" hidden="false" customHeight="true" outlineLevel="0" collapsed="false">
      <c r="A4" s="10" t="s">
        <v>27</v>
      </c>
      <c r="B4" s="10"/>
    </row>
    <row r="5" customFormat="false" ht="64.5" hidden="false" customHeight="true" outlineLevel="0" collapsed="false">
      <c r="A5" s="6" t="s">
        <v>28</v>
      </c>
      <c r="B5" s="7" t="str">
        <f aca="false">"This project analyses NIFTY 50 index futures from "&amp;TEXT(Summary!B2,"dd-mmm-yyyy")&amp;" to "&amp;TEXT(Summary!B3,"dd-mmm-yyyy")&amp;" using the NSE NIFTY futures file supplied for the project: "&amp;TEXT(Summary!B4,"#,##0")&amp;" contract-day records across "&amp;Summary!B5&amp;" trading dates and "&amp;Summary!B6&amp;" expiries, with "&amp;TEXT(Summary!B11/1000000,"0.0")&amp;" mn contracts traded (turnover about ₹"&amp;TEXT(Summary!B12/10000000,"0.0")&amp;" lakh crore). It asks where trading concentrates, how the futures-to-index basis behaves, how open interest rolls between contracts, and whether simple price–open interest labels say anything about the next day."</f>
        <v>This project analyses NIFTY 50 index futures from 01-Jan-2025 to 31-Dec-2025 using the NSE NIFTY futures file supplied for the project: 755 contract-day records across 249 trading dates and 16 expiries, with 29.9 mn contracts traded (turnover about ₹48.3 lakh crore). It asks where trading concentrates, how the futures-to-index basis behaves, how open interest rolls between contracts, and whether simple price–open interest labels say anything about the next day.</v>
      </c>
    </row>
    <row r="7" customFormat="false" ht="19.5" hidden="false" customHeight="true" outlineLevel="0" collapsed="false">
      <c r="A7" s="10" t="s">
        <v>29</v>
      </c>
      <c r="B7" s="10"/>
    </row>
    <row r="8" customFormat="false" ht="34.5" hidden="false" customHeight="true" outlineLevel="0" collapsed="false">
      <c r="A8" s="6" t="s">
        <v>30</v>
      </c>
      <c r="B8" s="7" t="str">
        <f aca="false">"The near-month contract accounts for "&amp;TEXT(Basis_Analysis!F18,"0.0%")&amp;" of all contracts traded ("&amp;TEXT(Basis_Analysis!F19,"0.0%")&amp;" next month, "&amp;TEXT(Basis_Analysis!F20,"0.0%")&amp;" far month), so the analysis focuses on the near-month series."</f>
        <v>The near-month contract accounts for 79.3% of all contracts traded (18.3% next month, 2.4% far month), so the analysis focuses on the near-month series.</v>
      </c>
    </row>
    <row r="9" customFormat="false" ht="49.5" hidden="false" customHeight="true" outlineLevel="0" collapsed="false">
      <c r="A9" s="6" t="s">
        <v>31</v>
      </c>
      <c r="B9" s="7" t="str">
        <f aca="false">"Near-month futures traded at an average premium of about "&amp;TEXT(Basis_Analysis!H18,"0")&amp;" points ("&amp;TEXT(Basis_Analysis!I18,"0.00%")&amp;") to the index. The premium is larger for longer tenors ("&amp;TEXT(Basis_Analysis!H19,"0")&amp;" and "&amp;TEXT(Basis_Analysis!H20,"0")&amp;" points for next and far month) and narrows to about "&amp;TEXT(Basis_Analysis!E8,"0.0")&amp;" points on expiry day. Annualised, the near-month premium is about "&amp;TEXT(Basis_Analysis!B4,"0.0%")&amp;", the pattern expected from cost-of-carry pricing."</f>
        <v>Near-month futures traded at an average premium of about 68 points (0.28%) to the index. The premium is larger for longer tenors (202 and 340 points for next and far month) and narrows to about -3.5 points on expiry day. Annualised, the near-month premium is about 6.9%, the pattern expected from cost-of-carry pricing.</v>
      </c>
    </row>
    <row r="10" customFormat="false" ht="34.5" hidden="false" customHeight="true" outlineLevel="0" collapsed="false">
      <c r="A10" s="6" t="s">
        <v>32</v>
      </c>
      <c r="B10" s="7" t="str">
        <f aca="false">"Open interest moves from the near to the next month mainly in the final week: the near-month share of near+next open interest falls from "&amp;TEXT(Basis_Analysis!J13,"0%")&amp;" at 21+ days to expiry to "&amp;TEXT(Basis_Analysis!J9,"0%")&amp;" at 1–5 days and "&amp;TEXT(Basis_Analysis!J8,"0%")&amp;" on expiry day."</f>
        <v>Open interest moves from the near to the next month mainly in the final week: the near-month share of near+next open interest falls from 91% at 21+ days to expiry to 52% at 1–5 days and 23% on expiry day.</v>
      </c>
    </row>
    <row r="11" customFormat="false" ht="64.5" hidden="false" customHeight="true" outlineLevel="0" collapsed="false">
      <c r="A11" s="6" t="s">
        <v>33</v>
      </c>
      <c r="B11" s="7" t="str">
        <f aca="false">"Buildup labels (long or short) made up "&amp;TEXT(OI_Interpretation_Summary!C2+OI_Interpretation_Summary!C3,"0%")&amp;" of records. Outside expiry week, the next day's close was higher after only "&amp;TEXT(MIN(OI_Interpretation_Summary!E13:E16),"0%")&amp;" to "&amp;TEXT(MAX(OI_Interpretation_Summary!E13:E16),"0%")&amp;" of labelled days, so the labels did not give a reliable next-day signal. In expiry week "&amp;TEXT(OI_Interpretation_Summary!B22,"0%")&amp;" of classified near-month days showed falling open interest, which is contract expiry rather than a change in view."</f>
        <v>Buildup labels (long or short) made up 72% of records. Outside expiry week, the next day's close was higher after only 40% to 51% of labelled days, so the labels did not give a reliable next-day signal. In expiry week 100% of classified near-month days showed falling open interest, which is contract expiry rather than a change in view.</v>
      </c>
    </row>
    <row r="12" customFormat="false" ht="49.5" hidden="false" customHeight="true" outlineLevel="0" collapsed="false">
      <c r="A12" s="6" t="s">
        <v>34</v>
      </c>
      <c r="B12" s="7"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6"/>
    <col collapsed="false" customWidth="true" hidden="false" outlineLevel="0" max="2" min="2" style="1" width="120"/>
  </cols>
  <sheetData>
    <row r="1" customFormat="false" ht="19.5" hidden="false" customHeight="true" outlineLevel="0" collapsed="false">
      <c r="A1" s="8" t="s">
        <v>36</v>
      </c>
    </row>
    <row r="2" customFormat="false" ht="15" hidden="false" customHeight="true" outlineLevel="0" collapsed="false">
      <c r="A2" s="9" t="s">
        <v>26</v>
      </c>
    </row>
    <row r="4" customFormat="false" ht="19.5" hidden="false" customHeight="true" outlineLevel="0" collapsed="false">
      <c r="A4" s="10" t="s">
        <v>11</v>
      </c>
      <c r="B4" s="10"/>
    </row>
    <row r="5" customFormat="false" ht="34.5" hidden="false" customHeight="true" outlineLevel="0" collapsed="false">
      <c r="A5" s="6" t="s">
        <v>37</v>
      </c>
      <c r="B5" s="7" t="str">
        <f aca="false">"NIFTY 50 index futures, all listed expiries, daily data from "&amp;TEXT(Summary!B2,"dd-mmm-yyyy")&amp;" to "&amp;TEXT(Summary!B3,"dd-mmm-yyyy")&amp;": prices, contracts traded, turnover, open interest and the underlying index value."</f>
        <v>NIFTY 50 index futures, all listed expiries, daily data from 01-Jan-2025 to 31-Dec-2025: prices, contracts traded, turnover, open interest and the underlying index value.</v>
      </c>
    </row>
    <row r="6" customFormat="false" ht="34.5" hidden="false" customHeight="true" outlineLevel="0" collapsed="false">
      <c r="A6" s="6" t="s">
        <v>38</v>
      </c>
      <c r="B6" s="7" t="s">
        <v>39</v>
      </c>
    </row>
    <row r="7" customFormat="false" ht="34.5" hidden="false" customHeight="true" outlineLevel="0" collapsed="false">
      <c r="A7" s="6" t="s">
        <v>40</v>
      </c>
      <c r="B7" s="7" t="s">
        <v>41</v>
      </c>
    </row>
    <row r="8" customFormat="false" ht="34.5" hidden="false" customHeight="true" outlineLevel="0" collapsed="false">
      <c r="A8" s="6" t="s">
        <v>42</v>
      </c>
      <c r="B8" s="7" t="str">
        <f aca="false">"Of the "&amp;TEXT(Summary!B4,"#,##0")&amp;" records, "&amp;Findings!D19&amp;" are no-trade rows, "&amp;Findings!D20&amp;" have prices but no index value (basis left blank) and "&amp;Findings!D21&amp;" cannot be classified for price–OI direction (the first observation of each expiry or a no-trade row without prior price/OI inputs). They are kept in the data but excluded from averages."</f>
        <v>Of the 755 records, 8 are no-trade rows, 15 have prices but no index value (basis left blank) and 24 cannot be classified for price–OI direction (the first observation of each expiry or a no-trade row without prior price/OI inputs). They are kept in the data but excluded from averages.</v>
      </c>
    </row>
    <row r="10" customFormat="false" ht="19.5" hidden="false" customHeight="true" outlineLevel="0" collapsed="false">
      <c r="A10" s="10" t="s">
        <v>43</v>
      </c>
      <c r="B10" s="10"/>
    </row>
    <row r="11" customFormat="false" ht="34.5" hidden="false" customHeight="true" outlineLevel="0" collapsed="false">
      <c r="A11" s="6" t="s">
        <v>44</v>
      </c>
      <c r="B11" s="7" t="s">
        <v>45</v>
      </c>
    </row>
    <row r="12" customFormat="false" ht="34.5" hidden="false" customHeight="true" outlineLevel="0" collapsed="false">
      <c r="A12" s="6" t="s">
        <v>46</v>
      </c>
      <c r="B12" s="7" t="s">
        <v>47</v>
      </c>
    </row>
    <row r="13" customFormat="false" ht="34.5" hidden="false" customHeight="true" outlineLevel="0" collapsed="false">
      <c r="A13" s="6" t="s">
        <v>48</v>
      </c>
      <c r="B13" s="7" t="s">
        <v>49</v>
      </c>
    </row>
    <row r="14" customFormat="false" ht="19.5" hidden="false" customHeight="true" outlineLevel="0" collapsed="false">
      <c r="A14" s="6" t="s">
        <v>50</v>
      </c>
      <c r="B14" s="7" t="s">
        <v>51</v>
      </c>
    </row>
    <row r="15" customFormat="false" ht="34.5" hidden="false" customHeight="true" outlineLevel="0" collapsed="false">
      <c r="A15" s="6" t="s">
        <v>52</v>
      </c>
      <c r="B15" s="7" t="s">
        <v>53</v>
      </c>
    </row>
    <row r="16" customFormat="false" ht="34.5" hidden="false" customHeight="true" outlineLevel="0" collapsed="false">
      <c r="A16" s="6" t="s">
        <v>54</v>
      </c>
      <c r="B16" s="7" t="str">
        <f aca="false">"Outside expiry week (last "&amp;Basis_Analysis!B3&amp;" days to expiry excluded, because open interest falls mechanically then), test whether each label is followed by a higher close the next day."</f>
        <v>Outside expiry week (last 5 days to expiry excluded, because open interest falls mechanically then), test whether each label is followed by a higher close the next day.</v>
      </c>
    </row>
    <row r="17" customFormat="false" ht="34.5" hidden="false" customHeight="true" outlineLevel="0" collapsed="false">
      <c r="A17" s="6" t="s">
        <v>55</v>
      </c>
      <c r="B17" s="7" t="s">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5"/>
    <col collapsed="false" customWidth="true" hidden="false" outlineLevel="0" max="2" min="2" style="1" width="26"/>
    <col collapsed="false" customWidth="true" hidden="false" outlineLevel="0" max="3" min="3" style="1" width="120"/>
    <col collapsed="false" customWidth="true" hidden="false" outlineLevel="0" max="4" min="4" style="1" width="28"/>
  </cols>
  <sheetData>
    <row r="1" customFormat="false" ht="17.25" hidden="false" customHeight="true" outlineLevel="0" collapsed="false">
      <c r="A1" s="11" t="s">
        <v>57</v>
      </c>
    </row>
    <row r="2" customFormat="false" ht="15" hidden="false" customHeight="true" outlineLevel="0" collapsed="false">
      <c r="A2" s="9" t="s">
        <v>58</v>
      </c>
    </row>
    <row r="4" customFormat="false" ht="15" hidden="false" customHeight="true" outlineLevel="0" collapsed="false">
      <c r="A4" s="5" t="s">
        <v>59</v>
      </c>
      <c r="B4" s="5" t="s">
        <v>60</v>
      </c>
      <c r="C4" s="5" t="s">
        <v>61</v>
      </c>
      <c r="D4" s="5" t="s">
        <v>62</v>
      </c>
    </row>
    <row r="5" customFormat="false" ht="49.5" hidden="false" customHeight="true" outlineLevel="0" collapsed="false">
      <c r="A5" s="7" t="n">
        <v>1</v>
      </c>
      <c r="B5" s="6" t="s">
        <v>63</v>
      </c>
      <c r="C5" s="7" t="str">
        <f aca="false">"The near-month contract carries "&amp;TEXT(Basis_Analysis!F18,"0.0%")&amp;" of all contracts traded ("&amp;TEXT(Basis_Analysis!F19,"0.0%")&amp;" next month, "&amp;TEXT(Basis_Analysis!F20,"0.0%")&amp;" far month). Price, basis and OI behaviour is therefore best read on the near-month series, which is what the near-month (NM) columns and charts use."</f>
        <v>The near-month contract carries 79.3% of all contracts traded (18.3% next month, 2.4% far month). Price, basis and OI behaviour is therefore best read on the near-month series, which is what the near-month (NM) columns and charts use.</v>
      </c>
      <c r="D5" s="7" t="s">
        <v>64</v>
      </c>
    </row>
    <row r="6" customFormat="false" ht="49.5" hidden="false" customHeight="true" outlineLevel="0" collapsed="false">
      <c r="A6" s="7" t="n">
        <v>2</v>
      </c>
      <c r="B6" s="6" t="s">
        <v>65</v>
      </c>
      <c r="C6" s="7" t="str">
        <f aca="false">"Basis widens with tenor: about "&amp;TEXT(Basis_Analysis!H18,"0")&amp;" pts (near), "&amp;TEXT(Basis_Analysis!H19,"0")&amp;" pts (next) and "&amp;TEXT(Basis_Analysis!H20,"0")&amp;" pts (far), or "&amp;TEXT(Basis_Analysis!I18,"0.00%")&amp;", "&amp;TEXT(Basis_Analysis!I19,"0.00%")&amp;" and "&amp;TEXT(Basis_Analysis!I20,"0.00%")&amp;" of the index. This is the pattern expected from cost-of-carry pricing. The all-series average of "&amp;TEXT(Summary!B8,"0")&amp;" pts on the Summary sheet blends these tenors and overstates the typical near-month basis."</f>
        <v>Basis widens with tenor: about 68 pts (near), 202 pts (next) and 340 pts (far), or 0.28%, 0.82% and 1.38% of the index. This is the pattern expected from cost-of-carry pricing. The all-series average of 203 pts on the Summary sheet blends these tenors and overstates the typical near-month basis.</v>
      </c>
      <c r="D6" s="7" t="s">
        <v>66</v>
      </c>
    </row>
    <row r="7" customFormat="false" ht="49.5" hidden="false" customHeight="true" outlineLevel="0" collapsed="false">
      <c r="A7" s="7" t="n">
        <v>3</v>
      </c>
      <c r="B7" s="6" t="s">
        <v>67</v>
      </c>
      <c r="C7" s="7" t="str">
        <f aca="false">"Near-month basis averages "&amp;TEXT(Basis_Analysis!E13,"0")&amp;" pts with 21+ days to expiry, "&amp;TEXT(Basis_Analysis!E11,"0")&amp;" pts at 11–15 days, "&amp;TEXT(Basis_Analysis!E9,"0")&amp;" pts in the last 1–5 days and "&amp;TEXT(Basis_Analysis!E8,"0.0")&amp;" pts on expiry day: the futures price converges on the index as expiry approaches."</f>
        <v>Near-month basis averages 109 pts with 21+ days to expiry, 70 pts at 11–15 days, 27 pts in the last 1–5 days and -3.5 pts on expiry day: the futures price converges on the index as expiry approaches.</v>
      </c>
      <c r="D7" s="7" t="s">
        <v>68</v>
      </c>
    </row>
    <row r="8" customFormat="false" ht="49.5" hidden="false" customHeight="true" outlineLevel="0" collapsed="false">
      <c r="A8" s="7" t="n">
        <v>4</v>
      </c>
      <c r="B8" s="6" t="s">
        <v>69</v>
      </c>
      <c r="C8" s="7" t="str">
        <f aca="false">"For near-month contracts outside expiry week, the annualised basis averages "&amp;TEXT(Basis_Analysis!B4,"0.0%")&amp;". This is the carry rate implied by futures prices. It has not been compared with a money-market rate or dividend yield because no such data was supplied, so mispricing cannot be concluded from this workbook."</f>
        <v>For near-month contracts outside expiry week, the annualised basis averages 6.9%. This is the carry rate implied by futures prices. It has not been compared with a money-market rate or dividend yield because no such data was supplied, so mispricing cannot be concluded from this workbook.</v>
      </c>
      <c r="D8" s="7" t="s">
        <v>70</v>
      </c>
    </row>
    <row r="9" customFormat="false" ht="49.5" hidden="false" customHeight="true" outlineLevel="0" collapsed="false">
      <c r="A9" s="7" t="n">
        <v>5</v>
      </c>
      <c r="B9" s="6" t="s">
        <v>71</v>
      </c>
      <c r="C9" s="7" t="str">
        <f aca="false">"Open interest rolls from near to next month mostly in the final week. Near-month share of (near + next) OI is "&amp;TEXT(Basis_Analysis!J13,"0%")&amp;" at 21+ days, "&amp;TEXT(Basis_Analysis!J10,"0%")&amp;" at 6–10 days, "&amp;TEXT(Basis_Analysis!J9,"0%")&amp;" at 1–5 days and "&amp;TEXT(Basis_Analysis!J8,"0%")&amp;" on expiry day."</f>
        <v>Open interest rolls from near to next month mostly in the final week. Near-month share of (near + next) OI is 91% at 21+ days, 78% at 6–10 days, 52% at 1–5 days and 23% on expiry day.</v>
      </c>
      <c r="D9" s="7" t="s">
        <v>68</v>
      </c>
    </row>
    <row r="10" customFormat="false" ht="49.5" hidden="false" customHeight="true" outlineLevel="0" collapsed="false">
      <c r="A10" s="7" t="n">
        <v>6</v>
      </c>
      <c r="B10" s="6" t="s">
        <v>72</v>
      </c>
      <c r="C10" s="7" t="str">
        <f aca="false">"Average near-month basis was about "&amp;TEXT(AVERAGE(Monthly_Summary!I2:I9),"0")&amp;" pts in Jan–Aug versus "&amp;TEXT(AVERAGE(Monthly_Summary!I10:I13),"0")&amp;" pts in Sep–Dec. The data cannot say why (rates, dividends, positioning and the change in expiry dates visible in the data from Sep-2025 are all candidates); it would need extra inputs to test."</f>
        <v>Average near-month basis was about 58 pts in Jan–Aug versus 88 pts in Sep–Dec. The data cannot say why (rates, dividends, positioning and the change in expiry dates visible in the data from Sep-2025 are all candidates); it would need extra inputs to test.</v>
      </c>
      <c r="D10" s="7" t="s">
        <v>73</v>
      </c>
    </row>
    <row r="11" customFormat="false" ht="49.5" hidden="false" customHeight="true" outlineLevel="0" collapsed="false">
      <c r="A11" s="7" t="n">
        <v>7</v>
      </c>
      <c r="B11" s="6" t="s">
        <v>74</v>
      </c>
      <c r="C11" s="7" t="str">
        <f aca="false">"January was the busiest month with "&amp;TEXT(Monthly_Summary!C2/1000000,"0.0")&amp;" mn contracts, about "&amp;TEXT(Monthly_Summary!C2/AVERAGE(Monthly_Summary!C3:C13),"0.0")&amp;"x the Feb–Dec monthly average of "&amp;TEXT(AVERAGE(Monthly_Summary!C3:C13)/1000000,"0.0")&amp;" mn. The busiest single near-month day was "&amp;TEXT(INDEX(NearMonth_Daily!A2:A250,MATCH(MAX(NearMonth_Daily!G2:G250),NearMonth_Daily!G2:G250,0)),"dd-mmm-yyyy")&amp;" ("&amp;TEXT(MAX(NearMonth_Daily!G2:G250),"#,##0")&amp;" contracts)."</f>
        <v>January was the busiest month with 6.0 mn contracts, about 2.8x the Feb–Dec monthly average of 2.2 mn. The busiest single near-month day was 21-Jan-2025 (388,434 contracts).</v>
      </c>
      <c r="D11" s="7" t="s">
        <v>75</v>
      </c>
    </row>
    <row r="12" customFormat="false" ht="49.5" hidden="false" customHeight="true" outlineLevel="0" collapsed="false">
      <c r="A12" s="7" t="n">
        <v>8</v>
      </c>
      <c r="B12" s="6" t="s">
        <v>76</v>
      </c>
      <c r="C12" s="7" t="str">
        <f aca="false">"Near-month open interest peaked at "&amp;TEXT(MAX(NearMonth_Daily!H2:H250)/1000000,"0.0")&amp;" mn contracts on "&amp;TEXT(INDEX(NearMonth_Daily!A2:A250,MATCH(MAX(NearMonth_Daily!H2:H250),NearMonth_Daily!H2:H250,0)),"dd-mmm-yyyy")&amp;"."</f>
        <v>Near-month open interest peaked at 18.5 mn contracts on 07-Nov-2025.</v>
      </c>
      <c r="D12" s="7" t="s">
        <v>77</v>
      </c>
    </row>
    <row r="13" customFormat="false" ht="49.5" hidden="false" customHeight="true" outlineLevel="0" collapsed="false">
      <c r="A13" s="7" t="n">
        <v>9</v>
      </c>
      <c r="B13" s="6" t="s">
        <v>78</v>
      </c>
      <c r="C13" s="7" t="str">
        <f aca="false">"Short buildup ("&amp;TEXT(OI_Interpretation_Summary!C2,"0%")&amp;") and long buildup ("&amp;TEXT(OI_Interpretation_Summary!C3,"0%")&amp;") were the most common labels, together "&amp;TEXT(OI_Interpretation_Summary!C2+OI_Interpretation_Summary!C3,"0%")&amp;" of records; short covering and long unwinding made up "&amp;TEXT(OI_Interpretation_Summary!C4+OI_Interpretation_Summary!C5,"0%")&amp;". OI rose on most days, consistent with positions building up over each contract's life before expiry."</f>
        <v>Short buildup (41%) and long buildup (32%) were the most common labels, together 72% of records; short covering and long unwinding made up 24%. OI rose on most days, consistent with positions building up over each contract's life before expiry.</v>
      </c>
      <c r="D13" s="7" t="s">
        <v>79</v>
      </c>
    </row>
    <row r="14" customFormat="false" ht="49.5" hidden="false" customHeight="true" outlineLevel="0" collapsed="false">
      <c r="A14" s="7" t="n">
        <v>10</v>
      </c>
      <c r="B14" s="6" t="s">
        <v>80</v>
      </c>
      <c r="C14" s="7" t="str">
        <f aca="false">"In expiry week, "&amp;TEXT(OI_Interpretation_Summary!B22,"0%")&amp;" of classified near-month days are labelled long unwinding or short covering. That is mainly contracts expiring and OI rolling to the next month, not traders changing view, so expiry-week labels should not be read as sentiment."</f>
        <v>In expiry week, 100% of classified near-month days are labelled long unwinding or short covering. That is mainly contracts expiring and OI rolling to the next month, not traders changing view, so expiry-week labels should not be read as sentiment.</v>
      </c>
      <c r="D14" s="7" t="s">
        <v>79</v>
      </c>
    </row>
    <row r="15" customFormat="false" ht="49.5" hidden="false" customHeight="true" outlineLevel="0" collapsed="false">
      <c r="A15" s="7" t="n">
        <v>11</v>
      </c>
      <c r="B15" s="6" t="s">
        <v>81</v>
      </c>
      <c r="C15" s="7" t="str">
        <f aca="false">"Outside expiry week, the close was higher the next day after only "&amp;TEXT(MIN(OI_Interpretation_Summary!E13:E16),"0%")&amp;" to "&amp;TEXT(MAX(OI_Interpretation_Summary!E13:E16),"0%")&amp;" of labelled days across the four labels (all labels: "&amp;TEXT(OI_Interpretation_Summary!E17,"0%")&amp;"; "&amp;TEXT(MIN(OI_Interpretation_Summary!B13:B16),"0")&amp;" to "&amp;TEXT(MAX(OI_Interpretation_Summary!B13:B16),"0")&amp;" observations each). The labels describe the day; in this sample they do not give a reliable next-day signal."</f>
        <v>Outside expiry week, the close was higher the next day after only 40% to 51% of labelled days across the four labels (all labels: 46%; 25 to 67 observations each). The labels describe the day; in this sample they do not give a reliable next-day signal.</v>
      </c>
      <c r="D15" s="7" t="s">
        <v>79</v>
      </c>
    </row>
    <row r="17" customFormat="false" ht="15" hidden="false" customHeight="true" outlineLevel="0" collapsed="false">
      <c r="A17" s="12" t="s">
        <v>82</v>
      </c>
    </row>
    <row r="18" customFormat="false" ht="15" hidden="false" customHeight="true" outlineLevel="0" collapsed="false">
      <c r="A18" s="5" t="s">
        <v>59</v>
      </c>
      <c r="B18" s="5" t="s">
        <v>83</v>
      </c>
      <c r="C18" s="5" t="s">
        <v>84</v>
      </c>
      <c r="D18" s="5" t="s">
        <v>85</v>
      </c>
    </row>
    <row r="19" customFormat="false" ht="33.75" hidden="false" customHeight="true" outlineLevel="0" collapsed="false">
      <c r="A19" s="7" t="n">
        <v>1</v>
      </c>
      <c r="B19" s="6" t="s">
        <v>86</v>
      </c>
      <c r="C19" s="7" t="s">
        <v>87</v>
      </c>
      <c r="D19" s="7" t="n">
        <f aca="false">COUNTBLANK(Cleaned_Futures_Data!$G$2:$G$756)</f>
        <v>8</v>
      </c>
    </row>
    <row r="20" customFormat="false" ht="33.75" hidden="false" customHeight="true" outlineLevel="0" collapsed="false">
      <c r="A20" s="7" t="n">
        <v>2</v>
      </c>
      <c r="B20" s="6" t="s">
        <v>88</v>
      </c>
      <c r="C20" s="7" t="s">
        <v>89</v>
      </c>
      <c r="D20" s="7" t="n">
        <f aca="false">COUNT(Cleaned_Futures_Data!$G$2:$G$756)-COUNT(Cleaned_Futures_Data!$N$2:$N$756)</f>
        <v>15</v>
      </c>
    </row>
    <row r="21" customFormat="false" ht="33.75" hidden="false" customHeight="true" outlineLevel="0" collapsed="false">
      <c r="A21" s="7" t="n">
        <v>3</v>
      </c>
      <c r="B21" s="6" t="s">
        <v>90</v>
      </c>
      <c r="C21" s="7" t="s">
        <v>91</v>
      </c>
      <c r="D21" s="7" t="n">
        <f aca="false">COUNTIF(Cleaned_Futures_Data!$U$2:$U$756,"Not classified")</f>
        <v>24</v>
      </c>
    </row>
    <row r="22" customFormat="false" ht="33.75" hidden="false" customHeight="true" outlineLevel="0" collapsed="false">
      <c r="A22" s="7" t="n">
        <v>4</v>
      </c>
      <c r="B22" s="6" t="s">
        <v>92</v>
      </c>
      <c r="C22" s="7" t="s">
        <v>93</v>
      </c>
      <c r="D22" s="7" t="n">
        <f aca="false">COUNTIF(Cleaned_Futures_Data!$U$2:$U$756,"Neutral")</f>
        <v>1</v>
      </c>
    </row>
    <row r="23" customFormat="false" ht="33.75" hidden="false" customHeight="true" outlineLevel="0" collapsed="false">
      <c r="A23" s="7" t="n">
        <v>5</v>
      </c>
      <c r="B23" s="6" t="s">
        <v>94</v>
      </c>
      <c r="C23" s="7" t="s">
        <v>95</v>
      </c>
      <c r="D23" s="7" t="n">
        <f aca="false">COUNTIF(Expiry_Summary!K2:K17,"Partial*")</f>
        <v>6</v>
      </c>
    </row>
    <row r="24" customFormat="false" ht="33.75" hidden="false" customHeight="true" outlineLevel="0" collapsed="false">
      <c r="A24" s="7" t="n">
        <v>6</v>
      </c>
      <c r="B24" s="6" t="s">
        <v>96</v>
      </c>
      <c r="C24" s="7" t="s">
        <v>97</v>
      </c>
      <c r="D24" s="7"/>
    </row>
    <row r="25" customFormat="false" ht="33.75" hidden="false" customHeight="true" outlineLevel="0" collapsed="false">
      <c r="A25" s="7" t="n">
        <v>7</v>
      </c>
      <c r="B25" s="6" t="s">
        <v>98</v>
      </c>
      <c r="C25" s="7" t="s">
        <v>99</v>
      </c>
      <c r="D25" s="7"/>
    </row>
    <row r="26" customFormat="false" ht="33.75" hidden="false" customHeight="true" outlineLevel="0" collapsed="false">
      <c r="A26" s="7" t="n">
        <v>8</v>
      </c>
      <c r="B26" s="6" t="s">
        <v>100</v>
      </c>
      <c r="C26" s="7" t="s">
        <v>101</v>
      </c>
      <c r="D26"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4"/>
    <col collapsed="false" customWidth="true" hidden="false" outlineLevel="0" max="2" min="2" style="1" width="16"/>
    <col collapsed="false" customWidth="true" hidden="false" outlineLevel="0" max="3" min="3" style="1" width="3"/>
  </cols>
  <sheetData>
    <row r="1" customFormat="false" ht="27.75" hidden="false" customHeight="true" outlineLevel="0" collapsed="false">
      <c r="A1" s="13" t="s">
        <v>102</v>
      </c>
      <c r="B1" s="14"/>
      <c r="C1" s="14"/>
      <c r="D1" s="14"/>
      <c r="E1" s="14"/>
      <c r="F1" s="14"/>
      <c r="G1" s="14"/>
      <c r="H1" s="14"/>
      <c r="I1" s="14"/>
      <c r="J1" s="14"/>
      <c r="K1" s="14"/>
      <c r="L1" s="14"/>
      <c r="M1" s="14"/>
      <c r="N1" s="14"/>
      <c r="O1" s="14"/>
      <c r="P1" s="14"/>
      <c r="Q1" s="14"/>
      <c r="R1" s="14"/>
      <c r="S1" s="14"/>
      <c r="T1" s="14"/>
      <c r="U1" s="14"/>
      <c r="V1" s="14"/>
      <c r="W1" s="14"/>
    </row>
    <row r="3" customFormat="false" ht="15" hidden="false" customHeight="true" outlineLevel="0" collapsed="false">
      <c r="A3" s="5" t="s">
        <v>103</v>
      </c>
      <c r="B3" s="5" t="s">
        <v>3</v>
      </c>
    </row>
    <row r="4" customFormat="false" ht="15" hidden="false" customHeight="true" outlineLevel="0" collapsed="false">
      <c r="A4" s="15" t="s">
        <v>104</v>
      </c>
      <c r="B4" s="16" t="n">
        <f aca="false">Summary!B5</f>
        <v>249</v>
      </c>
    </row>
    <row r="5" customFormat="false" ht="15" hidden="false" customHeight="true" outlineLevel="0" collapsed="false">
      <c r="A5" s="15" t="s">
        <v>105</v>
      </c>
      <c r="B5" s="16" t="n">
        <f aca="false">Summary!B4</f>
        <v>755</v>
      </c>
    </row>
    <row r="6" customFormat="false" ht="15" hidden="false" customHeight="true" outlineLevel="0" collapsed="false">
      <c r="A6" s="15" t="s">
        <v>106</v>
      </c>
      <c r="B6" s="16" t="n">
        <f aca="false">Summary!B6</f>
        <v>16</v>
      </c>
    </row>
    <row r="7" customFormat="false" ht="15" hidden="false" customHeight="true" outlineLevel="0" collapsed="false">
      <c r="A7" s="15" t="s">
        <v>107</v>
      </c>
      <c r="B7" s="17" t="n">
        <f aca="false">Summary!B11/1000000</f>
        <v>29.854788</v>
      </c>
    </row>
    <row r="8" customFormat="false" ht="15" hidden="false" customHeight="true" outlineLevel="0" collapsed="false">
      <c r="A8" s="15" t="s">
        <v>108</v>
      </c>
      <c r="B8" s="17" t="n">
        <f aca="false">Summary!B12/10000000</f>
        <v>48.299874059</v>
      </c>
    </row>
    <row r="9" customFormat="false" ht="15" hidden="false" customHeight="true" outlineLevel="0" collapsed="false">
      <c r="A9" s="15" t="s">
        <v>109</v>
      </c>
      <c r="B9" s="18" t="n">
        <f aca="false">Summary!B18</f>
        <v>0.79259293350199</v>
      </c>
    </row>
    <row r="10" customFormat="false" ht="15" hidden="false" customHeight="true" outlineLevel="0" collapsed="false">
      <c r="A10" s="15" t="s">
        <v>110</v>
      </c>
      <c r="B10" s="17" t="n">
        <f aca="false">Summary!B19</f>
        <v>68.0657786885248</v>
      </c>
    </row>
    <row r="11" customFormat="false" ht="15" hidden="false" customHeight="true" outlineLevel="0" collapsed="false">
      <c r="A11" s="15" t="s">
        <v>111</v>
      </c>
      <c r="B11" s="18" t="n">
        <f aca="false">Summary!B21</f>
        <v>0.0693602560284243</v>
      </c>
    </row>
    <row r="12" customFormat="false" ht="15" hidden="false" customHeight="true" outlineLevel="0" collapsed="false">
      <c r="A12" s="15" t="s">
        <v>112</v>
      </c>
      <c r="B12" s="17" t="n">
        <f aca="false">Summary!B22/1000000</f>
        <v>18.5475</v>
      </c>
    </row>
    <row r="13" customFormat="false" ht="15" hidden="false" customHeight="true" outlineLevel="0" collapsed="false">
      <c r="A13" s="15" t="s">
        <v>113</v>
      </c>
      <c r="B13" s="19" t="n">
        <f aca="false">Summary!B23</f>
        <v>45968</v>
      </c>
    </row>
    <row r="15" customFormat="false" ht="15" hidden="false" customHeight="true" outlineLevel="0" collapsed="false">
      <c r="A15" s="9" t="s">
        <v>114</v>
      </c>
    </row>
    <row r="16" customFormat="false" ht="15" hidden="false" customHeight="true" outlineLevel="0" collapsed="false">
      <c r="A16" s="9" t="s">
        <v>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44"/>
    <col collapsed="false" customWidth="true" hidden="false" outlineLevel="0" max="2" min="2" style="1" width="22"/>
  </cols>
  <sheetData>
    <row r="1" customFormat="false" ht="15" hidden="false" customHeight="true" outlineLevel="0" collapsed="false">
      <c r="A1" s="20" t="s">
        <v>116</v>
      </c>
      <c r="B1" s="20" t="s">
        <v>3</v>
      </c>
    </row>
    <row r="2" customFormat="false" ht="15" hidden="false" customHeight="true" outlineLevel="0" collapsed="false">
      <c r="A2" s="15" t="s">
        <v>117</v>
      </c>
      <c r="B2" s="21" t="n">
        <f aca="false">MIN(Cleaned_Futures_Data!$B$2:$B$756)</f>
        <v>45658</v>
      </c>
    </row>
    <row r="3" customFormat="false" ht="15" hidden="false" customHeight="true" outlineLevel="0" collapsed="false">
      <c r="A3" s="15" t="s">
        <v>118</v>
      </c>
      <c r="B3" s="21" t="n">
        <f aca="false">MAX(Cleaned_Futures_Data!$B$2:$B$756)</f>
        <v>46022</v>
      </c>
    </row>
    <row r="4" customFormat="false" ht="15" hidden="false" customHeight="true" outlineLevel="0" collapsed="false">
      <c r="A4" s="15" t="s">
        <v>119</v>
      </c>
      <c r="B4" s="22" t="n">
        <f aca="false">COUNTA(Cleaned_Futures_Data!$A$2:$A$756)</f>
        <v>755</v>
      </c>
    </row>
    <row r="5" customFormat="false" ht="15" hidden="false" customHeight="true" outlineLevel="0" collapsed="false">
      <c r="A5" s="15" t="s">
        <v>120</v>
      </c>
      <c r="B5" s="22" t="n">
        <f aca="false">SUMPRODUCT(1/COUNTIF(Cleaned_Futures_Data!$B$2:$B$756,Cleaned_Futures_Data!$B$2:$B$756))</f>
        <v>249</v>
      </c>
    </row>
    <row r="6" customFormat="false" ht="15" hidden="false" customHeight="true" outlineLevel="0" collapsed="false">
      <c r="A6" s="15" t="s">
        <v>121</v>
      </c>
      <c r="B6" s="22" t="n">
        <f aca="false">SUMPRODUCT(1/COUNTIF(Cleaned_Futures_Data!$C$2:$C$756,Cleaned_Futures_Data!$C$2:$C$756))</f>
        <v>16</v>
      </c>
    </row>
    <row r="7" customFormat="false" ht="15" hidden="false" customHeight="true" outlineLevel="0" collapsed="false">
      <c r="A7" s="15" t="s">
        <v>122</v>
      </c>
      <c r="B7" s="22" t="n">
        <f aca="false">COUNT(Cleaned_Futures_Data!$O$2:$O$756)</f>
        <v>732</v>
      </c>
    </row>
    <row r="8" customFormat="false" ht="15" hidden="false" customHeight="true" outlineLevel="0" collapsed="false">
      <c r="A8" s="15" t="s">
        <v>123</v>
      </c>
      <c r="B8" s="23" t="n">
        <f aca="false">AVERAGE(Cleaned_Futures_Data!$O$2:$O$756)</f>
        <v>203.47424863388</v>
      </c>
    </row>
    <row r="9" customFormat="false" ht="15" hidden="false" customHeight="true" outlineLevel="0" collapsed="false">
      <c r="A9" s="15" t="s">
        <v>124</v>
      </c>
      <c r="B9" s="23" t="n">
        <f aca="false">MIN(Cleaned_Futures_Data!$O$2:$O$756)</f>
        <v>-19.3999999999978</v>
      </c>
    </row>
    <row r="10" customFormat="false" ht="15" hidden="false" customHeight="true" outlineLevel="0" collapsed="false">
      <c r="A10" s="15" t="s">
        <v>125</v>
      </c>
      <c r="B10" s="23" t="n">
        <f aca="false">MAX(Cleaned_Futures_Data!$O$2:$O$756)</f>
        <v>537.700000000001</v>
      </c>
    </row>
    <row r="11" customFormat="false" ht="15" hidden="false" customHeight="true" outlineLevel="0" collapsed="false">
      <c r="A11" s="15" t="s">
        <v>126</v>
      </c>
      <c r="B11" s="22" t="n">
        <f aca="false">SUM(Cleaned_Futures_Data!$J$2:$J$756)</f>
        <v>29854788</v>
      </c>
    </row>
    <row r="12" customFormat="false" ht="15" hidden="false" customHeight="true" outlineLevel="0" collapsed="false">
      <c r="A12" s="15" t="s">
        <v>127</v>
      </c>
      <c r="B12" s="24" t="n">
        <f aca="false">SUM(Cleaned_Futures_Data!$K$2:$K$756)</f>
        <v>482998740.59</v>
      </c>
    </row>
    <row r="13" customFormat="false" ht="15" hidden="false" customHeight="true" outlineLevel="0" collapsed="false">
      <c r="A13" s="15" t="s">
        <v>128</v>
      </c>
      <c r="B13" s="22" t="n">
        <f aca="false">COUNTA(Cleaned_Futures_Data!$U$2:$U$756)-COUNTIF(Cleaned_Futures_Data!$U$2:$U$756,"Not classified")</f>
        <v>731</v>
      </c>
    </row>
    <row r="15" customFormat="false" ht="15" hidden="false" customHeight="true" outlineLevel="0" collapsed="false">
      <c r="A15" s="12" t="s">
        <v>129</v>
      </c>
    </row>
    <row r="16" customFormat="false" ht="15" hidden="false" customHeight="true" outlineLevel="0" collapsed="false">
      <c r="A16" s="5" t="s">
        <v>116</v>
      </c>
      <c r="B16" s="5" t="s">
        <v>3</v>
      </c>
    </row>
    <row r="17" customFormat="false" ht="15" hidden="false" customHeight="true" outlineLevel="0" collapsed="false">
      <c r="A17" s="15" t="s">
        <v>130</v>
      </c>
      <c r="B17" s="22" t="n">
        <f aca="false">COUNTIF(Cleaned_Futures_Data!$W$2:$W$756,1)</f>
        <v>249</v>
      </c>
    </row>
    <row r="18" customFormat="false" ht="15" hidden="false" customHeight="true" outlineLevel="0" collapsed="false">
      <c r="A18" s="15" t="s">
        <v>109</v>
      </c>
      <c r="B18" s="25" t="n">
        <f aca="false">Basis_Analysis!F18</f>
        <v>0.79259293350199</v>
      </c>
    </row>
    <row r="19" customFormat="false" ht="15" hidden="false" customHeight="true" outlineLevel="0" collapsed="false">
      <c r="A19" s="15" t="s">
        <v>131</v>
      </c>
      <c r="B19" s="26" t="n">
        <f aca="false">AVERAGEIFS(Cleaned_Futures_Data!$O$2:$O$756,Cleaned_Futures_Data!$W$2:$W$756,1)</f>
        <v>68.0657786885248</v>
      </c>
    </row>
    <row r="20" customFormat="false" ht="15" hidden="false" customHeight="true" outlineLevel="0" collapsed="false">
      <c r="A20" s="15" t="s">
        <v>132</v>
      </c>
      <c r="B20" s="27" t="n">
        <f aca="false">AVERAGEIFS(Cleaned_Futures_Data!$P$2:$P$756,Cleaned_Futures_Data!$W$2:$W$756,1)</f>
        <v>0.00276110987012423</v>
      </c>
    </row>
    <row r="21" customFormat="false" ht="15" hidden="false" customHeight="true" outlineLevel="0" collapsed="false">
      <c r="A21" s="15" t="s">
        <v>133</v>
      </c>
      <c r="B21" s="25" t="n">
        <f aca="false">Basis_Analysis!B4</f>
        <v>0.0693602560284243</v>
      </c>
    </row>
    <row r="22" customFormat="false" ht="15" hidden="false" customHeight="true" outlineLevel="0" collapsed="false">
      <c r="A22" s="15" t="s">
        <v>134</v>
      </c>
      <c r="B22" s="22" t="n">
        <f aca="false">MAX(NearMonth_Daily!$H$2:$H$250)</f>
        <v>18547500</v>
      </c>
    </row>
    <row r="23" customFormat="false" ht="15" hidden="false" customHeight="true" outlineLevel="0" collapsed="false">
      <c r="A23" s="15" t="s">
        <v>135</v>
      </c>
      <c r="B23" s="21" t="n">
        <f aca="false">INDEX(NearMonth_Daily!$A$2:$A$250,MATCH(MAX(NearMonth_Daily!$H$2:$H$250),NearMonth_Daily!$H$2:$H$250,0))</f>
        <v>45968</v>
      </c>
    </row>
    <row r="25" customFormat="false" ht="31.5" hidden="false" customHeight="true" outlineLevel="0" collapsed="false">
      <c r="A25" s="28" t="s">
        <v>136</v>
      </c>
      <c r="B25" s="28"/>
    </row>
  </sheetData>
  <mergeCells count="1">
    <mergeCell ref="A25:B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4" min="3" style="1" width="16"/>
    <col collapsed="false" customWidth="true" hidden="false" outlineLevel="0" max="5" min="5" style="1" width="14"/>
    <col collapsed="false" customWidth="true" hidden="false" outlineLevel="0" max="6" min="6" style="1" width="18"/>
    <col collapsed="false" customWidth="true" hidden="false" outlineLevel="0" max="7" min="7" style="1" width="16"/>
    <col collapsed="false" customWidth="true" hidden="false" outlineLevel="0" max="8" min="8" style="1" width="22"/>
    <col collapsed="false" customWidth="true" hidden="false" outlineLevel="0" max="9" min="9" style="1" width="14"/>
    <col collapsed="false" customWidth="true" hidden="false" outlineLevel="0" max="11" min="10" style="1" width="16"/>
  </cols>
  <sheetData>
    <row r="1" customFormat="false" ht="31.5" hidden="false" customHeight="true" outlineLevel="0" collapsed="false">
      <c r="A1" s="5" t="s">
        <v>137</v>
      </c>
      <c r="B1" s="5" t="s">
        <v>138</v>
      </c>
      <c r="C1" s="5" t="s">
        <v>139</v>
      </c>
      <c r="D1" s="5" t="s">
        <v>140</v>
      </c>
      <c r="E1" s="5" t="s">
        <v>141</v>
      </c>
      <c r="F1" s="5" t="s">
        <v>142</v>
      </c>
      <c r="G1" s="5" t="s">
        <v>143</v>
      </c>
      <c r="H1" s="5" t="s">
        <v>144</v>
      </c>
      <c r="I1" s="5" t="s">
        <v>145</v>
      </c>
      <c r="J1" s="5" t="s">
        <v>146</v>
      </c>
      <c r="K1" s="5" t="s">
        <v>147</v>
      </c>
    </row>
    <row r="2" customFormat="false" ht="15" hidden="false" customHeight="true" outlineLevel="0" collapsed="false">
      <c r="A2" s="15" t="s">
        <v>148</v>
      </c>
      <c r="B2" s="29" t="n">
        <f aca="false">COUNTIFS(Cleaned_Futures_Data!$V$2:$V$756,$A2)</f>
        <v>70</v>
      </c>
      <c r="C2" s="22" t="n">
        <f aca="false">SUMIFS(Cleaned_Futures_Data!$J$2:$J$756,Cleaned_Futures_Data!$V$2:$V$756,$A2)</f>
        <v>6009928</v>
      </c>
      <c r="D2" s="22" t="n">
        <f aca="false">AVERAGEIFS(Cleaned_Futures_Data!$L$2:$L$756,Cleaned_Futures_Data!$V$2:$V$756,$A2)</f>
        <v>5801928.62318841</v>
      </c>
      <c r="E2" s="26" t="n">
        <f aca="false">AVERAGEIFS(Cleaned_Futures_Data!$O$2:$O$756,Cleaned_Futures_Data!$V$2:$V$756,$A2)</f>
        <v>208.815942028985</v>
      </c>
      <c r="F2" s="24" t="n">
        <f aca="false">SUMIFS(Cleaned_Futures_Data!$K$2:$K$756,Cleaned_Futures_Data!$V$2:$V$756,$A2)</f>
        <v>42926849.94</v>
      </c>
      <c r="G2" s="22" t="n">
        <f aca="false">SUMIFS(Cleaned_Futures_Data!$J$2:$J$756,Cleaned_Futures_Data!$V$2:$V$756,$A2,Cleaned_Futures_Data!$W$2:$W$756,1)</f>
        <v>5440422</v>
      </c>
      <c r="H2" s="25" t="n">
        <f aca="false">G2/C2</f>
        <v>0.905239130984598</v>
      </c>
      <c r="I2" s="26" t="n">
        <f aca="false">AVERAGEIFS(Cleaned_Futures_Data!$O$2:$O$756,Cleaned_Futures_Data!$V$2:$V$756,$A2,Cleaned_Futures_Data!$W$2:$W$756,1)</f>
        <v>67.136956521739</v>
      </c>
      <c r="J2" s="27" t="n">
        <f aca="false">AVERAGEIFS(Cleaned_Futures_Data!$P$2:$P$756,Cleaned_Futures_Data!$V$2:$V$756,$A2,Cleaned_Futures_Data!$W$2:$W$756,1)</f>
        <v>0.00285872679406907</v>
      </c>
      <c r="K2" s="22" t="n">
        <f aca="false">AVERAGEIFS(Cleaned_Futures_Data!$L$2:$L$756,Cleaned_Futures_Data!$V$2:$V$756,$A2,Cleaned_Futures_Data!$W$2:$W$756,1)</f>
        <v>12654868.4782609</v>
      </c>
    </row>
    <row r="3" customFormat="false" ht="15" hidden="false" customHeight="true" outlineLevel="0" collapsed="false">
      <c r="A3" s="15" t="s">
        <v>149</v>
      </c>
      <c r="B3" s="29" t="n">
        <f aca="false">COUNTIFS(Cleaned_Futures_Data!$V$2:$V$756,$A3)</f>
        <v>61</v>
      </c>
      <c r="C3" s="22" t="n">
        <f aca="false">SUMIFS(Cleaned_Futures_Data!$J$2:$J$756,Cleaned_Futures_Data!$V$2:$V$756,$A3)</f>
        <v>2326946</v>
      </c>
      <c r="D3" s="22" t="n">
        <f aca="false">AVERAGEIFS(Cleaned_Futures_Data!$L$2:$L$756,Cleaned_Futures_Data!$V$2:$V$756,$A3)</f>
        <v>6342351.25</v>
      </c>
      <c r="E3" s="26" t="n">
        <f aca="false">AVERAGEIFS(Cleaned_Futures_Data!$O$2:$O$756,Cleaned_Futures_Data!$V$2:$V$756,$A3)</f>
        <v>203.679824561404</v>
      </c>
      <c r="F3" s="24" t="n">
        <f aca="false">SUMIFS(Cleaned_Futures_Data!$K$2:$K$756,Cleaned_Futures_Data!$V$2:$V$756,$A3)</f>
        <v>40274515.48</v>
      </c>
      <c r="G3" s="22" t="n">
        <f aca="false">SUMIFS(Cleaned_Futures_Data!$J$2:$J$756,Cleaned_Futures_Data!$V$2:$V$756,$A3,Cleaned_Futures_Data!$W$2:$W$756,1)</f>
        <v>1876281</v>
      </c>
      <c r="H3" s="25" t="n">
        <f aca="false">G3/C3</f>
        <v>0.80632769303628</v>
      </c>
      <c r="I3" s="26" t="n">
        <f aca="false">AVERAGEIFS(Cleaned_Futures_Data!$O$2:$O$756,Cleaned_Futures_Data!$V$2:$V$756,$A3,Cleaned_Futures_Data!$W$2:$W$756,1)</f>
        <v>62.4210526315791</v>
      </c>
      <c r="J3" s="27" t="n">
        <f aca="false">AVERAGEIFS(Cleaned_Futures_Data!$P$2:$P$756,Cleaned_Futures_Data!$V$2:$V$756,$A3,Cleaned_Futures_Data!$W$2:$W$756,1)</f>
        <v>0.00271079360989815</v>
      </c>
      <c r="K3" s="22" t="n">
        <f aca="false">AVERAGEIFS(Cleaned_Futures_Data!$L$2:$L$756,Cleaned_Futures_Data!$V$2:$V$756,$A3,Cleaned_Futures_Data!$W$2:$W$756,1)</f>
        <v>15540165</v>
      </c>
    </row>
    <row r="4" customFormat="false" ht="15" hidden="false" customHeight="true" outlineLevel="0" collapsed="false">
      <c r="A4" s="15" t="s">
        <v>150</v>
      </c>
      <c r="B4" s="29" t="n">
        <f aca="false">COUNTIFS(Cleaned_Futures_Data!$V$2:$V$756,$A4)</f>
        <v>58</v>
      </c>
      <c r="C4" s="22" t="n">
        <f aca="false">SUMIFS(Cleaned_Futures_Data!$J$2:$J$756,Cleaned_Futures_Data!$V$2:$V$756,$A4)</f>
        <v>2149492</v>
      </c>
      <c r="D4" s="22" t="n">
        <f aca="false">AVERAGEIFS(Cleaned_Futures_Data!$L$2:$L$756,Cleaned_Futures_Data!$V$2:$V$756,$A4)</f>
        <v>6439617.10526316</v>
      </c>
      <c r="E4" s="26" t="n">
        <f aca="false">AVERAGEIFS(Cleaned_Futures_Data!$O$2:$O$756,Cleaned_Futures_Data!$V$2:$V$756,$A4)</f>
        <v>199.350925925926</v>
      </c>
      <c r="F4" s="24" t="n">
        <f aca="false">SUMIFS(Cleaned_Futures_Data!$K$2:$K$756,Cleaned_Futures_Data!$V$2:$V$756,$A4)</f>
        <v>37214609.16</v>
      </c>
      <c r="G4" s="22" t="n">
        <f aca="false">SUMIFS(Cleaned_Futures_Data!$J$2:$J$756,Cleaned_Futures_Data!$V$2:$V$756,$A4,Cleaned_Futures_Data!$W$2:$W$756,1)</f>
        <v>1613022</v>
      </c>
      <c r="H4" s="25" t="n">
        <f aca="false">G4/C4</f>
        <v>0.750420099260663</v>
      </c>
      <c r="I4" s="26" t="n">
        <f aca="false">AVERAGEIFS(Cleaned_Futures_Data!$O$2:$O$756,Cleaned_Futures_Data!$V$2:$V$756,$A4,Cleaned_Futures_Data!$W$2:$W$756,1)</f>
        <v>61.7083333333329</v>
      </c>
      <c r="J4" s="27" t="n">
        <f aca="false">AVERAGEIFS(Cleaned_Futures_Data!$P$2:$P$756,Cleaned_Futures_Data!$V$2:$V$756,$A4,Cleaned_Futures_Data!$W$2:$W$756,1)</f>
        <v>0.00273378168538515</v>
      </c>
      <c r="K4" s="22" t="n">
        <f aca="false">AVERAGEIFS(Cleaned_Futures_Data!$L$2:$L$756,Cleaned_Futures_Data!$V$2:$V$756,$A4,Cleaned_Futures_Data!$W$2:$W$756,1)</f>
        <v>15222375</v>
      </c>
    </row>
    <row r="5" customFormat="false" ht="15" hidden="false" customHeight="true" outlineLevel="0" collapsed="false">
      <c r="A5" s="15" t="s">
        <v>151</v>
      </c>
      <c r="B5" s="29" t="n">
        <f aca="false">COUNTIFS(Cleaned_Futures_Data!$V$2:$V$756,$A5)</f>
        <v>58</v>
      </c>
      <c r="C5" s="22" t="n">
        <f aca="false">SUMIFS(Cleaned_Futures_Data!$J$2:$J$756,Cleaned_Futures_Data!$V$2:$V$756,$A5)</f>
        <v>2543096</v>
      </c>
      <c r="D5" s="22" t="n">
        <f aca="false">AVERAGEIFS(Cleaned_Futures_Data!$L$2:$L$756,Cleaned_Futures_Data!$V$2:$V$756,$A5)</f>
        <v>5103951.31578947</v>
      </c>
      <c r="E5" s="26" t="n">
        <f aca="false">AVERAGEIFS(Cleaned_Futures_Data!$O$2:$O$756,Cleaned_Futures_Data!$V$2:$V$756,$A5)</f>
        <v>170.392156862745</v>
      </c>
      <c r="F5" s="24" t="n">
        <f aca="false">SUMIFS(Cleaned_Futures_Data!$K$2:$K$756,Cleaned_Futures_Data!$V$2:$V$756,$A5)</f>
        <v>44839196.7</v>
      </c>
      <c r="G5" s="22" t="n">
        <f aca="false">SUMIFS(Cleaned_Futures_Data!$J$2:$J$756,Cleaned_Futures_Data!$V$2:$V$756,$A5,Cleaned_Futures_Data!$W$2:$W$756,1)</f>
        <v>2028952</v>
      </c>
      <c r="H5" s="25" t="n">
        <f aca="false">G5/C5</f>
        <v>0.797827529908427</v>
      </c>
      <c r="I5" s="26" t="n">
        <f aca="false">AVERAGEIFS(Cleaned_Futures_Data!$O$2:$O$756,Cleaned_Futures_Data!$V$2:$V$756,$A5,Cleaned_Futures_Data!$W$2:$W$756,1)</f>
        <v>56.5764705882357</v>
      </c>
      <c r="J5" s="27" t="n">
        <f aca="false">AVERAGEIFS(Cleaned_Futures_Data!$P$2:$P$756,Cleaned_Futures_Data!$V$2:$V$756,$A5,Cleaned_Futures_Data!$W$2:$W$756,1)</f>
        <v>0.00240685577481269</v>
      </c>
      <c r="K5" s="22" t="n">
        <f aca="false">AVERAGEIFS(Cleaned_Futures_Data!$L$2:$L$756,Cleaned_Futures_Data!$V$2:$V$756,$A5,Cleaned_Futures_Data!$W$2:$W$756,1)</f>
        <v>11641867.1052632</v>
      </c>
    </row>
    <row r="6" customFormat="false" ht="15" hidden="false" customHeight="true" outlineLevel="0" collapsed="false">
      <c r="A6" s="15" t="s">
        <v>152</v>
      </c>
      <c r="B6" s="29" t="n">
        <f aca="false">COUNTIFS(Cleaned_Futures_Data!$V$2:$V$756,$A6)</f>
        <v>64</v>
      </c>
      <c r="C6" s="22" t="n">
        <f aca="false">SUMIFS(Cleaned_Futures_Data!$J$2:$J$756,Cleaned_Futures_Data!$V$2:$V$756,$A6)</f>
        <v>2972628</v>
      </c>
      <c r="D6" s="22" t="n">
        <f aca="false">AVERAGEIFS(Cleaned_Futures_Data!$L$2:$L$756,Cleaned_Futures_Data!$V$2:$V$756,$A6)</f>
        <v>5592363.0952381</v>
      </c>
      <c r="E6" s="26" t="n">
        <f aca="false">AVERAGEIFS(Cleaned_Futures_Data!$O$2:$O$756,Cleaned_Futures_Data!$V$2:$V$756,$A6)</f>
        <v>160.0525</v>
      </c>
      <c r="F6" s="24" t="n">
        <f aca="false">SUMIFS(Cleaned_Futures_Data!$K$2:$K$756,Cleaned_Futures_Data!$V$2:$V$756,$A6)</f>
        <v>55201330.9</v>
      </c>
      <c r="G6" s="22" t="n">
        <f aca="false">SUMIFS(Cleaned_Futures_Data!$J$2:$J$756,Cleaned_Futures_Data!$V$2:$V$756,$A6,Cleaned_Futures_Data!$W$2:$W$756,1)</f>
        <v>2235930</v>
      </c>
      <c r="H6" s="25" t="n">
        <f aca="false">G6/C6</f>
        <v>0.752172824853968</v>
      </c>
      <c r="I6" s="26" t="n">
        <f aca="false">AVERAGEIFS(Cleaned_Futures_Data!$O$2:$O$756,Cleaned_Futures_Data!$V$2:$V$756,$A6,Cleaned_Futures_Data!$W$2:$W$756,1)</f>
        <v>43.9075000000003</v>
      </c>
      <c r="J6" s="27" t="n">
        <f aca="false">AVERAGEIFS(Cleaned_Futures_Data!$P$2:$P$756,Cleaned_Futures_Data!$V$2:$V$756,$A6,Cleaned_Futures_Data!$W$2:$W$756,1)</f>
        <v>0.0017816480198679</v>
      </c>
      <c r="K6" s="22" t="n">
        <f aca="false">AVERAGEIFS(Cleaned_Futures_Data!$L$2:$L$756,Cleaned_Futures_Data!$V$2:$V$756,$A6,Cleaned_Futures_Data!$W$2:$W$756,1)</f>
        <v>11132689.2857143</v>
      </c>
    </row>
    <row r="7" customFormat="false" ht="15" hidden="false" customHeight="true" outlineLevel="0" collapsed="false">
      <c r="A7" s="15" t="s">
        <v>153</v>
      </c>
      <c r="B7" s="29" t="n">
        <f aca="false">COUNTIFS(Cleaned_Futures_Data!$V$2:$V$756,$A7)</f>
        <v>64</v>
      </c>
      <c r="C7" s="22" t="n">
        <f aca="false">SUMIFS(Cleaned_Futures_Data!$J$2:$J$756,Cleaned_Futures_Data!$V$2:$V$756,$A7)</f>
        <v>2390931</v>
      </c>
      <c r="D7" s="22" t="n">
        <f aca="false">AVERAGEIFS(Cleaned_Futures_Data!$L$2:$L$756,Cleaned_Futures_Data!$V$2:$V$756,$A7)</f>
        <v>5930657.14285714</v>
      </c>
      <c r="E7" s="26" t="n">
        <f aca="false">AVERAGEIFS(Cleaned_Futures_Data!$O$2:$O$756,Cleaned_Futures_Data!$V$2:$V$756,$A7)</f>
        <v>172.635714285714</v>
      </c>
      <c r="F7" s="24" t="n">
        <f aca="false">SUMIFS(Cleaned_Futures_Data!$K$2:$K$756,Cleaned_Futures_Data!$V$2:$V$756,$A7)</f>
        <v>45009826.33</v>
      </c>
      <c r="G7" s="22" t="n">
        <f aca="false">SUMIFS(Cleaned_Futures_Data!$J$2:$J$756,Cleaned_Futures_Data!$V$2:$V$756,$A7,Cleaned_Futures_Data!$W$2:$W$756,1)</f>
        <v>1771663</v>
      </c>
      <c r="H7" s="25" t="n">
        <f aca="false">G7/C7</f>
        <v>0.740992943752873</v>
      </c>
      <c r="I7" s="26" t="n">
        <f aca="false">AVERAGEIFS(Cleaned_Futures_Data!$O$2:$O$756,Cleaned_Futures_Data!$V$2:$V$756,$A7,Cleaned_Futures_Data!$W$2:$W$756,1)</f>
        <v>55.9785714285716</v>
      </c>
      <c r="J7" s="27" t="n">
        <f aca="false">AVERAGEIFS(Cleaned_Futures_Data!$P$2:$P$756,Cleaned_Futures_Data!$V$2:$V$756,$A7,Cleaned_Futures_Data!$W$2:$W$756,1)</f>
        <v>0.00224176799798816</v>
      </c>
      <c r="K7" s="22" t="n">
        <f aca="false">AVERAGEIFS(Cleaned_Futures_Data!$L$2:$L$756,Cleaned_Futures_Data!$V$2:$V$756,$A7,Cleaned_Futures_Data!$W$2:$W$756,1)</f>
        <v>11058639.2857143</v>
      </c>
    </row>
    <row r="8" customFormat="false" ht="15" hidden="false" customHeight="true" outlineLevel="0" collapsed="false">
      <c r="A8" s="15" t="s">
        <v>154</v>
      </c>
      <c r="B8" s="29" t="n">
        <f aca="false">COUNTIFS(Cleaned_Futures_Data!$V$2:$V$756,$A8)</f>
        <v>71</v>
      </c>
      <c r="C8" s="22" t="n">
        <f aca="false">SUMIFS(Cleaned_Futures_Data!$J$2:$J$756,Cleaned_Futures_Data!$V$2:$V$756,$A8)</f>
        <v>1909479</v>
      </c>
      <c r="D8" s="22" t="n">
        <f aca="false">AVERAGEIFS(Cleaned_Futures_Data!$L$2:$L$756,Cleaned_Futures_Data!$V$2:$V$756,$A8)</f>
        <v>6126076.08695652</v>
      </c>
      <c r="E8" s="26" t="n">
        <f aca="false">AVERAGEIFS(Cleaned_Futures_Data!$O$2:$O$756,Cleaned_Futures_Data!$V$2:$V$756,$A8)</f>
        <v>176.392753623189</v>
      </c>
      <c r="F8" s="24" t="n">
        <f aca="false">SUMIFS(Cleaned_Futures_Data!$K$2:$K$756,Cleaned_Futures_Data!$V$2:$V$756,$A8)</f>
        <v>36037760.06</v>
      </c>
      <c r="G8" s="22" t="n">
        <f aca="false">SUMIFS(Cleaned_Futures_Data!$J$2:$J$756,Cleaned_Futures_Data!$V$2:$V$756,$A8,Cleaned_Futures_Data!$W$2:$W$756,1)</f>
        <v>1417569</v>
      </c>
      <c r="H8" s="25" t="n">
        <f aca="false">G8/C8</f>
        <v>0.742385226546089</v>
      </c>
      <c r="I8" s="26" t="n">
        <f aca="false">AVERAGEIFS(Cleaned_Futures_Data!$O$2:$O$756,Cleaned_Futures_Data!$V$2:$V$756,$A8,Cleaned_Futures_Data!$W$2:$W$756,1)</f>
        <v>56.3739130434784</v>
      </c>
      <c r="J8" s="27" t="n">
        <f aca="false">AVERAGEIFS(Cleaned_Futures_Data!$P$2:$P$756,Cleaned_Futures_Data!$V$2:$V$756,$A8,Cleaned_Futures_Data!$W$2:$W$756,1)</f>
        <v>0.00223023347279384</v>
      </c>
      <c r="K8" s="22" t="n">
        <f aca="false">AVERAGEIFS(Cleaned_Futures_Data!$L$2:$L$756,Cleaned_Futures_Data!$V$2:$V$756,$A8,Cleaned_Futures_Data!$W$2:$W$756,1)</f>
        <v>12515354.3478261</v>
      </c>
    </row>
    <row r="9" customFormat="false" ht="15" hidden="false" customHeight="true" outlineLevel="0" collapsed="false">
      <c r="A9" s="15" t="s">
        <v>155</v>
      </c>
      <c r="B9" s="29" t="n">
        <f aca="false">COUNTIFS(Cleaned_Futures_Data!$V$2:$V$756,$A9)</f>
        <v>57</v>
      </c>
      <c r="C9" s="22" t="n">
        <f aca="false">SUMIFS(Cleaned_Futures_Data!$J$2:$J$756,Cleaned_Futures_Data!$V$2:$V$756,$A9)</f>
        <v>1812422</v>
      </c>
      <c r="D9" s="22" t="n">
        <f aca="false">AVERAGEIFS(Cleaned_Futures_Data!$L$2:$L$756,Cleaned_Futures_Data!$V$2:$V$756,$A9)</f>
        <v>6054259.21052632</v>
      </c>
      <c r="E9" s="26" t="n">
        <f aca="false">AVERAGEIFS(Cleaned_Futures_Data!$O$2:$O$756,Cleaned_Futures_Data!$V$2:$V$756,$A9)</f>
        <v>187.676315789474</v>
      </c>
      <c r="F9" s="24" t="n">
        <f aca="false">SUMIFS(Cleaned_Futures_Data!$K$2:$K$756,Cleaned_Futures_Data!$V$2:$V$756,$A9)</f>
        <v>33710195.69</v>
      </c>
      <c r="G9" s="22" t="n">
        <f aca="false">SUMIFS(Cleaned_Futures_Data!$J$2:$J$756,Cleaned_Futures_Data!$V$2:$V$756,$A9,Cleaned_Futures_Data!$W$2:$W$756,1)</f>
        <v>1368990</v>
      </c>
      <c r="H9" s="25" t="n">
        <f aca="false">G9/C9</f>
        <v>0.755337333137647</v>
      </c>
      <c r="I9" s="26" t="n">
        <f aca="false">AVERAGEIFS(Cleaned_Futures_Data!$O$2:$O$756,Cleaned_Futures_Data!$V$2:$V$756,$A9,Cleaned_Futures_Data!$W$2:$W$756,1)</f>
        <v>57.0289473684214</v>
      </c>
      <c r="J9" s="27" t="n">
        <f aca="false">AVERAGEIFS(Cleaned_Futures_Data!$P$2:$P$756,Cleaned_Futures_Data!$V$2:$V$756,$A9,Cleaned_Futures_Data!$W$2:$W$756,1)</f>
        <v>0.00231348955119882</v>
      </c>
      <c r="K9" s="22" t="n">
        <f aca="false">AVERAGEIFS(Cleaned_Futures_Data!$L$2:$L$756,Cleaned_Futures_Data!$V$2:$V$756,$A9,Cleaned_Futures_Data!$W$2:$W$756,1)</f>
        <v>14934982.8947368</v>
      </c>
    </row>
    <row r="10" customFormat="false" ht="15" hidden="false" customHeight="true" outlineLevel="0" collapsed="false">
      <c r="A10" s="15" t="s">
        <v>156</v>
      </c>
      <c r="B10" s="29" t="n">
        <f aca="false">COUNTIFS(Cleaned_Futures_Data!$V$2:$V$756,$A10)</f>
        <v>66</v>
      </c>
      <c r="C10" s="22" t="n">
        <f aca="false">SUMIFS(Cleaned_Futures_Data!$J$2:$J$756,Cleaned_Futures_Data!$V$2:$V$756,$A10)</f>
        <v>1810486</v>
      </c>
      <c r="D10" s="22" t="n">
        <f aca="false">AVERAGEIFS(Cleaned_Futures_Data!$L$2:$L$756,Cleaned_Futures_Data!$V$2:$V$756,$A10)</f>
        <v>6210584.09090909</v>
      </c>
      <c r="E10" s="26" t="n">
        <f aca="false">AVERAGEIFS(Cleaned_Futures_Data!$O$2:$O$756,Cleaned_Futures_Data!$V$2:$V$756,$A10)</f>
        <v>207.241666666667</v>
      </c>
      <c r="F10" s="24" t="n">
        <f aca="false">SUMIFS(Cleaned_Futures_Data!$K$2:$K$756,Cleaned_Futures_Data!$V$2:$V$756,$A10)</f>
        <v>33965790.33</v>
      </c>
      <c r="G10" s="22" t="n">
        <f aca="false">SUMIFS(Cleaned_Futures_Data!$J$2:$J$756,Cleaned_Futures_Data!$V$2:$V$756,$A10,Cleaned_Futures_Data!$W$2:$W$756,1)</f>
        <v>1341682</v>
      </c>
      <c r="H10" s="25" t="n">
        <f aca="false">G10/C10</f>
        <v>0.741061792248048</v>
      </c>
      <c r="I10" s="26" t="n">
        <f aca="false">AVERAGEIFS(Cleaned_Futures_Data!$O$2:$O$756,Cleaned_Futures_Data!$V$2:$V$756,$A10,Cleaned_Futures_Data!$W$2:$W$756,1)</f>
        <v>84.347727272728</v>
      </c>
      <c r="J10" s="27" t="n">
        <f aca="false">AVERAGEIFS(Cleaned_Futures_Data!$P$2:$P$756,Cleaned_Futures_Data!$V$2:$V$756,$A10,Cleaned_Futures_Data!$W$2:$W$756,1)</f>
        <v>0.00338049112705705</v>
      </c>
      <c r="K10" s="22" t="n">
        <f aca="false">AVERAGEIFS(Cleaned_Futures_Data!$L$2:$L$756,Cleaned_Futures_Data!$V$2:$V$756,$A10,Cleaned_Futures_Data!$W$2:$W$756,1)</f>
        <v>14679893.1818182</v>
      </c>
    </row>
    <row r="11" customFormat="false" ht="15" hidden="false" customHeight="true" outlineLevel="0" collapsed="false">
      <c r="A11" s="15" t="s">
        <v>157</v>
      </c>
      <c r="B11" s="29" t="n">
        <f aca="false">COUNTIFS(Cleaned_Futures_Data!$V$2:$V$756,$A11)</f>
        <v>63</v>
      </c>
      <c r="C11" s="22" t="n">
        <f aca="false">SUMIFS(Cleaned_Futures_Data!$J$2:$J$756,Cleaned_Futures_Data!$V$2:$V$756,$A11)</f>
        <v>2117667</v>
      </c>
      <c r="D11" s="22" t="n">
        <f aca="false">AVERAGEIFS(Cleaned_Futures_Data!$L$2:$L$756,Cleaned_Futures_Data!$V$2:$V$756,$A11)</f>
        <v>6396007.3015873</v>
      </c>
      <c r="E11" s="26" t="n">
        <f aca="false">AVERAGEIFS(Cleaned_Futures_Data!$O$2:$O$756,Cleaned_Futures_Data!$V$2:$V$756,$A11)</f>
        <v>238.497619047619</v>
      </c>
      <c r="F11" s="24" t="n">
        <f aca="false">SUMIFS(Cleaned_Futures_Data!$K$2:$K$756,Cleaned_Futures_Data!$V$2:$V$756,$A11)</f>
        <v>40800353.61</v>
      </c>
      <c r="G11" s="22" t="n">
        <f aca="false">SUMIFS(Cleaned_Futures_Data!$J$2:$J$756,Cleaned_Futures_Data!$V$2:$V$756,$A11,Cleaned_Futures_Data!$W$2:$W$756,1)</f>
        <v>1646457</v>
      </c>
      <c r="H11" s="25" t="n">
        <f aca="false">G11/C11</f>
        <v>0.777486262004366</v>
      </c>
      <c r="I11" s="26" t="n">
        <f aca="false">AVERAGEIFS(Cleaned_Futures_Data!$O$2:$O$756,Cleaned_Futures_Data!$V$2:$V$756,$A11,Cleaned_Futures_Data!$W$2:$W$756,1)</f>
        <v>90.1309523809524</v>
      </c>
      <c r="J11" s="27" t="n">
        <f aca="false">AVERAGEIFS(Cleaned_Futures_Data!$P$2:$P$756,Cleaned_Futures_Data!$V$2:$V$756,$A11,Cleaned_Futures_Data!$W$2:$W$756,1)</f>
        <v>0.00354178582474182</v>
      </c>
      <c r="K11" s="22" t="n">
        <f aca="false">AVERAGEIFS(Cleaned_Futures_Data!$L$2:$L$756,Cleaned_Futures_Data!$V$2:$V$756,$A11,Cleaned_Futures_Data!$W$2:$W$756,1)</f>
        <v>15979439.2857143</v>
      </c>
    </row>
    <row r="12" customFormat="false" ht="15" hidden="false" customHeight="true" outlineLevel="0" collapsed="false">
      <c r="A12" s="15" t="s">
        <v>158</v>
      </c>
      <c r="B12" s="29" t="n">
        <f aca="false">COUNTIFS(Cleaned_Futures_Data!$V$2:$V$756,$A12)</f>
        <v>57</v>
      </c>
      <c r="C12" s="22" t="n">
        <f aca="false">SUMIFS(Cleaned_Futures_Data!$J$2:$J$756,Cleaned_Futures_Data!$V$2:$V$756,$A12)</f>
        <v>1884889</v>
      </c>
      <c r="D12" s="22" t="n">
        <f aca="false">AVERAGEIFS(Cleaned_Futures_Data!$L$2:$L$756,Cleaned_Futures_Data!$V$2:$V$756,$A12)</f>
        <v>6375696.49122807</v>
      </c>
      <c r="E12" s="26" t="n">
        <f aca="false">AVERAGEIFS(Cleaned_Futures_Data!$O$2:$O$756,Cleaned_Futures_Data!$V$2:$V$756,$A12)</f>
        <v>261.532456140351</v>
      </c>
      <c r="F12" s="24" t="n">
        <f aca="false">SUMIFS(Cleaned_Futures_Data!$K$2:$K$756,Cleaned_Futures_Data!$V$2:$V$756,$A12)</f>
        <v>36648977.41</v>
      </c>
      <c r="G12" s="22" t="n">
        <f aca="false">SUMIFS(Cleaned_Futures_Data!$J$2:$J$756,Cleaned_Futures_Data!$V$2:$V$756,$A12,Cleaned_Futures_Data!$W$2:$W$756,1)</f>
        <v>1444775</v>
      </c>
      <c r="H12" s="25" t="n">
        <f aca="false">G12/C12</f>
        <v>0.766504022252769</v>
      </c>
      <c r="I12" s="26" t="n">
        <f aca="false">AVERAGEIFS(Cleaned_Futures_Data!$O$2:$O$756,Cleaned_Futures_Data!$V$2:$V$756,$A12,Cleaned_Futures_Data!$W$2:$W$756,1)</f>
        <v>86.3078947368422</v>
      </c>
      <c r="J12" s="27" t="n">
        <f aca="false">AVERAGEIFS(Cleaned_Futures_Data!$P$2:$P$756,Cleaned_Futures_Data!$V$2:$V$756,$A12,Cleaned_Futures_Data!$W$2:$W$756,1)</f>
        <v>0.00333417622565947</v>
      </c>
      <c r="K12" s="22" t="n">
        <f aca="false">AVERAGEIFS(Cleaned_Futures_Data!$L$2:$L$756,Cleaned_Futures_Data!$V$2:$V$756,$A12,Cleaned_Futures_Data!$W$2:$W$756,1)</f>
        <v>15692285.5263158</v>
      </c>
    </row>
    <row r="13" customFormat="false" ht="15" hidden="false" customHeight="true" outlineLevel="0" collapsed="false">
      <c r="A13" s="15" t="s">
        <v>159</v>
      </c>
      <c r="B13" s="29" t="n">
        <f aca="false">COUNTIFS(Cleaned_Futures_Data!$V$2:$V$756,$A13)</f>
        <v>66</v>
      </c>
      <c r="C13" s="22" t="n">
        <f aca="false">SUMIFS(Cleaned_Futures_Data!$J$2:$J$756,Cleaned_Futures_Data!$V$2:$V$756,$A13)</f>
        <v>1926824</v>
      </c>
      <c r="D13" s="22" t="n">
        <f aca="false">AVERAGEIFS(Cleaned_Futures_Data!$L$2:$L$756,Cleaned_Futures_Data!$V$2:$V$756,$A13)</f>
        <v>5789929.39393939</v>
      </c>
      <c r="E13" s="26" t="n">
        <f aca="false">AVERAGEIFS(Cleaned_Futures_Data!$O$2:$O$756,Cleaned_Futures_Data!$V$2:$V$756,$A13)</f>
        <v>250.176515151515</v>
      </c>
      <c r="F13" s="24" t="n">
        <f aca="false">SUMIFS(Cleaned_Futures_Data!$K$2:$K$756,Cleaned_Futures_Data!$V$2:$V$756,$A13)</f>
        <v>36369334.98</v>
      </c>
      <c r="G13" s="22" t="n">
        <f aca="false">SUMIFS(Cleaned_Futures_Data!$J$2:$J$756,Cleaned_Futures_Data!$V$2:$V$756,$A13,Cleaned_Futures_Data!$W$2:$W$756,1)</f>
        <v>1476951</v>
      </c>
      <c r="H13" s="25" t="n">
        <f aca="false">G13/C13</f>
        <v>0.766520969221891</v>
      </c>
      <c r="I13" s="26" t="n">
        <f aca="false">AVERAGEIFS(Cleaned_Futures_Data!$O$2:$O$756,Cleaned_Futures_Data!$V$2:$V$756,$A13,Cleaned_Futures_Data!$W$2:$W$756,1)</f>
        <v>90.1477272727278</v>
      </c>
      <c r="J13" s="27" t="n">
        <f aca="false">AVERAGEIFS(Cleaned_Futures_Data!$P$2:$P$756,Cleaned_Futures_Data!$V$2:$V$756,$A13,Cleaned_Futures_Data!$W$2:$W$756,1)</f>
        <v>0.00346686272024556</v>
      </c>
      <c r="K13" s="22" t="n">
        <f aca="false">AVERAGEIFS(Cleaned_Futures_Data!$L$2:$L$756,Cleaned_Futures_Data!$V$2:$V$756,$A13,Cleaned_Futures_Data!$W$2:$W$756,1)</f>
        <v>14247043.4090909</v>
      </c>
    </row>
    <row r="14" customFormat="false" ht="15" hidden="false" customHeight="true" outlineLevel="0" collapsed="false">
      <c r="A14" s="30" t="s">
        <v>160</v>
      </c>
      <c r="B14" s="31" t="n">
        <f aca="false">SUM(B2:B13)</f>
        <v>755</v>
      </c>
      <c r="C14" s="32" t="n">
        <f aca="false">SUM(C2:C13)</f>
        <v>29854788</v>
      </c>
      <c r="D14" s="30"/>
      <c r="E14" s="30"/>
      <c r="F14" s="33" t="n">
        <f aca="false">SUM(F2:F13)</f>
        <v>482998740.59</v>
      </c>
      <c r="G14" s="32" t="n">
        <f aca="false">SUM(G2:G13)</f>
        <v>23662694</v>
      </c>
      <c r="H14" s="34" t="n">
        <f aca="false">G14/C14</f>
        <v>0.79259293350199</v>
      </c>
      <c r="I14" s="30"/>
      <c r="J14" s="30"/>
      <c r="K14" s="30"/>
    </row>
    <row r="16" customFormat="false" ht="31.5" hidden="false" customHeight="true" outlineLevel="0" collapsed="false">
      <c r="A16" s="28" t="s">
        <v>161</v>
      </c>
      <c r="B16" s="28"/>
      <c r="C16" s="28"/>
      <c r="D16" s="28"/>
      <c r="E16" s="28"/>
      <c r="F16" s="28"/>
      <c r="G16" s="28"/>
      <c r="H16" s="28"/>
      <c r="I16" s="28"/>
      <c r="J16" s="28"/>
      <c r="K16" s="28"/>
    </row>
  </sheetData>
  <mergeCells count="1">
    <mergeCell ref="A16:K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1"/>
    <col collapsed="false" customWidth="true" hidden="false" outlineLevel="0" max="2" min="2" style="1" width="14"/>
    <col collapsed="false" customWidth="true" hidden="false" outlineLevel="0" max="5" min="3" style="1" width="20"/>
    <col collapsed="false" customWidth="true" hidden="false" outlineLevel="0" max="6" min="6" style="1" width="23"/>
    <col collapsed="false" customWidth="true" hidden="false" outlineLevel="0" max="7" min="7" style="1" width="17"/>
    <col collapsed="false" customWidth="true" hidden="false" outlineLevel="0" max="8" min="8" style="1" width="20"/>
    <col collapsed="false" customWidth="true" hidden="false" outlineLevel="0" max="10" min="9" style="1" width="12"/>
    <col collapsed="false" customWidth="true" hidden="false" outlineLevel="0" max="11" min="11" style="1" width="34"/>
  </cols>
  <sheetData>
    <row r="1" customFormat="false" ht="31.5" hidden="false" customHeight="true" outlineLevel="0" collapsed="false">
      <c r="A1" s="20" t="s">
        <v>162</v>
      </c>
      <c r="B1" s="20" t="s">
        <v>138</v>
      </c>
      <c r="C1" s="20" t="s">
        <v>163</v>
      </c>
      <c r="D1" s="20" t="s">
        <v>164</v>
      </c>
      <c r="E1" s="20" t="s">
        <v>141</v>
      </c>
      <c r="F1" s="20" t="s">
        <v>165</v>
      </c>
      <c r="G1" s="20" t="s">
        <v>139</v>
      </c>
      <c r="H1" s="20" t="s">
        <v>140</v>
      </c>
      <c r="I1" s="20" t="s">
        <v>166</v>
      </c>
      <c r="J1" s="20" t="s">
        <v>167</v>
      </c>
      <c r="K1" s="5" t="s">
        <v>168</v>
      </c>
    </row>
    <row r="2" customFormat="false" ht="15" hidden="false" customHeight="true" outlineLevel="0" collapsed="false">
      <c r="A2" s="21" t="n">
        <v>45687</v>
      </c>
      <c r="B2" s="29" t="n">
        <f aca="false">COUNTIFS(Cleaned_Futures_Data!$C$2:$C$756,$A2)</f>
        <v>22</v>
      </c>
      <c r="C2" s="24" t="n">
        <f aca="false">AVERAGEIFS(Cleaned_Futures_Data!$G$2:$G$756,Cleaned_Futures_Data!$C$2:$C$756,$A2)</f>
        <v>23425.0477272727</v>
      </c>
      <c r="D2" s="24" t="n">
        <f aca="false">AVERAGEIFS(Cleaned_Futures_Data!$N$2:$N$756,Cleaned_Futures_Data!$C$2:$C$756,$A2)</f>
        <v>23359.9409090909</v>
      </c>
      <c r="E2" s="26" t="n">
        <f aca="false">AVERAGEIFS(Cleaned_Futures_Data!$O$2:$O$756,Cleaned_Futures_Data!$C$2:$C$756,$A2)</f>
        <v>65.1068181818181</v>
      </c>
      <c r="F2" s="27" t="n">
        <f aca="false">AVERAGEIFS(Cleaned_Futures_Data!$P$2:$P$756,Cleaned_Futures_Data!$C$2:$C$756,$A2)</f>
        <v>0.00277249860825559</v>
      </c>
      <c r="G2" s="22" t="n">
        <f aca="false">SUMIFS(Cleaned_Futures_Data!$J$2:$J$756,Cleaned_Futures_Data!$C$2:$C$756,$A2)</f>
        <v>5351511</v>
      </c>
      <c r="H2" s="22" t="n">
        <f aca="false">AVERAGEIFS(Cleaned_Futures_Data!$L$2:$L$756,Cleaned_Futures_Data!$C$2:$C$756,$A2)</f>
        <v>12422145.4545455</v>
      </c>
      <c r="I2" s="22" t="n">
        <f aca="false">_xlfn.MAXIFS(Cleaned_Futures_Data!$L$2:$L$756,Cleaned_Futures_Data!$C$2:$C$756,$A2)</f>
        <v>14572600</v>
      </c>
      <c r="J2" s="22" t="n">
        <f aca="false">_xlfn.MINIFS(Cleaned_Futures_Data!$L$2:$L$756,Cleaned_Futures_Data!$C$2:$C$756,$A2)</f>
        <v>4310725</v>
      </c>
      <c r="K2" s="15" t="str">
        <f aca="false">IF($A2&gt;Summary!$B$3,"Partial – expiry after data end",IF(_xlfn.MINIFS(Cleaned_Futures_Data!$B$2:$B$756,Cleaned_Futures_Data!$C$2:$C$756,$A2)&lt;=Summary!$B$2,"Partial – listed before data start","Full life in data"))</f>
        <v>Partial – listed before data start</v>
      </c>
    </row>
    <row r="3" customFormat="false" ht="15" hidden="false" customHeight="true" outlineLevel="0" collapsed="false">
      <c r="A3" s="21" t="n">
        <v>45715</v>
      </c>
      <c r="B3" s="29" t="n">
        <f aca="false">COUNTIFS(Cleaned_Futures_Data!$C$2:$C$756,$A3)</f>
        <v>42</v>
      </c>
      <c r="C3" s="24" t="n">
        <f aca="false">AVERAGEIFS(Cleaned_Futures_Data!$G$2:$G$756,Cleaned_Futures_Data!$C$2:$C$756,$A3)</f>
        <v>23384.2666666667</v>
      </c>
      <c r="D3" s="24" t="n">
        <f aca="false">AVERAGEIFS(Cleaned_Futures_Data!$N$2:$N$756,Cleaned_Futures_Data!$C$2:$C$756,$A3)</f>
        <v>23238.5829268293</v>
      </c>
      <c r="E3" s="26" t="n">
        <f aca="false">AVERAGEIFS(Cleaned_Futures_Data!$O$2:$O$756,Cleaned_Futures_Data!$C$2:$C$756,$A3)</f>
        <v>135.9</v>
      </c>
      <c r="F3" s="27" t="n">
        <f aca="false">AVERAGEIFS(Cleaned_Futures_Data!$P$2:$P$756,Cleaned_Futures_Data!$C$2:$C$756,$A3)</f>
        <v>0.00581776849464117</v>
      </c>
      <c r="G3" s="22" t="n">
        <f aca="false">SUMIFS(Cleaned_Futures_Data!$J$2:$J$756,Cleaned_Futures_Data!$C$2:$C$756,$A3)</f>
        <v>2338965</v>
      </c>
      <c r="H3" s="22" t="n">
        <f aca="false">AVERAGEIFS(Cleaned_Futures_Data!$L$2:$L$756,Cleaned_Futures_Data!$C$2:$C$756,$A3)</f>
        <v>9753196.42857143</v>
      </c>
      <c r="I3" s="22" t="n">
        <f aca="false">_xlfn.MAXIFS(Cleaned_Futures_Data!$L$2:$L$756,Cleaned_Futures_Data!$C$2:$C$756,$A3)</f>
        <v>17774775</v>
      </c>
      <c r="J3" s="22" t="n">
        <f aca="false">_xlfn.MINIFS(Cleaned_Futures_Data!$L$2:$L$756,Cleaned_Futures_Data!$C$2:$C$756,$A3)</f>
        <v>1045725</v>
      </c>
      <c r="K3" s="15" t="str">
        <f aca="false">IF($A3&gt;Summary!$B$3,"Partial – expiry after data end",IF(_xlfn.MINIFS(Cleaned_Futures_Data!$B$2:$B$756,Cleaned_Futures_Data!$C$2:$C$756,$A3)&lt;=Summary!$B$2,"Partial – listed before data start","Full life in data"))</f>
        <v>Partial – listed before data start</v>
      </c>
    </row>
    <row r="4" customFormat="false" ht="15" hidden="false" customHeight="true" outlineLevel="0" collapsed="false">
      <c r="A4" s="21" t="n">
        <v>45743</v>
      </c>
      <c r="B4" s="29" t="n">
        <f aca="false">COUNTIFS(Cleaned_Futures_Data!$C$2:$C$756,$A4)</f>
        <v>61</v>
      </c>
      <c r="C4" s="24" t="n">
        <f aca="false">AVERAGEIFS(Cleaned_Futures_Data!$G$2:$G$756,Cleaned_Futures_Data!$C$2:$C$756,$A4)</f>
        <v>23316.9270491803</v>
      </c>
      <c r="D4" s="24" t="n">
        <f aca="false">AVERAGEIFS(Cleaned_Futures_Data!$N$2:$N$756,Cleaned_Futures_Data!$C$2:$C$756,$A4)</f>
        <v>23092.7741666667</v>
      </c>
      <c r="E4" s="26" t="n">
        <f aca="false">AVERAGEIFS(Cleaned_Futures_Data!$O$2:$O$756,Cleaned_Futures_Data!$C$2:$C$756,$A4)</f>
        <v>214.044166666666</v>
      </c>
      <c r="F4" s="27" t="n">
        <f aca="false">AVERAGEIFS(Cleaned_Futures_Data!$P$2:$P$756,Cleaned_Futures_Data!$C$2:$C$756,$A4)</f>
        <v>0.00921825117446715</v>
      </c>
      <c r="G4" s="22" t="n">
        <f aca="false">SUMIFS(Cleaned_Futures_Data!$J$2:$J$756,Cleaned_Futures_Data!$C$2:$C$756,$A4)</f>
        <v>2101614</v>
      </c>
      <c r="H4" s="22" t="n">
        <f aca="false">AVERAGEIFS(Cleaned_Futures_Data!$L$2:$L$756,Cleaned_Futures_Data!$C$2:$C$756,$A4)</f>
        <v>6021644.26229508</v>
      </c>
      <c r="I4" s="22" t="n">
        <f aca="false">_xlfn.MAXIFS(Cleaned_Futures_Data!$L$2:$L$756,Cleaned_Futures_Data!$C$2:$C$756,$A4)</f>
        <v>18198750</v>
      </c>
      <c r="J4" s="22" t="n">
        <f aca="false">_xlfn.MINIFS(Cleaned_Futures_Data!$L$2:$L$756,Cleaned_Futures_Data!$C$2:$C$756,$A4)</f>
        <v>126525</v>
      </c>
      <c r="K4" s="15" t="str">
        <f aca="false">IF($A4&gt;Summary!$B$3,"Partial – expiry after data end",IF(_xlfn.MINIFS(Cleaned_Futures_Data!$B$2:$B$756,Cleaned_Futures_Data!$C$2:$C$756,$A4)&lt;=Summary!$B$2,"Partial – listed before data start","Full life in data"))</f>
        <v>Partial – listed before data start</v>
      </c>
    </row>
    <row r="5" customFormat="false" ht="15" hidden="false" customHeight="true" outlineLevel="0" collapsed="false">
      <c r="A5" s="21" t="n">
        <v>45771</v>
      </c>
      <c r="B5" s="29" t="n">
        <f aca="false">COUNTIFS(Cleaned_Futures_Data!$C$2:$C$756,$A5)</f>
        <v>56</v>
      </c>
      <c r="C5" s="24" t="n">
        <f aca="false">AVERAGEIFS(Cleaned_Futures_Data!$G$2:$G$756,Cleaned_Futures_Data!$C$2:$C$756,$A5)</f>
        <v>23287.5363636364</v>
      </c>
      <c r="D5" s="24" t="n">
        <f aca="false">AVERAGEIFS(Cleaned_Futures_Data!$N$2:$N$756,Cleaned_Futures_Data!$C$2:$C$756,$A5)</f>
        <v>23078.7039215686</v>
      </c>
      <c r="E5" s="26" t="n">
        <f aca="false">AVERAGEIFS(Cleaned_Futures_Data!$O$2:$O$756,Cleaned_Futures_Data!$C$2:$C$756,$A5)</f>
        <v>219.694117647059</v>
      </c>
      <c r="F5" s="27" t="n">
        <f aca="false">AVERAGEIFS(Cleaned_Futures_Data!$P$2:$P$756,Cleaned_Futures_Data!$C$2:$C$756,$A5)</f>
        <v>0.00957087577366558</v>
      </c>
      <c r="G5" s="22" t="n">
        <f aca="false">SUMIFS(Cleaned_Futures_Data!$J$2:$J$756,Cleaned_Futures_Data!$C$2:$C$756,$A5)</f>
        <v>2204839</v>
      </c>
      <c r="H5" s="22" t="n">
        <f aca="false">AVERAGEIFS(Cleaned_Futures_Data!$L$2:$L$756,Cleaned_Futures_Data!$C$2:$C$756,$A5)</f>
        <v>4529143.63636364</v>
      </c>
      <c r="I5" s="22" t="n">
        <f aca="false">_xlfn.MAXIFS(Cleaned_Futures_Data!$L$2:$L$756,Cleaned_Futures_Data!$C$2:$C$756,$A5)</f>
        <v>13875975</v>
      </c>
      <c r="J5" s="22" t="n">
        <f aca="false">_xlfn.MINIFS(Cleaned_Futures_Data!$L$2:$L$756,Cleaned_Futures_Data!$C$2:$C$756,$A5)</f>
        <v>49125</v>
      </c>
      <c r="K5" s="15" t="str">
        <f aca="false">IF($A5&gt;Summary!$B$3,"Partial – expiry after data end",IF(_xlfn.MINIFS(Cleaned_Futures_Data!$B$2:$B$756,Cleaned_Futures_Data!$C$2:$C$756,$A5)&lt;=Summary!$B$2,"Partial – listed before data start","Full life in data"))</f>
        <v>Full life in data</v>
      </c>
    </row>
    <row r="6" customFormat="false" ht="15" hidden="false" customHeight="true" outlineLevel="0" collapsed="false">
      <c r="A6" s="21" t="n">
        <v>45806</v>
      </c>
      <c r="B6" s="29" t="n">
        <f aca="false">COUNTIFS(Cleaned_Futures_Data!$C$2:$C$756,$A6)</f>
        <v>60</v>
      </c>
      <c r="C6" s="24" t="n">
        <f aca="false">AVERAGEIFS(Cleaned_Futures_Data!$G$2:$G$756,Cleaned_Futures_Data!$C$2:$C$756,$A6)</f>
        <v>23850.9940677966</v>
      </c>
      <c r="D6" s="24" t="n">
        <f aca="false">AVERAGEIFS(Cleaned_Futures_Data!$N$2:$N$756,Cleaned_Futures_Data!$C$2:$C$756,$A6)</f>
        <v>23725.7723214286</v>
      </c>
      <c r="E6" s="26" t="n">
        <f aca="false">AVERAGEIFS(Cleaned_Futures_Data!$O$2:$O$756,Cleaned_Futures_Data!$C$2:$C$756,$A6)</f>
        <v>172.984821428572</v>
      </c>
      <c r="F6" s="27" t="n">
        <f aca="false">AVERAGEIFS(Cleaned_Futures_Data!$P$2:$P$756,Cleaned_Futures_Data!$C$2:$C$756,$A6)</f>
        <v>0.00749163046331638</v>
      </c>
      <c r="G6" s="22" t="n">
        <f aca="false">SUMIFS(Cleaned_Futures_Data!$J$2:$J$756,Cleaned_Futures_Data!$C$2:$C$756,$A6)</f>
        <v>3092764</v>
      </c>
      <c r="H6" s="22" t="n">
        <f aca="false">AVERAGEIFS(Cleaned_Futures_Data!$L$2:$L$756,Cleaned_Futures_Data!$C$2:$C$756,$A6)</f>
        <v>5760575.84745763</v>
      </c>
      <c r="I6" s="22" t="n">
        <f aca="false">_xlfn.MAXIFS(Cleaned_Futures_Data!$L$2:$L$756,Cleaned_Futures_Data!$C$2:$C$756,$A6)</f>
        <v>13527900</v>
      </c>
      <c r="J6" s="22" t="n">
        <f aca="false">_xlfn.MINIFS(Cleaned_Futures_Data!$L$2:$L$756,Cleaned_Futures_Data!$C$2:$C$756,$A6)</f>
        <v>94950</v>
      </c>
      <c r="K6" s="15" t="str">
        <f aca="false">IF($A6&gt;Summary!$B$3,"Partial – expiry after data end",IF(_xlfn.MINIFS(Cleaned_Futures_Data!$B$2:$B$756,Cleaned_Futures_Data!$C$2:$C$756,$A6)&lt;=Summary!$B$2,"Partial – listed before data start","Full life in data"))</f>
        <v>Full life in data</v>
      </c>
    </row>
    <row r="7" customFormat="false" ht="15" hidden="false" customHeight="true" outlineLevel="0" collapsed="false">
      <c r="A7" s="21" t="n">
        <v>45834</v>
      </c>
      <c r="B7" s="29" t="n">
        <f aca="false">COUNTIFS(Cleaned_Futures_Data!$C$2:$C$756,$A7)</f>
        <v>61</v>
      </c>
      <c r="C7" s="24" t="n">
        <f aca="false">AVERAGEIFS(Cleaned_Futures_Data!$G$2:$G$756,Cleaned_Futures_Data!$C$2:$C$756,$A7)</f>
        <v>24534.79</v>
      </c>
      <c r="D7" s="24" t="n">
        <f aca="false">AVERAGEIFS(Cleaned_Futures_Data!$N$2:$N$756,Cleaned_Futures_Data!$C$2:$C$756,$A7)</f>
        <v>24460.2714285714</v>
      </c>
      <c r="E7" s="26" t="n">
        <f aca="false">AVERAGEIFS(Cleaned_Futures_Data!$O$2:$O$756,Cleaned_Futures_Data!$C$2:$C$756,$A7)</f>
        <v>147.420535714286</v>
      </c>
      <c r="F7" s="27" t="n">
        <f aca="false">AVERAGEIFS(Cleaned_Futures_Data!$P$2:$P$756,Cleaned_Futures_Data!$C$2:$C$756,$A7)</f>
        <v>0.00611650686702011</v>
      </c>
      <c r="G7" s="22" t="n">
        <f aca="false">SUMIFS(Cleaned_Futures_Data!$J$2:$J$756,Cleaned_Futures_Data!$C$2:$C$756,$A7)</f>
        <v>2418474</v>
      </c>
      <c r="H7" s="22" t="n">
        <f aca="false">AVERAGEIFS(Cleaned_Futures_Data!$L$2:$L$756,Cleaned_Futures_Data!$C$2:$C$756,$A7)</f>
        <v>5657630</v>
      </c>
      <c r="I7" s="22" t="n">
        <f aca="false">_xlfn.MAXIFS(Cleaned_Futures_Data!$L$2:$L$756,Cleaned_Futures_Data!$C$2:$C$756,$A7)</f>
        <v>13020000</v>
      </c>
      <c r="J7" s="22" t="n">
        <f aca="false">_xlfn.MINIFS(Cleaned_Futures_Data!$L$2:$L$756,Cleaned_Futures_Data!$C$2:$C$756,$A7)</f>
        <v>172650</v>
      </c>
      <c r="K7" s="15" t="str">
        <f aca="false">IF($A7&gt;Summary!$B$3,"Partial – expiry after data end",IF(_xlfn.MINIFS(Cleaned_Futures_Data!$B$2:$B$756,Cleaned_Futures_Data!$C$2:$C$756,$A7)&lt;=Summary!$B$2,"Partial – listed before data start","Full life in data"))</f>
        <v>Full life in data</v>
      </c>
    </row>
    <row r="8" customFormat="false" ht="15" hidden="false" customHeight="true" outlineLevel="0" collapsed="false">
      <c r="A8" s="21" t="n">
        <v>45869</v>
      </c>
      <c r="B8" s="29" t="n">
        <f aca="false">COUNTIFS(Cleaned_Futures_Data!$C$2:$C$756,$A8)</f>
        <v>70</v>
      </c>
      <c r="C8" s="24" t="n">
        <f aca="false">AVERAGEIFS(Cleaned_Futures_Data!$G$2:$G$756,Cleaned_Futures_Data!$C$2:$C$756,$A8)</f>
        <v>25089.1753623188</v>
      </c>
      <c r="D8" s="24" t="n">
        <f aca="false">AVERAGEIFS(Cleaned_Futures_Data!$N$2:$N$756,Cleaned_Futures_Data!$C$2:$C$756,$A8)</f>
        <v>24917.0058823529</v>
      </c>
      <c r="E8" s="26" t="n">
        <f aca="false">AVERAGEIFS(Cleaned_Futures_Data!$O$2:$O$756,Cleaned_Futures_Data!$C$2:$C$756,$A8)</f>
        <v>173.442647058824</v>
      </c>
      <c r="F8" s="27" t="n">
        <f aca="false">AVERAGEIFS(Cleaned_Futures_Data!$P$2:$P$756,Cleaned_Futures_Data!$C$2:$C$756,$A8)</f>
        <v>0.00700445815564607</v>
      </c>
      <c r="G8" s="22" t="n">
        <f aca="false">SUMIFS(Cleaned_Futures_Data!$J$2:$J$756,Cleaned_Futures_Data!$C$2:$C$756,$A8)</f>
        <v>2223064</v>
      </c>
      <c r="H8" s="22" t="n">
        <f aca="false">AVERAGEIFS(Cleaned_Futures_Data!$L$2:$L$756,Cleaned_Futures_Data!$C$2:$C$756,$A8)</f>
        <v>6670808.69565217</v>
      </c>
      <c r="I8" s="22" t="n">
        <f aca="false">_xlfn.MAXIFS(Cleaned_Futures_Data!$L$2:$L$756,Cleaned_Futures_Data!$C$2:$C$756,$A8)</f>
        <v>14899275</v>
      </c>
      <c r="J8" s="22" t="n">
        <f aca="false">_xlfn.MINIFS(Cleaned_Futures_Data!$L$2:$L$756,Cleaned_Futures_Data!$C$2:$C$756,$A8)</f>
        <v>67500</v>
      </c>
      <c r="K8" s="15" t="str">
        <f aca="false">IF($A8&gt;Summary!$B$3,"Partial – expiry after data end",IF(_xlfn.MINIFS(Cleaned_Futures_Data!$B$2:$B$756,Cleaned_Futures_Data!$C$2:$C$756,$A8)&lt;=Summary!$B$2,"Partial – listed before data start","Full life in data"))</f>
        <v>Full life in data</v>
      </c>
    </row>
    <row r="9" customFormat="false" ht="15" hidden="false" customHeight="true" outlineLevel="0" collapsed="false">
      <c r="A9" s="21" t="n">
        <v>45897</v>
      </c>
      <c r="B9" s="29" t="n">
        <f aca="false">COUNTIFS(Cleaned_Futures_Data!$C$2:$C$756,$A9)</f>
        <v>64</v>
      </c>
      <c r="C9" s="24" t="n">
        <f aca="false">AVERAGEIFS(Cleaned_Futures_Data!$G$2:$G$756,Cleaned_Futures_Data!$C$2:$C$756,$A9)</f>
        <v>25145.5920634921</v>
      </c>
      <c r="D9" s="24" t="n">
        <f aca="false">AVERAGEIFS(Cleaned_Futures_Data!$N$2:$N$756,Cleaned_Futures_Data!$C$2:$C$756,$A9)</f>
        <v>24979.0475806452</v>
      </c>
      <c r="E9" s="26" t="n">
        <f aca="false">AVERAGEIFS(Cleaned_Futures_Data!$O$2:$O$756,Cleaned_Futures_Data!$C$2:$C$756,$A9)</f>
        <v>166.860483870968</v>
      </c>
      <c r="F9" s="27" t="n">
        <f aca="false">AVERAGEIFS(Cleaned_Futures_Data!$P$2:$P$756,Cleaned_Futures_Data!$C$2:$C$756,$A9)</f>
        <v>0.00666794973104199</v>
      </c>
      <c r="G9" s="22" t="n">
        <f aca="false">SUMIFS(Cleaned_Futures_Data!$J$2:$J$756,Cleaned_Futures_Data!$C$2:$C$756,$A9)</f>
        <v>1821835</v>
      </c>
      <c r="H9" s="22" t="n">
        <f aca="false">AVERAGEIFS(Cleaned_Futures_Data!$L$2:$L$756,Cleaned_Futures_Data!$C$2:$C$756,$A9)</f>
        <v>6433994.04761905</v>
      </c>
      <c r="I9" s="22" t="n">
        <f aca="false">_xlfn.MAXIFS(Cleaned_Futures_Data!$L$2:$L$756,Cleaned_Futures_Data!$C$2:$C$756,$A9)</f>
        <v>17244675</v>
      </c>
      <c r="J9" s="22" t="n">
        <f aca="false">_xlfn.MINIFS(Cleaned_Futures_Data!$L$2:$L$756,Cleaned_Futures_Data!$C$2:$C$756,$A9)</f>
        <v>34575</v>
      </c>
      <c r="K9" s="15" t="str">
        <f aca="false">IF($A9&gt;Summary!$B$3,"Partial – expiry after data end",IF(_xlfn.MINIFS(Cleaned_Futures_Data!$B$2:$B$756,Cleaned_Futures_Data!$C$2:$C$756,$A9)&lt;=Summary!$B$2,"Partial – listed before data start","Full life in data"))</f>
        <v>Full life in data</v>
      </c>
    </row>
    <row r="10" customFormat="false" ht="15" hidden="false" customHeight="true" outlineLevel="0" collapsed="false">
      <c r="A10" s="21" t="n">
        <v>45925</v>
      </c>
      <c r="B10" s="29" t="n">
        <f aca="false">COUNTIFS(Cleaned_Futures_Data!$C$2:$C$756,$A10)</f>
        <v>26</v>
      </c>
      <c r="C10" s="24" t="n">
        <f aca="false">AVERAGEIFS(Cleaned_Futures_Data!$G$2:$G$756,Cleaned_Futures_Data!$C$2:$C$756,$A10)</f>
        <v>25515.164</v>
      </c>
      <c r="D10" s="24" t="n">
        <f aca="false">AVERAGEIFS(Cleaned_Futures_Data!$N$2:$N$756,Cleaned_Futures_Data!$C$2:$C$756,$A10)</f>
        <v>25197.894</v>
      </c>
      <c r="E10" s="26" t="n">
        <f aca="false">AVERAGEIFS(Cleaned_Futures_Data!$O$2:$O$756,Cleaned_Futures_Data!$C$2:$C$756,$A10)</f>
        <v>317.27</v>
      </c>
      <c r="F10" s="27" t="n">
        <f aca="false">AVERAGEIFS(Cleaned_Futures_Data!$P$2:$P$756,Cleaned_Futures_Data!$C$2:$C$756,$A10)</f>
        <v>0.0125784529233868</v>
      </c>
      <c r="G10" s="22" t="n">
        <f aca="false">SUMIFS(Cleaned_Futures_Data!$J$2:$J$756,Cleaned_Futures_Data!$C$2:$C$756,$A10)</f>
        <v>49693</v>
      </c>
      <c r="H10" s="22" t="n">
        <f aca="false">AVERAGEIFS(Cleaned_Futures_Data!$L$2:$L$756,Cleaned_Futures_Data!$C$2:$C$756,$A10)</f>
        <v>414312</v>
      </c>
      <c r="I10" s="22" t="n">
        <f aca="false">_xlfn.MAXIFS(Cleaned_Futures_Data!$L$2:$L$756,Cleaned_Futures_Data!$C$2:$C$756,$A10)</f>
        <v>862425</v>
      </c>
      <c r="J10" s="22" t="n">
        <f aca="false">_xlfn.MINIFS(Cleaned_Futures_Data!$L$2:$L$756,Cleaned_Futures_Data!$C$2:$C$756,$A10)</f>
        <v>105225</v>
      </c>
      <c r="K10" s="15" t="str">
        <f aca="false">IF($A10&gt;Summary!$B$3,"Partial – expiry after data end",IF(_xlfn.MINIFS(Cleaned_Futures_Data!$B$2:$B$756,Cleaned_Futures_Data!$C$2:$C$756,$A10)&lt;=Summary!$B$2,"Partial – listed before data start","Full life in data"))</f>
        <v>Full life in data</v>
      </c>
    </row>
    <row r="11" customFormat="false" ht="15" hidden="false" customHeight="true" outlineLevel="0" collapsed="false">
      <c r="A11" s="21" t="n">
        <v>45930</v>
      </c>
      <c r="B11" s="29" t="n">
        <f aca="false">COUNTIFS(Cleaned_Futures_Data!$C$2:$C$756,$A11)</f>
        <v>42</v>
      </c>
      <c r="C11" s="24" t="n">
        <f aca="false">AVERAGEIFS(Cleaned_Futures_Data!$G$2:$G$756,Cleaned_Futures_Data!$C$2:$C$756,$A11)</f>
        <v>24961.4731707317</v>
      </c>
      <c r="D11" s="24" t="n">
        <f aca="false">AVERAGEIFS(Cleaned_Futures_Data!$N$2:$N$756,Cleaned_Futures_Data!$C$2:$C$756,$A11)</f>
        <v>24829.3365853659</v>
      </c>
      <c r="E11" s="26" t="n">
        <f aca="false">AVERAGEIFS(Cleaned_Futures_Data!$O$2:$O$756,Cleaned_Futures_Data!$C$2:$C$756,$A11)</f>
        <v>132.136585365854</v>
      </c>
      <c r="F11" s="27" t="n">
        <f aca="false">AVERAGEIFS(Cleaned_Futures_Data!$P$2:$P$756,Cleaned_Futures_Data!$C$2:$C$756,$A11)</f>
        <v>0.00533220581418078</v>
      </c>
      <c r="G11" s="22" t="n">
        <f aca="false">SUMIFS(Cleaned_Futures_Data!$J$2:$J$756,Cleaned_Futures_Data!$C$2:$C$756,$A11)</f>
        <v>1804864</v>
      </c>
      <c r="H11" s="22" t="n">
        <f aca="false">AVERAGEIFS(Cleaned_Futures_Data!$L$2:$L$756,Cleaned_Futures_Data!$C$2:$C$756,$A11)</f>
        <v>9609387.80487805</v>
      </c>
      <c r="I11" s="22" t="n">
        <f aca="false">_xlfn.MAXIFS(Cleaned_Futures_Data!$L$2:$L$756,Cleaned_Futures_Data!$C$2:$C$756,$A11)</f>
        <v>17231025</v>
      </c>
      <c r="J11" s="22" t="n">
        <f aca="false">_xlfn.MINIFS(Cleaned_Futures_Data!$L$2:$L$756,Cleaned_Futures_Data!$C$2:$C$756,$A11)</f>
        <v>905475</v>
      </c>
      <c r="K11" s="15" t="str">
        <f aca="false">IF($A11&gt;Summary!$B$3,"Partial – expiry after data end",IF(_xlfn.MINIFS(Cleaned_Futures_Data!$B$2:$B$756,Cleaned_Futures_Data!$C$2:$C$756,$A11)&lt;=Summary!$B$2,"Partial – listed before data start","Full life in data"))</f>
        <v>Full life in data</v>
      </c>
    </row>
    <row r="12" customFormat="false" ht="15" hidden="false" customHeight="true" outlineLevel="0" collapsed="false">
      <c r="A12" s="21" t="n">
        <v>45958</v>
      </c>
      <c r="B12" s="29" t="n">
        <f aca="false">COUNTIFS(Cleaned_Futures_Data!$C$2:$C$756,$A12)</f>
        <v>60</v>
      </c>
      <c r="C12" s="24" t="n">
        <f aca="false">AVERAGEIFS(Cleaned_Futures_Data!$G$2:$G$756,Cleaned_Futures_Data!$C$2:$C$756,$A12)</f>
        <v>25211.0610169492</v>
      </c>
      <c r="D12" s="24" t="n">
        <f aca="false">AVERAGEIFS(Cleaned_Futures_Data!$N$2:$N$756,Cleaned_Futures_Data!$C$2:$C$756,$A12)</f>
        <v>25012.2830508475</v>
      </c>
      <c r="E12" s="26" t="n">
        <f aca="false">AVERAGEIFS(Cleaned_Futures_Data!$O$2:$O$756,Cleaned_Futures_Data!$C$2:$C$756,$A12)</f>
        <v>198.777966101695</v>
      </c>
      <c r="F12" s="27" t="n">
        <f aca="false">AVERAGEIFS(Cleaned_Futures_Data!$P$2:$P$756,Cleaned_Futures_Data!$C$2:$C$756,$A12)</f>
        <v>0.00799634919456954</v>
      </c>
      <c r="G12" s="22" t="n">
        <f aca="false">SUMIFS(Cleaned_Futures_Data!$J$2:$J$756,Cleaned_Futures_Data!$C$2:$C$756,$A12)</f>
        <v>1860756</v>
      </c>
      <c r="H12" s="22" t="n">
        <f aca="false">AVERAGEIFS(Cleaned_Futures_Data!$L$2:$L$756,Cleaned_Futures_Data!$C$2:$C$756,$A12)</f>
        <v>6308780.08474576</v>
      </c>
      <c r="I12" s="22" t="n">
        <f aca="false">_xlfn.MAXIFS(Cleaned_Futures_Data!$L$2:$L$756,Cleaned_Futures_Data!$C$2:$C$756,$A12)</f>
        <v>18296400</v>
      </c>
      <c r="J12" s="22" t="n">
        <f aca="false">_xlfn.MINIFS(Cleaned_Futures_Data!$L$2:$L$756,Cleaned_Futures_Data!$C$2:$C$756,$A12)</f>
        <v>61125</v>
      </c>
      <c r="K12" s="15" t="str">
        <f aca="false">IF($A12&gt;Summary!$B$3,"Partial – expiry after data end",IF(_xlfn.MINIFS(Cleaned_Futures_Data!$B$2:$B$756,Cleaned_Futures_Data!$C$2:$C$756,$A12)&lt;=Summary!$B$2,"Partial – listed before data start","Full life in data"))</f>
        <v>Full life in data</v>
      </c>
    </row>
    <row r="13" customFormat="false" ht="15" hidden="false" customHeight="true" outlineLevel="0" collapsed="false">
      <c r="A13" s="21" t="n">
        <v>45986</v>
      </c>
      <c r="B13" s="29" t="n">
        <f aca="false">COUNTIFS(Cleaned_Futures_Data!$C$2:$C$756,$A13)</f>
        <v>60</v>
      </c>
      <c r="C13" s="24" t="n">
        <f aca="false">AVERAGEIFS(Cleaned_Futures_Data!$G$2:$G$756,Cleaned_Futures_Data!$C$2:$C$756,$A13)</f>
        <v>25583.1433333333</v>
      </c>
      <c r="D13" s="24" t="n">
        <f aca="false">AVERAGEIFS(Cleaned_Futures_Data!$N$2:$N$756,Cleaned_Futures_Data!$C$2:$C$756,$A13)</f>
        <v>25365.325</v>
      </c>
      <c r="E13" s="26" t="n">
        <f aca="false">AVERAGEIFS(Cleaned_Futures_Data!$O$2:$O$756,Cleaned_Futures_Data!$C$2:$C$756,$A13)</f>
        <v>217.818333333333</v>
      </c>
      <c r="F13" s="27" t="n">
        <f aca="false">AVERAGEIFS(Cleaned_Futures_Data!$P$2:$P$756,Cleaned_Futures_Data!$C$2:$C$756,$A13)</f>
        <v>0.00865933381184247</v>
      </c>
      <c r="G13" s="22" t="n">
        <f aca="false">SUMIFS(Cleaned_Futures_Data!$J$2:$J$756,Cleaned_Futures_Data!$C$2:$C$756,$A13)</f>
        <v>1945073</v>
      </c>
      <c r="H13" s="22" t="n">
        <f aca="false">AVERAGEIFS(Cleaned_Futures_Data!$L$2:$L$756,Cleaned_Futures_Data!$C$2:$C$756,$A13)</f>
        <v>6172328.75</v>
      </c>
      <c r="I13" s="22" t="n">
        <f aca="false">_xlfn.MAXIFS(Cleaned_Futures_Data!$L$2:$L$756,Cleaned_Futures_Data!$C$2:$C$756,$A13)</f>
        <v>18547500</v>
      </c>
      <c r="J13" s="22" t="n">
        <f aca="false">_xlfn.MINIFS(Cleaned_Futures_Data!$L$2:$L$756,Cleaned_Futures_Data!$C$2:$C$756,$A13)</f>
        <v>47325</v>
      </c>
      <c r="K13" s="15" t="str">
        <f aca="false">IF($A13&gt;Summary!$B$3,"Partial – expiry after data end",IF(_xlfn.MINIFS(Cleaned_Futures_Data!$B$2:$B$756,Cleaned_Futures_Data!$C$2:$C$756,$A13)&lt;=Summary!$B$2,"Partial – listed before data start","Full life in data"))</f>
        <v>Full life in data</v>
      </c>
    </row>
    <row r="14" customFormat="false" ht="15" hidden="false" customHeight="true" outlineLevel="0" collapsed="false">
      <c r="A14" s="21" t="n">
        <v>46021</v>
      </c>
      <c r="B14" s="29" t="n">
        <f aca="false">COUNTIFS(Cleaned_Futures_Data!$C$2:$C$756,$A14)</f>
        <v>61</v>
      </c>
      <c r="C14" s="24" t="n">
        <f aca="false">AVERAGEIFS(Cleaned_Futures_Data!$G$2:$G$756,Cleaned_Futures_Data!$C$2:$C$756,$A14)</f>
        <v>26022.4803278689</v>
      </c>
      <c r="D14" s="24" t="n">
        <f aca="false">AVERAGEIFS(Cleaned_Futures_Data!$N$2:$N$756,Cleaned_Futures_Data!$C$2:$C$756,$A14)</f>
        <v>25790.1352459016</v>
      </c>
      <c r="E14" s="26" t="n">
        <f aca="false">AVERAGEIFS(Cleaned_Futures_Data!$O$2:$O$756,Cleaned_Futures_Data!$C$2:$C$756,$A14)</f>
        <v>232.345081967213</v>
      </c>
      <c r="F14" s="27" t="n">
        <f aca="false">AVERAGEIFS(Cleaned_Futures_Data!$P$2:$P$756,Cleaned_Futures_Data!$C$2:$C$756,$A14)</f>
        <v>0.00905524864808545</v>
      </c>
      <c r="G14" s="22" t="n">
        <f aca="false">SUMIFS(Cleaned_Futures_Data!$J$2:$J$756,Cleaned_Futures_Data!$C$2:$C$756,$A14)</f>
        <v>2055193</v>
      </c>
      <c r="H14" s="22" t="n">
        <f aca="false">AVERAGEIFS(Cleaned_Futures_Data!$L$2:$L$756,Cleaned_Futures_Data!$C$2:$C$756,$A14)</f>
        <v>6695524.18032787</v>
      </c>
      <c r="I14" s="22" t="n">
        <f aca="false">_xlfn.MAXIFS(Cleaned_Futures_Data!$L$2:$L$756,Cleaned_Futures_Data!$C$2:$C$756,$A14)</f>
        <v>16857150</v>
      </c>
      <c r="J14" s="22" t="n">
        <f aca="false">_xlfn.MINIFS(Cleaned_Futures_Data!$L$2:$L$756,Cleaned_Futures_Data!$C$2:$C$756,$A14)</f>
        <v>133800</v>
      </c>
      <c r="K14" s="15" t="str">
        <f aca="false">IF($A14&gt;Summary!$B$3,"Partial – expiry after data end",IF(_xlfn.MINIFS(Cleaned_Futures_Data!$B$2:$B$756,Cleaned_Futures_Data!$C$2:$C$756,$A14)&lt;=Summary!$B$2,"Partial – listed before data start","Full life in data"))</f>
        <v>Full life in data</v>
      </c>
    </row>
    <row r="15" customFormat="false" ht="15" hidden="false" customHeight="true" outlineLevel="0" collapsed="false">
      <c r="A15" s="21" t="n">
        <v>46049</v>
      </c>
      <c r="B15" s="29" t="n">
        <f aca="false">COUNTIFS(Cleaned_Futures_Data!$C$2:$C$756,$A15)</f>
        <v>44</v>
      </c>
      <c r="C15" s="24" t="n">
        <f aca="false">AVERAGEIFS(Cleaned_Futures_Data!$G$2:$G$756,Cleaned_Futures_Data!$C$2:$C$756,$A15)</f>
        <v>26283.8159090909</v>
      </c>
      <c r="D15" s="24" t="n">
        <f aca="false">AVERAGEIFS(Cleaned_Futures_Data!$N$2:$N$756,Cleaned_Futures_Data!$C$2:$C$756,$A15)</f>
        <v>25945.5897727273</v>
      </c>
      <c r="E15" s="26" t="n">
        <f aca="false">AVERAGEIFS(Cleaned_Futures_Data!$O$2:$O$756,Cleaned_Futures_Data!$C$2:$C$756,$A15)</f>
        <v>338.226136363636</v>
      </c>
      <c r="F15" s="27" t="n">
        <f aca="false">AVERAGEIFS(Cleaned_Futures_Data!$P$2:$P$756,Cleaned_Futures_Data!$C$2:$C$756,$A15)</f>
        <v>0.0130513573222873</v>
      </c>
      <c r="G15" s="22" t="n">
        <f aca="false">SUMIFS(Cleaned_Futures_Data!$J$2:$J$756,Cleaned_Futures_Data!$C$2:$C$756,$A15)</f>
        <v>527533</v>
      </c>
      <c r="H15" s="22" t="n">
        <f aca="false">AVERAGEIFS(Cleaned_Futures_Data!$L$2:$L$756,Cleaned_Futures_Data!$C$2:$C$756,$A15)</f>
        <v>1784824.65909091</v>
      </c>
      <c r="I15" s="22" t="n">
        <f aca="false">_xlfn.MAXIFS(Cleaned_Futures_Data!$L$2:$L$756,Cleaned_Futures_Data!$C$2:$C$756,$A15)</f>
        <v>14026480</v>
      </c>
      <c r="J15" s="22" t="n">
        <f aca="false">_xlfn.MINIFS(Cleaned_Futures_Data!$L$2:$L$756,Cleaned_Futures_Data!$C$2:$C$756,$A15)</f>
        <v>46735</v>
      </c>
      <c r="K15" s="15" t="str">
        <f aca="false">IF($A15&gt;Summary!$B$3,"Partial – expiry after data end",IF(_xlfn.MINIFS(Cleaned_Futures_Data!$B$2:$B$756,Cleaned_Futures_Data!$C$2:$C$756,$A15)&lt;=Summary!$B$2,"Partial – listed before data start","Full life in data"))</f>
        <v>Partial – expiry after data end</v>
      </c>
    </row>
    <row r="16" customFormat="false" ht="15" hidden="false" customHeight="true" outlineLevel="0" collapsed="false">
      <c r="A16" s="21" t="n">
        <v>46077</v>
      </c>
      <c r="B16" s="29" t="n">
        <f aca="false">COUNTIFS(Cleaned_Futures_Data!$C$2:$C$756,$A16)</f>
        <v>25</v>
      </c>
      <c r="C16" s="24" t="n">
        <f aca="false">AVERAGEIFS(Cleaned_Futures_Data!$G$2:$G$756,Cleaned_Futures_Data!$C$2:$C$756,$A16)</f>
        <v>26427.796</v>
      </c>
      <c r="D16" s="24" t="n">
        <f aca="false">AVERAGEIFS(Cleaned_Futures_Data!$N$2:$N$756,Cleaned_Futures_Data!$C$2:$C$756,$A16)</f>
        <v>26022.962</v>
      </c>
      <c r="E16" s="26" t="n">
        <f aca="false">AVERAGEIFS(Cleaned_Futures_Data!$O$2:$O$756,Cleaned_Futures_Data!$C$2:$C$756,$A16)</f>
        <v>404.834</v>
      </c>
      <c r="F16" s="27" t="n">
        <f aca="false">AVERAGEIFS(Cleaned_Futures_Data!$P$2:$P$756,Cleaned_Futures_Data!$C$2:$C$756,$A16)</f>
        <v>0.015555030009372</v>
      </c>
      <c r="G16" s="22" t="n">
        <f aca="false">SUMIFS(Cleaned_Futures_Data!$J$2:$J$756,Cleaned_Futures_Data!$C$2:$C$756,$A16)</f>
        <v>56057</v>
      </c>
      <c r="H16" s="22" t="n">
        <f aca="false">AVERAGEIFS(Cleaned_Futures_Data!$L$2:$L$756,Cleaned_Futures_Data!$C$2:$C$756,$A16)</f>
        <v>507793</v>
      </c>
      <c r="I16" s="22" t="n">
        <f aca="false">_xlfn.MAXIFS(Cleaned_Futures_Data!$L$2:$L$756,Cleaned_Futures_Data!$C$2:$C$756,$A16)</f>
        <v>1195610</v>
      </c>
      <c r="J16" s="22" t="n">
        <f aca="false">_xlfn.MINIFS(Cleaned_Futures_Data!$L$2:$L$756,Cleaned_Futures_Data!$C$2:$C$756,$A16)</f>
        <v>57265</v>
      </c>
      <c r="K16" s="15" t="str">
        <f aca="false">IF($A16&gt;Summary!$B$3,"Partial – expiry after data end",IF(_xlfn.MINIFS(Cleaned_Futures_Data!$B$2:$B$756,Cleaned_Futures_Data!$C$2:$C$756,$A16)&lt;=Summary!$B$2,"Partial – listed before data start","Full life in data"))</f>
        <v>Partial – expiry after data end</v>
      </c>
    </row>
    <row r="17" customFormat="false" ht="15" hidden="false" customHeight="true" outlineLevel="0" collapsed="false">
      <c r="A17" s="21" t="n">
        <v>46111</v>
      </c>
      <c r="B17" s="29" t="n">
        <f aca="false">COUNTIFS(Cleaned_Futures_Data!$C$2:$C$756,$A17)</f>
        <v>1</v>
      </c>
      <c r="C17" s="24" t="n">
        <f aca="false">AVERAGEIFS(Cleaned_Futures_Data!$G$2:$G$756,Cleaned_Futures_Data!$C$2:$C$756,$A17)</f>
        <v>26617.1</v>
      </c>
      <c r="D17" s="24" t="n">
        <f aca="false">AVERAGEIFS(Cleaned_Futures_Data!$N$2:$N$756,Cleaned_Futures_Data!$C$2:$C$756,$A17)</f>
        <v>26129.6</v>
      </c>
      <c r="E17" s="26" t="n">
        <f aca="false">AVERAGEIFS(Cleaned_Futures_Data!$O$2:$O$756,Cleaned_Futures_Data!$C$2:$C$756,$A17)</f>
        <v>487.5</v>
      </c>
      <c r="F17" s="27" t="n">
        <f aca="false">AVERAGEIFS(Cleaned_Futures_Data!$P$2:$P$756,Cleaned_Futures_Data!$C$2:$C$756,$A17)</f>
        <v>0.0186570020206968</v>
      </c>
      <c r="G17" s="22" t="n">
        <f aca="false">SUMIFS(Cleaned_Futures_Data!$J$2:$J$756,Cleaned_Futures_Data!$C$2:$C$756,$A17)</f>
        <v>2553</v>
      </c>
      <c r="H17" s="22" t="n">
        <f aca="false">AVERAGEIFS(Cleaned_Futures_Data!$L$2:$L$756,Cleaned_Futures_Data!$C$2:$C$756,$A17)</f>
        <v>138515</v>
      </c>
      <c r="I17" s="22" t="n">
        <f aca="false">_xlfn.MAXIFS(Cleaned_Futures_Data!$L$2:$L$756,Cleaned_Futures_Data!$C$2:$C$756,$A17)</f>
        <v>138515</v>
      </c>
      <c r="J17" s="22" t="n">
        <f aca="false">_xlfn.MINIFS(Cleaned_Futures_Data!$L$2:$L$756,Cleaned_Futures_Data!$C$2:$C$756,$A17)</f>
        <v>138515</v>
      </c>
      <c r="K17" s="15" t="str">
        <f aca="false">IF($A17&gt;Summary!$B$3,"Partial – expiry after data end",IF(_xlfn.MINIFS(Cleaned_Futures_Data!$B$2:$B$756,Cleaned_Futures_Data!$C$2:$C$756,$A17)&lt;=Summary!$B$2,"Partial – listed before data start","Full life in data"))</f>
        <v>Partial – expiry after data end</v>
      </c>
    </row>
    <row r="19" customFormat="false" ht="48" hidden="false" customHeight="true" outlineLevel="0" collapsed="false">
      <c r="A19" s="28" t="s">
        <v>169</v>
      </c>
      <c r="B19" s="28"/>
      <c r="C19" s="28"/>
      <c r="D19" s="28"/>
      <c r="E19" s="28"/>
      <c r="F19" s="28"/>
      <c r="G19" s="28"/>
      <c r="H19" s="28"/>
      <c r="I19" s="28"/>
      <c r="J19" s="28"/>
      <c r="K19" s="28"/>
    </row>
  </sheetData>
  <autoFilter ref="A1:K17"/>
  <mergeCells count="1">
    <mergeCell ref="A19:K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40"/>
    <col collapsed="false" customWidth="true" hidden="false" outlineLevel="0" max="3" min="2" style="1" width="12"/>
    <col collapsed="false" customWidth="true" hidden="false" outlineLevel="0" max="4" min="4" style="1" width="14"/>
    <col collapsed="false" customWidth="true" hidden="false" outlineLevel="0" max="5" min="5" style="1" width="16"/>
    <col collapsed="false" customWidth="true" hidden="false" outlineLevel="0" max="6" min="6" style="1" width="14"/>
    <col collapsed="false" customWidth="true" hidden="false" outlineLevel="0" max="7" min="7" style="1" width="22"/>
    <col collapsed="false" customWidth="true" hidden="false" outlineLevel="0" max="9" min="8" style="1" width="18"/>
    <col collapsed="false" customWidth="true" hidden="false" outlineLevel="0" max="10" min="10" style="1" width="24"/>
  </cols>
  <sheetData>
    <row r="1" customFormat="false" ht="17.25" hidden="false" customHeight="true" outlineLevel="0" collapsed="false">
      <c r="A1" s="11" t="s">
        <v>170</v>
      </c>
    </row>
    <row r="3" customFormat="false" ht="30" hidden="false" customHeight="true" outlineLevel="0" collapsed="false">
      <c r="A3" s="12" t="s">
        <v>171</v>
      </c>
      <c r="B3" s="35" t="n">
        <v>5</v>
      </c>
      <c r="C3" s="28" t="s">
        <v>172</v>
      </c>
      <c r="D3" s="28"/>
      <c r="E3" s="28"/>
      <c r="F3" s="28"/>
      <c r="G3" s="28"/>
      <c r="H3" s="28"/>
      <c r="I3" s="28"/>
      <c r="J3" s="28"/>
    </row>
    <row r="4" customFormat="false" ht="30" hidden="false" customHeight="true" outlineLevel="0" collapsed="false">
      <c r="A4" s="12" t="s">
        <v>133</v>
      </c>
      <c r="B4" s="25" t="n">
        <f aca="false">AVERAGEIFS(Cleaned_Futures_Data!$X$2:$X$756,Cleaned_Futures_Data!$W$2:$W$756,1,Cleaned_Futures_Data!$Q$2:$Q$756,"&gt;"&amp;B3)</f>
        <v>0.0693602560284243</v>
      </c>
      <c r="C4" s="28" t="s">
        <v>173</v>
      </c>
      <c r="D4" s="28"/>
      <c r="E4" s="28"/>
      <c r="F4" s="28"/>
      <c r="G4" s="28"/>
      <c r="H4" s="28"/>
      <c r="I4" s="28"/>
      <c r="J4" s="28"/>
    </row>
    <row r="6" customFormat="false" ht="15" hidden="false" customHeight="true" outlineLevel="0" collapsed="false">
      <c r="A6" s="12" t="s">
        <v>174</v>
      </c>
    </row>
    <row r="7" customFormat="false" ht="45" hidden="false" customHeight="true" outlineLevel="0" collapsed="false">
      <c r="A7" s="5" t="s">
        <v>175</v>
      </c>
      <c r="B7" s="5" t="s">
        <v>176</v>
      </c>
      <c r="C7" s="5" t="s">
        <v>177</v>
      </c>
      <c r="D7" s="5" t="s">
        <v>138</v>
      </c>
      <c r="E7" s="5" t="s">
        <v>178</v>
      </c>
      <c r="F7" s="5" t="s">
        <v>179</v>
      </c>
      <c r="G7" s="5" t="s">
        <v>180</v>
      </c>
      <c r="H7" s="5" t="s">
        <v>181</v>
      </c>
      <c r="I7" s="5" t="s">
        <v>182</v>
      </c>
      <c r="J7" s="5" t="s">
        <v>183</v>
      </c>
    </row>
    <row r="8" customFormat="false" ht="15" hidden="false" customHeight="true" outlineLevel="0" collapsed="false">
      <c r="A8" s="15" t="s">
        <v>184</v>
      </c>
      <c r="B8" s="36" t="n">
        <v>0</v>
      </c>
      <c r="C8" s="36" t="n">
        <v>0</v>
      </c>
      <c r="D8" s="29" t="n">
        <f aca="false">COUNTIFS(Cleaned_Futures_Data!$W$2:$W$756,1,Cleaned_Futures_Data!$Q$2:$Q$756,"&gt;="&amp;$B8,Cleaned_Futures_Data!$Q$2:$Q$756,"&lt;="&amp;$C8)</f>
        <v>12</v>
      </c>
      <c r="E8" s="26" t="n">
        <f aca="false">IFERROR(AVERAGEIFS(Cleaned_Futures_Data!$O$2:$O$756,Cleaned_Futures_Data!$W$2:$W$756,1,Cleaned_Futures_Data!$Q$2:$Q$756,"&gt;="&amp;$B8,Cleaned_Futures_Data!$Q$2:$Q$756,"&lt;="&amp;$C8),"")</f>
        <v>-3.53749999999976</v>
      </c>
      <c r="F8" s="27" t="n">
        <f aca="false">IFERROR(AVERAGEIFS(Cleaned_Futures_Data!$P$2:$P$756,Cleaned_Futures_Data!$W$2:$W$756,1,Cleaned_Futures_Data!$Q$2:$Q$756,"&gt;="&amp;$B8,Cleaned_Futures_Data!$Q$2:$Q$756,"&lt;="&amp;$C8),"")</f>
        <v>-0.000142960250529771</v>
      </c>
      <c r="G8" s="25" t="str">
        <f aca="false">IFERROR(AVERAGEIFS(Cleaned_Futures_Data!$X$2:$X$756,Cleaned_Futures_Data!$W$2:$W$756,1,Cleaned_Futures_Data!$Q$2:$Q$756,"&gt;="&amp;$B8,Cleaned_Futures_Data!$Q$2:$Q$756,"&lt;="&amp;$C8),"")</f>
        <v/>
      </c>
      <c r="H8" s="22" t="n">
        <f aca="false">IFERROR(AVERAGEIFS(Cleaned_Futures_Data!$L$2:$L$756,Cleaned_Futures_Data!$W$2:$W$756,1,Cleaned_Futures_Data!$Q$2:$Q$756,"&gt;="&amp;$B8,Cleaned_Futures_Data!$Q$2:$Q$756,"&lt;="&amp;$C8),"")</f>
        <v>4449502.08333333</v>
      </c>
      <c r="I8" s="22" t="n">
        <f aca="false">IFERROR(AVERAGEIFS(Cleaned_Futures_Data!$AA$2:$AA$756,Cleaned_Futures_Data!$W$2:$W$756,1,Cleaned_Futures_Data!$Q$2:$Q$756,"&gt;="&amp;$B8,Cleaned_Futures_Data!$Q$2:$Q$756,"&lt;="&amp;$C8),"")</f>
        <v>14677926.25</v>
      </c>
      <c r="J8" s="25" t="n">
        <f aca="false">IFERROR(AVERAGEIFS(Cleaned_Futures_Data!$AB$2:$AB$756,Cleaned_Futures_Data!$W$2:$W$756,1,Cleaned_Futures_Data!$Q$2:$Q$756,"&gt;="&amp;$B8,Cleaned_Futures_Data!$Q$2:$Q$756,"&lt;="&amp;$C8),"")</f>
        <v>0.233183861058626</v>
      </c>
    </row>
    <row r="9" customFormat="false" ht="15" hidden="false" customHeight="true" outlineLevel="0" collapsed="false">
      <c r="A9" s="15" t="s">
        <v>185</v>
      </c>
      <c r="B9" s="36" t="n">
        <v>1</v>
      </c>
      <c r="C9" s="36" t="n">
        <v>5</v>
      </c>
      <c r="D9" s="29" t="n">
        <f aca="false">COUNTIFS(Cleaned_Futures_Data!$W$2:$W$756,1,Cleaned_Futures_Data!$Q$2:$Q$756,"&gt;="&amp;$B9,Cleaned_Futures_Data!$Q$2:$Q$756,"&lt;="&amp;$C9)</f>
        <v>33</v>
      </c>
      <c r="E9" s="26" t="n">
        <f aca="false">IFERROR(AVERAGEIFS(Cleaned_Futures_Data!$O$2:$O$756,Cleaned_Futures_Data!$W$2:$W$756,1,Cleaned_Futures_Data!$Q$2:$Q$756,"&gt;="&amp;$B9,Cleaned_Futures_Data!$Q$2:$Q$756,"&lt;="&amp;$C9),"")</f>
        <v>26.9000000000002</v>
      </c>
      <c r="F9" s="27" t="n">
        <f aca="false">IFERROR(AVERAGEIFS(Cleaned_Futures_Data!$P$2:$P$756,Cleaned_Futures_Data!$W$2:$W$756,1,Cleaned_Futures_Data!$Q$2:$Q$756,"&gt;="&amp;$B9,Cleaned_Futures_Data!$Q$2:$Q$756,"&lt;="&amp;$C9),"")</f>
        <v>0.00109072412756874</v>
      </c>
      <c r="G9" s="25" t="n">
        <f aca="false">IFERROR(AVERAGEIFS(Cleaned_Futures_Data!$X$2:$X$756,Cleaned_Futures_Data!$W$2:$W$756,1,Cleaned_Futures_Data!$Q$2:$Q$756,"&gt;="&amp;$B9,Cleaned_Futures_Data!$Q$2:$Q$756,"&lt;="&amp;$C9),"")</f>
        <v>0.18762341709057</v>
      </c>
      <c r="H9" s="22" t="n">
        <f aca="false">IFERROR(AVERAGEIFS(Cleaned_Futures_Data!$L$2:$L$756,Cleaned_Futures_Data!$W$2:$W$756,1,Cleaned_Futures_Data!$Q$2:$Q$756,"&gt;="&amp;$B9,Cleaned_Futures_Data!$Q$2:$Q$756,"&lt;="&amp;$C9),"")</f>
        <v>9486627.27272727</v>
      </c>
      <c r="I9" s="22" t="n">
        <f aca="false">IFERROR(AVERAGEIFS(Cleaned_Futures_Data!$AA$2:$AA$756,Cleaned_Futures_Data!$W$2:$W$756,1,Cleaned_Futures_Data!$Q$2:$Q$756,"&gt;="&amp;$B9,Cleaned_Futures_Data!$Q$2:$Q$756,"&lt;="&amp;$C9),"")</f>
        <v>8951233.63636364</v>
      </c>
      <c r="J9" s="25" t="n">
        <f aca="false">IFERROR(AVERAGEIFS(Cleaned_Futures_Data!$AB$2:$AB$756,Cleaned_Futures_Data!$W$2:$W$756,1,Cleaned_Futures_Data!$Q$2:$Q$756,"&gt;="&amp;$B9,Cleaned_Futures_Data!$Q$2:$Q$756,"&lt;="&amp;$C9),"")</f>
        <v>0.516732807776064</v>
      </c>
    </row>
    <row r="10" customFormat="false" ht="15" hidden="false" customHeight="true" outlineLevel="0" collapsed="false">
      <c r="A10" s="15" t="s">
        <v>186</v>
      </c>
      <c r="B10" s="36" t="n">
        <v>6</v>
      </c>
      <c r="C10" s="36" t="n">
        <v>10</v>
      </c>
      <c r="D10" s="29" t="n">
        <f aca="false">COUNTIFS(Cleaned_Futures_Data!$W$2:$W$756,1,Cleaned_Futures_Data!$Q$2:$Q$756,"&gt;="&amp;$B10,Cleaned_Futures_Data!$Q$2:$Q$756,"&lt;="&amp;$C10)</f>
        <v>49</v>
      </c>
      <c r="E10" s="26" t="n">
        <f aca="false">IFERROR(AVERAGEIFS(Cleaned_Futures_Data!$O$2:$O$756,Cleaned_Futures_Data!$W$2:$W$756,1,Cleaned_Futures_Data!$Q$2:$Q$756,"&gt;="&amp;$B10,Cleaned_Futures_Data!$Q$2:$Q$756,"&lt;="&amp;$C10),"")</f>
        <v>38.6877551020406</v>
      </c>
      <c r="F10" s="27" t="n">
        <f aca="false">IFERROR(AVERAGEIFS(Cleaned_Futures_Data!$P$2:$P$756,Cleaned_Futures_Data!$W$2:$W$756,1,Cleaned_Futures_Data!$Q$2:$Q$756,"&gt;="&amp;$B10,Cleaned_Futures_Data!$Q$2:$Q$756,"&lt;="&amp;$C10),"")</f>
        <v>0.00158863667823015</v>
      </c>
      <c r="G10" s="25" t="n">
        <f aca="false">IFERROR(AVERAGEIFS(Cleaned_Futures_Data!$X$2:$X$756,Cleaned_Futures_Data!$W$2:$W$756,1,Cleaned_Futures_Data!$Q$2:$Q$756,"&gt;="&amp;$B10,Cleaned_Futures_Data!$Q$2:$Q$756,"&lt;="&amp;$C10),"")</f>
        <v>0.0730969080619799</v>
      </c>
      <c r="H10" s="22" t="n">
        <f aca="false">IFERROR(AVERAGEIFS(Cleaned_Futures_Data!$L$2:$L$756,Cleaned_Futures_Data!$W$2:$W$756,1,Cleaned_Futures_Data!$Q$2:$Q$756,"&gt;="&amp;$B10,Cleaned_Futures_Data!$Q$2:$Q$756,"&lt;="&amp;$C10),"")</f>
        <v>14117128.5714286</v>
      </c>
      <c r="I10" s="22" t="n">
        <f aca="false">IFERROR(AVERAGEIFS(Cleaned_Futures_Data!$AA$2:$AA$756,Cleaned_Futures_Data!$W$2:$W$756,1,Cleaned_Futures_Data!$Q$2:$Q$756,"&gt;="&amp;$B10,Cleaned_Futures_Data!$Q$2:$Q$756,"&lt;="&amp;$C10),"")</f>
        <v>3889119.48979592</v>
      </c>
      <c r="J10" s="25" t="n">
        <f aca="false">IFERROR(AVERAGEIFS(Cleaned_Futures_Data!$AB$2:$AB$756,Cleaned_Futures_Data!$W$2:$W$756,1,Cleaned_Futures_Data!$Q$2:$Q$756,"&gt;="&amp;$B10,Cleaned_Futures_Data!$Q$2:$Q$756,"&lt;="&amp;$C10),"")</f>
        <v>0.784221227055774</v>
      </c>
    </row>
    <row r="11" customFormat="false" ht="15" hidden="false" customHeight="true" outlineLevel="0" collapsed="false">
      <c r="A11" s="15" t="s">
        <v>187</v>
      </c>
      <c r="B11" s="36" t="n">
        <v>11</v>
      </c>
      <c r="C11" s="36" t="n">
        <v>15</v>
      </c>
      <c r="D11" s="29" t="n">
        <f aca="false">COUNTIFS(Cleaned_Futures_Data!$W$2:$W$756,1,Cleaned_Futures_Data!$Q$2:$Q$756,"&gt;="&amp;$B11,Cleaned_Futures_Data!$Q$2:$Q$756,"&lt;="&amp;$C11)</f>
        <v>41</v>
      </c>
      <c r="E11" s="26" t="n">
        <f aca="false">IFERROR(AVERAGEIFS(Cleaned_Futures_Data!$O$2:$O$756,Cleaned_Futures_Data!$W$2:$W$756,1,Cleaned_Futures_Data!$Q$2:$Q$756,"&gt;="&amp;$B11,Cleaned_Futures_Data!$Q$2:$Q$756,"&lt;="&amp;$C11),"")</f>
        <v>70.4341463414638</v>
      </c>
      <c r="F11" s="27" t="n">
        <f aca="false">IFERROR(AVERAGEIFS(Cleaned_Futures_Data!$P$2:$P$756,Cleaned_Futures_Data!$W$2:$W$756,1,Cleaned_Futures_Data!$Q$2:$Q$756,"&gt;="&amp;$B11,Cleaned_Futures_Data!$Q$2:$Q$756,"&lt;="&amp;$C11),"")</f>
        <v>0.00284529302409362</v>
      </c>
      <c r="G11" s="25" t="n">
        <f aca="false">IFERROR(AVERAGEIFS(Cleaned_Futures_Data!$X$2:$X$756,Cleaned_Futures_Data!$W$2:$W$756,1,Cleaned_Futures_Data!$Q$2:$Q$756,"&gt;="&amp;$B11,Cleaned_Futures_Data!$Q$2:$Q$756,"&lt;="&amp;$C11),"")</f>
        <v>0.0769149100466069</v>
      </c>
      <c r="H11" s="22" t="n">
        <f aca="false">IFERROR(AVERAGEIFS(Cleaned_Futures_Data!$L$2:$L$756,Cleaned_Futures_Data!$W$2:$W$756,1,Cleaned_Futures_Data!$Q$2:$Q$756,"&gt;="&amp;$B11,Cleaned_Futures_Data!$Q$2:$Q$756,"&lt;="&amp;$C11),"")</f>
        <v>15523144.5121951</v>
      </c>
      <c r="I11" s="22" t="n">
        <f aca="false">IFERROR(AVERAGEIFS(Cleaned_Futures_Data!$AA$2:$AA$756,Cleaned_Futures_Data!$W$2:$W$756,1,Cleaned_Futures_Data!$Q$2:$Q$756,"&gt;="&amp;$B11,Cleaned_Futures_Data!$Q$2:$Q$756,"&lt;="&amp;$C11),"")</f>
        <v>2414347.92682927</v>
      </c>
      <c r="J11" s="25" t="n">
        <f aca="false">IFERROR(AVERAGEIFS(Cleaned_Futures_Data!$AB$2:$AB$756,Cleaned_Futures_Data!$W$2:$W$756,1,Cleaned_Futures_Data!$Q$2:$Q$756,"&gt;="&amp;$B11,Cleaned_Futures_Data!$Q$2:$Q$756,"&lt;="&amp;$C11),"")</f>
        <v>0.862955312403415</v>
      </c>
    </row>
    <row r="12" customFormat="false" ht="15" hidden="false" customHeight="true" outlineLevel="0" collapsed="false">
      <c r="A12" s="15" t="s">
        <v>188</v>
      </c>
      <c r="B12" s="36" t="n">
        <v>16</v>
      </c>
      <c r="C12" s="36" t="n">
        <v>20</v>
      </c>
      <c r="D12" s="29" t="n">
        <f aca="false">COUNTIFS(Cleaned_Futures_Data!$W$2:$W$756,1,Cleaned_Futures_Data!$Q$2:$Q$756,"&gt;="&amp;$B12,Cleaned_Futures_Data!$Q$2:$Q$756,"&lt;="&amp;$C12)</f>
        <v>35</v>
      </c>
      <c r="E12" s="26" t="n">
        <f aca="false">IFERROR(AVERAGEIFS(Cleaned_Futures_Data!$O$2:$O$756,Cleaned_Futures_Data!$W$2:$W$756,1,Cleaned_Futures_Data!$Q$2:$Q$756,"&gt;="&amp;$B12,Cleaned_Futures_Data!$Q$2:$Q$756,"&lt;="&amp;$C12),"")</f>
        <v>82.4924242424247</v>
      </c>
      <c r="F12" s="27" t="n">
        <f aca="false">IFERROR(AVERAGEIFS(Cleaned_Futures_Data!$P$2:$P$756,Cleaned_Futures_Data!$W$2:$W$756,1,Cleaned_Futures_Data!$Q$2:$Q$756,"&gt;="&amp;$B12,Cleaned_Futures_Data!$Q$2:$Q$756,"&lt;="&amp;$C12),"")</f>
        <v>0.00336222276811053</v>
      </c>
      <c r="G12" s="25" t="n">
        <f aca="false">IFERROR(AVERAGEIFS(Cleaned_Futures_Data!$X$2:$X$756,Cleaned_Futures_Data!$W$2:$W$756,1,Cleaned_Futures_Data!$Q$2:$Q$756,"&gt;="&amp;$B12,Cleaned_Futures_Data!$Q$2:$Q$756,"&lt;="&amp;$C12),"")</f>
        <v>0.0678843685459319</v>
      </c>
      <c r="H12" s="22" t="n">
        <f aca="false">IFERROR(AVERAGEIFS(Cleaned_Futures_Data!$L$2:$L$756,Cleaned_Futures_Data!$W$2:$W$756,1,Cleaned_Futures_Data!$Q$2:$Q$756,"&gt;="&amp;$B12,Cleaned_Futures_Data!$Q$2:$Q$756,"&lt;="&amp;$C12),"")</f>
        <v>15449382.1428571</v>
      </c>
      <c r="I12" s="22" t="n">
        <f aca="false">IFERROR(AVERAGEIFS(Cleaned_Futures_Data!$AA$2:$AA$756,Cleaned_Futures_Data!$W$2:$W$756,1,Cleaned_Futures_Data!$Q$2:$Q$756,"&gt;="&amp;$B12,Cleaned_Futures_Data!$Q$2:$Q$756,"&lt;="&amp;$C12),"")</f>
        <v>2086922.85714286</v>
      </c>
      <c r="J12" s="25" t="n">
        <f aca="false">IFERROR(AVERAGEIFS(Cleaned_Futures_Data!$AB$2:$AB$756,Cleaned_Futures_Data!$W$2:$W$756,1,Cleaned_Futures_Data!$Q$2:$Q$756,"&gt;="&amp;$B12,Cleaned_Futures_Data!$Q$2:$Q$756,"&lt;="&amp;$C12),"")</f>
        <v>0.878698901394143</v>
      </c>
    </row>
    <row r="13" customFormat="false" ht="15" hidden="false" customHeight="true" outlineLevel="0" collapsed="false">
      <c r="A13" s="15" t="s">
        <v>189</v>
      </c>
      <c r="B13" s="36" t="n">
        <v>21</v>
      </c>
      <c r="C13" s="36" t="n">
        <v>60</v>
      </c>
      <c r="D13" s="29" t="n">
        <f aca="false">COUNTIFS(Cleaned_Futures_Data!$W$2:$W$756,1,Cleaned_Futures_Data!$Q$2:$Q$756,"&gt;="&amp;$B13,Cleaned_Futures_Data!$Q$2:$Q$756,"&lt;="&amp;$C13)</f>
        <v>79</v>
      </c>
      <c r="E13" s="26" t="n">
        <f aca="false">IFERROR(AVERAGEIFS(Cleaned_Futures_Data!$O$2:$O$756,Cleaned_Futures_Data!$W$2:$W$756,1,Cleaned_Futures_Data!$Q$2:$Q$756,"&gt;="&amp;$B13,Cleaned_Futures_Data!$Q$2:$Q$756,"&lt;="&amp;$C13),"")</f>
        <v>108.645394736842</v>
      </c>
      <c r="F13" s="27" t="n">
        <f aca="false">IFERROR(AVERAGEIFS(Cleaned_Futures_Data!$P$2:$P$756,Cleaned_Futures_Data!$W$2:$W$756,1,Cleaned_Futures_Data!$Q$2:$Q$756,"&gt;="&amp;$B13,Cleaned_Futures_Data!$Q$2:$Q$756,"&lt;="&amp;$C13),"")</f>
        <v>0.00439445884918603</v>
      </c>
      <c r="G13" s="25" t="n">
        <f aca="false">IFERROR(AVERAGEIFS(Cleaned_Futures_Data!$X$2:$X$756,Cleaned_Futures_Data!$W$2:$W$756,1,Cleaned_Futures_Data!$Q$2:$Q$756,"&gt;="&amp;$B13,Cleaned_Futures_Data!$Q$2:$Q$756,"&lt;="&amp;$C13),"")</f>
        <v>0.0635164076406945</v>
      </c>
      <c r="H13" s="22" t="n">
        <f aca="false">IFERROR(AVERAGEIFS(Cleaned_Futures_Data!$L$2:$L$756,Cleaned_Futures_Data!$W$2:$W$756,1,Cleaned_Futures_Data!$Q$2:$Q$756,"&gt;="&amp;$B13,Cleaned_Futures_Data!$Q$2:$Q$756,"&lt;="&amp;$C13),"")</f>
        <v>14995778.8607595</v>
      </c>
      <c r="I13" s="22" t="n">
        <f aca="false">IFERROR(AVERAGEIFS(Cleaned_Futures_Data!$AA$2:$AA$756,Cleaned_Futures_Data!$W$2:$W$756,1,Cleaned_Futures_Data!$Q$2:$Q$756,"&gt;="&amp;$B13,Cleaned_Futures_Data!$Q$2:$Q$756,"&lt;="&amp;$C13),"")</f>
        <v>1469833.2278481</v>
      </c>
      <c r="J13" s="25" t="n">
        <f aca="false">IFERROR(AVERAGEIFS(Cleaned_Futures_Data!$AB$2:$AB$756,Cleaned_Futures_Data!$W$2:$W$756,1,Cleaned_Futures_Data!$Q$2:$Q$756,"&gt;="&amp;$B13,Cleaned_Futures_Data!$Q$2:$Q$756,"&lt;="&amp;$C13),"")</f>
        <v>0.909314154667939</v>
      </c>
    </row>
    <row r="14" customFormat="false" ht="30" hidden="false" customHeight="true" outlineLevel="0" collapsed="false">
      <c r="A14" s="28" t="s">
        <v>190</v>
      </c>
      <c r="B14" s="28"/>
      <c r="C14" s="28"/>
      <c r="D14" s="28"/>
      <c r="E14" s="28"/>
      <c r="F14" s="28"/>
      <c r="G14" s="28"/>
      <c r="H14" s="28"/>
      <c r="I14" s="28"/>
      <c r="J14" s="28"/>
    </row>
    <row r="16" customFormat="false" ht="15" hidden="false" customHeight="true" outlineLevel="0" collapsed="false">
      <c r="A16" s="12" t="s">
        <v>191</v>
      </c>
    </row>
    <row r="17" customFormat="false" ht="31.5" hidden="false" customHeight="true" outlineLevel="0" collapsed="false">
      <c r="A17" s="5" t="s">
        <v>192</v>
      </c>
      <c r="B17" s="5" t="s">
        <v>193</v>
      </c>
      <c r="C17" s="5" t="s">
        <v>194</v>
      </c>
      <c r="D17" s="5" t="s">
        <v>138</v>
      </c>
      <c r="E17" s="5" t="s">
        <v>195</v>
      </c>
      <c r="F17" s="5" t="s">
        <v>196</v>
      </c>
      <c r="G17" s="5" t="s">
        <v>197</v>
      </c>
      <c r="H17" s="5" t="s">
        <v>178</v>
      </c>
      <c r="I17" s="5" t="s">
        <v>179</v>
      </c>
    </row>
    <row r="18" customFormat="false" ht="15" hidden="false" customHeight="true" outlineLevel="0" collapsed="false">
      <c r="A18" s="15" t="s">
        <v>198</v>
      </c>
      <c r="B18" s="36" t="n">
        <v>1</v>
      </c>
      <c r="C18" s="36" t="n">
        <v>1</v>
      </c>
      <c r="D18" s="29" t="n">
        <f aca="false">COUNTIFS(Cleaned_Futures_Data!$W$2:$W$756,"&gt;="&amp;$B18,Cleaned_Futures_Data!$W$2:$W$756,"&lt;="&amp;$C18)</f>
        <v>249</v>
      </c>
      <c r="E18" s="22" t="n">
        <f aca="false">SUMIFS(Cleaned_Futures_Data!$J$2:$J$756,Cleaned_Futures_Data!$W$2:$W$756,"&gt;="&amp;$B18,Cleaned_Futures_Data!$W$2:$W$756,"&lt;="&amp;$C18)</f>
        <v>23662694</v>
      </c>
      <c r="F18" s="25" t="n">
        <f aca="false">E18/SUM($E$18:$E$20)</f>
        <v>0.79259293350199</v>
      </c>
      <c r="G18" s="22" t="n">
        <f aca="false">IFERROR(AVERAGEIFS(Cleaned_Futures_Data!$L$2:$L$756,Cleaned_Futures_Data!$W$2:$W$756,"&gt;="&amp;$B18,Cleaned_Futures_Data!$W$2:$W$756,"&lt;="&amp;$C18),"")</f>
        <v>13735083.7550201</v>
      </c>
      <c r="H18" s="26" t="n">
        <f aca="false">IFERROR(AVERAGEIFS(Cleaned_Futures_Data!$O$2:$O$756,Cleaned_Futures_Data!$W$2:$W$756,"&gt;="&amp;$B18,Cleaned_Futures_Data!$W$2:$W$756,"&lt;="&amp;$C18),"")</f>
        <v>68.0657786885248</v>
      </c>
      <c r="I18" s="27" t="n">
        <f aca="false">IFERROR(AVERAGEIFS(Cleaned_Futures_Data!$P$2:$P$756,Cleaned_Futures_Data!$W$2:$W$756,"&gt;="&amp;$B18,Cleaned_Futures_Data!$W$2:$W$756,"&lt;="&amp;$C18),"")</f>
        <v>0.00276110987012423</v>
      </c>
    </row>
    <row r="19" customFormat="false" ht="15" hidden="false" customHeight="true" outlineLevel="0" collapsed="false">
      <c r="A19" s="15" t="s">
        <v>199</v>
      </c>
      <c r="B19" s="36" t="n">
        <v>2</v>
      </c>
      <c r="C19" s="36" t="n">
        <v>2</v>
      </c>
      <c r="D19" s="29" t="n">
        <f aca="false">COUNTIFS(Cleaned_Futures_Data!$W$2:$W$756,"&gt;="&amp;$B19,Cleaned_Futures_Data!$W$2:$W$756,"&lt;="&amp;$C19)</f>
        <v>249</v>
      </c>
      <c r="E19" s="22" t="n">
        <f aca="false">SUMIFS(Cleaned_Futures_Data!$J$2:$J$756,Cleaned_Futures_Data!$W$2:$W$756,"&gt;="&amp;$B19,Cleaned_Futures_Data!$W$2:$W$756,"&lt;="&amp;$C19)</f>
        <v>5462233</v>
      </c>
      <c r="F19" s="25" t="n">
        <f aca="false">E19/SUM($E$18:$E$20)</f>
        <v>0.182960033077441</v>
      </c>
      <c r="G19" s="22" t="n">
        <f aca="false">IFERROR(AVERAGEIFS(Cleaned_Futures_Data!$L$2:$L$756,Cleaned_Futures_Data!$W$2:$W$756,"&gt;="&amp;$B19,Cleaned_Futures_Data!$W$2:$W$756,"&lt;="&amp;$C19),"")</f>
        <v>3816225.18072289</v>
      </c>
      <c r="H19" s="26" t="n">
        <f aca="false">IFERROR(AVERAGEIFS(Cleaned_Futures_Data!$O$2:$O$756,Cleaned_Futures_Data!$W$2:$W$756,"&gt;="&amp;$B19,Cleaned_Futures_Data!$W$2:$W$756,"&lt;="&amp;$C19),"")</f>
        <v>202.410655737705</v>
      </c>
      <c r="I19" s="27" t="n">
        <f aca="false">IFERROR(AVERAGEIFS(Cleaned_Futures_Data!$P$2:$P$756,Cleaned_Futures_Data!$W$2:$W$756,"&gt;="&amp;$B19,Cleaned_Futures_Data!$W$2:$W$756,"&lt;="&amp;$C19),"")</f>
        <v>0.00822488882203563</v>
      </c>
    </row>
    <row r="20" customFormat="false" ht="15" hidden="false" customHeight="true" outlineLevel="0" collapsed="false">
      <c r="A20" s="15" t="s">
        <v>200</v>
      </c>
      <c r="B20" s="36" t="n">
        <v>3</v>
      </c>
      <c r="C20" s="36" t="n">
        <v>99</v>
      </c>
      <c r="D20" s="29" t="n">
        <f aca="false">COUNTIFS(Cleaned_Futures_Data!$W$2:$W$756,"&gt;="&amp;$B20,Cleaned_Futures_Data!$W$2:$W$756,"&lt;="&amp;$C20)</f>
        <v>257</v>
      </c>
      <c r="E20" s="22" t="n">
        <f aca="false">SUMIFS(Cleaned_Futures_Data!$J$2:$J$756,Cleaned_Futures_Data!$W$2:$W$756,"&gt;="&amp;$B20,Cleaned_Futures_Data!$W$2:$W$756,"&lt;="&amp;$C20)</f>
        <v>729861</v>
      </c>
      <c r="F20" s="25" t="n">
        <f aca="false">E20/SUM($E$18:$E$20)</f>
        <v>0.0244470334205689</v>
      </c>
      <c r="G20" s="22" t="n">
        <f aca="false">IFERROR(AVERAGEIFS(Cleaned_Futures_Data!$L$2:$L$756,Cleaned_Futures_Data!$W$2:$W$756,"&gt;="&amp;$B20,Cleaned_Futures_Data!$W$2:$W$756,"&lt;="&amp;$C20),"")</f>
        <v>484823.192771084</v>
      </c>
      <c r="H20" s="26" t="n">
        <f aca="false">IFERROR(AVERAGEIFS(Cleaned_Futures_Data!$O$2:$O$756,Cleaned_Futures_Data!$W$2:$W$756,"&gt;="&amp;$B20,Cleaned_Futures_Data!$W$2:$W$756,"&lt;="&amp;$C20),"")</f>
        <v>339.94631147541</v>
      </c>
      <c r="I20" s="27" t="n">
        <f aca="false">IFERROR(AVERAGEIFS(Cleaned_Futures_Data!$P$2:$P$756,Cleaned_Futures_Data!$W$2:$W$756,"&gt;="&amp;$B20,Cleaned_Futures_Data!$W$2:$W$756,"&lt;="&amp;$C20),"")</f>
        <v>0.0138135667816899</v>
      </c>
    </row>
    <row r="21" customFormat="false" ht="30" hidden="false" customHeight="true" outlineLevel="0" collapsed="false">
      <c r="A21" s="28" t="s">
        <v>201</v>
      </c>
      <c r="B21" s="28"/>
      <c r="C21" s="28"/>
      <c r="D21" s="28"/>
      <c r="E21" s="28"/>
      <c r="F21" s="28"/>
      <c r="G21" s="28"/>
      <c r="H21" s="28"/>
      <c r="I21" s="28"/>
      <c r="J21" s="28"/>
    </row>
    <row r="23" customFormat="false" ht="18" hidden="false" customHeight="true" outlineLevel="0" collapsed="false">
      <c r="A23" s="28" t="s">
        <v>202</v>
      </c>
      <c r="B23" s="28"/>
      <c r="C23" s="28"/>
      <c r="D23" s="28"/>
      <c r="E23" s="28"/>
      <c r="F23" s="28"/>
      <c r="G23" s="28"/>
      <c r="H23" s="28"/>
      <c r="I23" s="28"/>
      <c r="J23" s="28"/>
    </row>
  </sheetData>
  <mergeCells count="5">
    <mergeCell ref="C3:J3"/>
    <mergeCell ref="C4:J4"/>
    <mergeCell ref="A14:J14"/>
    <mergeCell ref="A21:J21"/>
    <mergeCell ref="A23:J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56"/>
    <col collapsed="false" customWidth="true" hidden="false" outlineLevel="0" max="2" min="2" style="1" width="16"/>
    <col collapsed="false" customWidth="true" hidden="false" outlineLevel="0" max="3" min="3" style="1" width="22"/>
    <col collapsed="false" customWidth="true" hidden="false" outlineLevel="0" max="4" min="4" style="1" width="40"/>
    <col collapsed="false" customWidth="true" hidden="false" outlineLevel="0" max="5" min="5" style="1" width="26"/>
  </cols>
  <sheetData>
    <row r="1" customFormat="false" ht="15" hidden="false" customHeight="true" outlineLevel="0" collapsed="false">
      <c r="A1" s="5" t="s">
        <v>203</v>
      </c>
      <c r="B1" s="5" t="s">
        <v>138</v>
      </c>
      <c r="C1" s="5" t="s">
        <v>204</v>
      </c>
      <c r="D1" s="5" t="s">
        <v>205</v>
      </c>
    </row>
    <row r="2" customFormat="false" ht="15" hidden="false" customHeight="true" outlineLevel="0" collapsed="false">
      <c r="A2" s="15" t="s">
        <v>206</v>
      </c>
      <c r="B2" s="15" t="n">
        <f aca="false">COUNTIF(Cleaned_Futures_Data!$U$2:$U$756,A2)</f>
        <v>306</v>
      </c>
      <c r="C2" s="25" t="n">
        <f aca="false">B2/SUM($B$2:$B$7)</f>
        <v>0.405298013245033</v>
      </c>
      <c r="D2" s="15" t="s">
        <v>207</v>
      </c>
    </row>
    <row r="3" customFormat="false" ht="15" hidden="false" customHeight="true" outlineLevel="0" collapsed="false">
      <c r="A3" s="15" t="s">
        <v>208</v>
      </c>
      <c r="B3" s="15" t="n">
        <f aca="false">COUNTIF(Cleaned_Futures_Data!$U$2:$U$756,A3)</f>
        <v>240</v>
      </c>
      <c r="C3" s="25" t="n">
        <f aca="false">B3/SUM($B$2:$B$7)</f>
        <v>0.317880794701987</v>
      </c>
      <c r="D3" s="15" t="s">
        <v>209</v>
      </c>
    </row>
    <row r="4" customFormat="false" ht="15" hidden="false" customHeight="true" outlineLevel="0" collapsed="false">
      <c r="A4" s="15" t="s">
        <v>210</v>
      </c>
      <c r="B4" s="15" t="n">
        <f aca="false">COUNTIF(Cleaned_Futures_Data!$U$2:$U$756,A4)</f>
        <v>98</v>
      </c>
      <c r="C4" s="25" t="n">
        <f aca="false">B4/SUM($B$2:$B$7)</f>
        <v>0.129801324503311</v>
      </c>
      <c r="D4" s="15" t="s">
        <v>211</v>
      </c>
    </row>
    <row r="5" customFormat="false" ht="15" hidden="false" customHeight="true" outlineLevel="0" collapsed="false">
      <c r="A5" s="15" t="s">
        <v>212</v>
      </c>
      <c r="B5" s="15" t="n">
        <f aca="false">COUNTIF(Cleaned_Futures_Data!$U$2:$U$756,A5)</f>
        <v>86</v>
      </c>
      <c r="C5" s="25" t="n">
        <f aca="false">B5/SUM($B$2:$B$7)</f>
        <v>0.113907284768212</v>
      </c>
      <c r="D5" s="15" t="s">
        <v>213</v>
      </c>
    </row>
    <row r="6" customFormat="false" ht="15" hidden="false" customHeight="true" outlineLevel="0" collapsed="false">
      <c r="A6" s="15" t="s">
        <v>90</v>
      </c>
      <c r="B6" s="15" t="n">
        <f aca="false">COUNTIF(Cleaned_Futures_Data!$U$2:$U$756,A6)</f>
        <v>24</v>
      </c>
      <c r="C6" s="25" t="n">
        <f aca="false">B6/SUM($B$2:$B$7)</f>
        <v>0.0317880794701987</v>
      </c>
      <c r="D6" s="15" t="s">
        <v>214</v>
      </c>
    </row>
    <row r="7" customFormat="false" ht="15" hidden="false" customHeight="true" outlineLevel="0" collapsed="false">
      <c r="A7" s="15" t="s">
        <v>92</v>
      </c>
      <c r="B7" s="15" t="n">
        <f aca="false">COUNTIF(Cleaned_Futures_Data!$U$2:$U$756,A7)</f>
        <v>1</v>
      </c>
      <c r="C7" s="25" t="n">
        <f aca="false">B7/SUM($B$2:$B$7)</f>
        <v>0.00132450331125828</v>
      </c>
      <c r="D7" s="15" t="s">
        <v>215</v>
      </c>
    </row>
    <row r="8" customFormat="false" ht="15" hidden="false" customHeight="true" outlineLevel="0" collapsed="false">
      <c r="A8" s="30" t="s">
        <v>216</v>
      </c>
      <c r="B8" s="30" t="n">
        <f aca="false">SUM(B2:B7)</f>
        <v>755</v>
      </c>
      <c r="C8" s="34" t="n">
        <f aca="false">SUM(C2:C7)</f>
        <v>1</v>
      </c>
      <c r="D8" s="30"/>
    </row>
    <row r="10" customFormat="false" ht="15" hidden="false" customHeight="true" outlineLevel="0" collapsed="false">
      <c r="A10" s="12" t="s">
        <v>217</v>
      </c>
    </row>
    <row r="11" customFormat="false" ht="30" hidden="false" customHeight="true" outlineLevel="0" collapsed="false">
      <c r="A11" s="28" t="str">
        <f aca="false">"Sample: near-month rows with Days to Expiry &gt; "&amp;Basis_Analysis!B3&amp;" and a next-day return available. Label = previous-day-to-today move; test = the following day's close return."</f>
        <v>Sample: near-month rows with Days to Expiry &gt; 5 and a next-day return available. Label = previous-day-to-today move; test = the following day's close return.</v>
      </c>
      <c r="B11" s="28"/>
      <c r="C11" s="28"/>
      <c r="D11" s="28"/>
      <c r="E11" s="28"/>
    </row>
    <row r="12" customFormat="false" ht="31.5" hidden="false" customHeight="true" outlineLevel="0" collapsed="false">
      <c r="A12" s="5" t="s">
        <v>203</v>
      </c>
      <c r="B12" s="5" t="s">
        <v>138</v>
      </c>
      <c r="C12" s="5" t="s">
        <v>218</v>
      </c>
      <c r="D12" s="5" t="s">
        <v>219</v>
      </c>
      <c r="E12" s="5" t="s">
        <v>220</v>
      </c>
    </row>
    <row r="13" customFormat="false" ht="15" hidden="false" customHeight="true" outlineLevel="0" collapsed="false">
      <c r="A13" s="15" t="s">
        <v>208</v>
      </c>
      <c r="B13" s="29" t="n">
        <f aca="false">COUNTIFS(Cleaned_Futures_Data!$U$2:$U$756,A13,Cleaned_Futures_Data!$Z$2:$Z$756,1)</f>
        <v>25</v>
      </c>
      <c r="C13" s="23" t="n">
        <f aca="false">IFERROR(AVERAGEIFS(Cleaned_Futures_Data!$R$2:$R$756,Cleaned_Futures_Data!$U$2:$U$756,A13,Cleaned_Futures_Data!$Z$2:$Z$756,1),"")</f>
        <v>0.735882902577049</v>
      </c>
      <c r="D13" s="23" t="n">
        <f aca="false">IFERROR(AVERAGEIFS(Cleaned_Futures_Data!$Y$2:$Y$756,Cleaned_Futures_Data!$U$2:$U$756,A13,Cleaned_Futures_Data!$Z$2:$Z$756,1),"")</f>
        <v>-0.180626374265673</v>
      </c>
      <c r="E13" s="25" t="n">
        <f aca="false">IFERROR(COUNTIFS(Cleaned_Futures_Data!$U$2:$U$756,A13,Cleaned_Futures_Data!$Z$2:$Z$756,1,Cleaned_Futures_Data!$Y$2:$Y$756,"&gt;0")/B13,"")</f>
        <v>0.4</v>
      </c>
    </row>
    <row r="14" customFormat="false" ht="15" hidden="false" customHeight="true" outlineLevel="0" collapsed="false">
      <c r="A14" s="15" t="s">
        <v>206</v>
      </c>
      <c r="B14" s="29" t="n">
        <f aca="false">COUNTIFS(Cleaned_Futures_Data!$U$2:$U$756,A14,Cleaned_Futures_Data!$Z$2:$Z$756,1)</f>
        <v>54</v>
      </c>
      <c r="C14" s="23" t="n">
        <f aca="false">IFERROR(AVERAGEIFS(Cleaned_Futures_Data!$R$2:$R$756,Cleaned_Futures_Data!$U$2:$U$756,A14,Cleaned_Futures_Data!$Z$2:$Z$756,1),"")</f>
        <v>-0.578973971332947</v>
      </c>
      <c r="D14" s="23" t="n">
        <f aca="false">IFERROR(AVERAGEIFS(Cleaned_Futures_Data!$Y$2:$Y$756,Cleaned_Futures_Data!$U$2:$U$756,A14,Cleaned_Futures_Data!$Z$2:$Z$756,1),"")</f>
        <v>-0.0228292093027687</v>
      </c>
      <c r="E14" s="25" t="n">
        <f aca="false">IFERROR(COUNTIFS(Cleaned_Futures_Data!$U$2:$U$756,A14,Cleaned_Futures_Data!$Z$2:$Z$756,1,Cleaned_Futures_Data!$Y$2:$Y$756,"&gt;0")/B14,"")</f>
        <v>0.462962962962963</v>
      </c>
    </row>
    <row r="15" customFormat="false" ht="15" hidden="false" customHeight="true" outlineLevel="0" collapsed="false">
      <c r="A15" s="15" t="s">
        <v>210</v>
      </c>
      <c r="B15" s="29" t="n">
        <f aca="false">COUNTIFS(Cleaned_Futures_Data!$U$2:$U$756,A15,Cleaned_Futures_Data!$Z$2:$Z$756,1)</f>
        <v>67</v>
      </c>
      <c r="C15" s="23" t="n">
        <f aca="false">IFERROR(AVERAGEIFS(Cleaned_Futures_Data!$R$2:$R$756,Cleaned_Futures_Data!$U$2:$U$756,A15,Cleaned_Futures_Data!$Z$2:$Z$756,1),"")</f>
        <v>0.597834636159736</v>
      </c>
      <c r="D15" s="23" t="n">
        <f aca="false">IFERROR(AVERAGEIFS(Cleaned_Futures_Data!$Y$2:$Y$756,Cleaned_Futures_Data!$U$2:$U$756,A15,Cleaned_Futures_Data!$Z$2:$Z$756,1),"")</f>
        <v>0.137393722022151</v>
      </c>
      <c r="E15" s="25" t="n">
        <f aca="false">IFERROR(COUNTIFS(Cleaned_Futures_Data!$U$2:$U$756,A15,Cleaned_Futures_Data!$Z$2:$Z$756,1,Cleaned_Futures_Data!$Y$2:$Y$756,"&gt;0")/B15,"")</f>
        <v>0.507462686567164</v>
      </c>
    </row>
    <row r="16" customFormat="false" ht="15" hidden="false" customHeight="true" outlineLevel="0" collapsed="false">
      <c r="A16" s="15" t="s">
        <v>212</v>
      </c>
      <c r="B16" s="29" t="n">
        <f aca="false">COUNTIFS(Cleaned_Futures_Data!$U$2:$U$756,A16,Cleaned_Futures_Data!$Z$2:$Z$756,1)</f>
        <v>55</v>
      </c>
      <c r="C16" s="23" t="n">
        <f aca="false">IFERROR(AVERAGEIFS(Cleaned_Futures_Data!$R$2:$R$756,Cleaned_Futures_Data!$U$2:$U$756,A16,Cleaned_Futures_Data!$Z$2:$Z$756,1),"")</f>
        <v>-0.412657608128349</v>
      </c>
      <c r="D16" s="23" t="n">
        <f aca="false">IFERROR(AVERAGEIFS(Cleaned_Futures_Data!$Y$2:$Y$756,Cleaned_Futures_Data!$U$2:$U$756,A16,Cleaned_Futures_Data!$Z$2:$Z$756,1),"")</f>
        <v>0.0195651560047447</v>
      </c>
      <c r="E16" s="25" t="n">
        <f aca="false">IFERROR(COUNTIFS(Cleaned_Futures_Data!$U$2:$U$756,A16,Cleaned_Futures_Data!$Z$2:$Z$756,1,Cleaned_Futures_Data!$Y$2:$Y$756,"&gt;0")/B16,"")</f>
        <v>0.418181818181818</v>
      </c>
    </row>
    <row r="17" customFormat="false" ht="15" hidden="false" customHeight="true" outlineLevel="0" collapsed="false">
      <c r="A17" s="30" t="s">
        <v>221</v>
      </c>
      <c r="B17" s="31" t="n">
        <f aca="false">COUNTIFS(Cleaned_Futures_Data!$U$2:$U$756,"&lt;&gt;Not classified",Cleaned_Futures_Data!$U$2:$U$756,"&lt;&gt;Neutral",Cleaned_Futures_Data!$Z$2:$Z$756,1)</f>
        <v>201</v>
      </c>
      <c r="C17" s="37" t="n">
        <f aca="false">IFERROR(AVERAGEIFS(Cleaned_Futures_Data!$R$2:$R$756,Cleaned_Futures_Data!$U$2:$U$756,"&lt;&gt;Not classified",Cleaned_Futures_Data!$U$2:$U$756,"&lt;&gt;Neutral",Cleaned_Futures_Data!$Z$2:$Z$756,1),"")</f>
        <v>0.0223444292939812</v>
      </c>
      <c r="D17" s="37" t="n">
        <f aca="false">IFERROR(AVERAGEIFS(Cleaned_Futures_Data!$Y$2:$Y$756,Cleaned_Futures_Data!$U$2:$U$756,"&lt;&gt;Not classified",Cleaned_Futures_Data!$U$2:$U$756,"&lt;&gt;Neutral",Cleaned_Futures_Data!$Z$2:$Z$756,1),"")</f>
        <v>0.0225523696355906</v>
      </c>
      <c r="E17" s="34" t="n">
        <f aca="false">IFERROR(COUNTIFS(Cleaned_Futures_Data!$U$2:$U$756,"&lt;&gt;Not classified",Cleaned_Futures_Data!$U$2:$U$756,"&lt;&gt;Neutral",Cleaned_Futures_Data!$Z$2:$Z$756,1,Cleaned_Futures_Data!$Y$2:$Y$756,"&gt;0")/B17,"")</f>
        <v>0.45771144278607</v>
      </c>
    </row>
    <row r="19" customFormat="false" ht="15" hidden="false" customHeight="true" outlineLevel="0" collapsed="false">
      <c r="A19" s="12" t="s">
        <v>222</v>
      </c>
    </row>
    <row r="20" customFormat="false" ht="15" hidden="false" customHeight="true" outlineLevel="0" collapsed="false">
      <c r="A20" s="15" t="s">
        <v>223</v>
      </c>
      <c r="B20" s="15" t="n">
        <f aca="false">COUNTIFS(Cleaned_Futures_Data!$W$2:$W$756,1,Cleaned_Futures_Data!$Q$2:$Q$756,"&lt;="&amp;Basis_Analysis!B3,Cleaned_Futures_Data!$U$2:$U$756,"&lt;&gt;Not classified")</f>
        <v>45</v>
      </c>
    </row>
    <row r="21" customFormat="false" ht="15" hidden="false" customHeight="true" outlineLevel="0" collapsed="false">
      <c r="A21" s="15" t="s">
        <v>224</v>
      </c>
      <c r="B21" s="15" t="n">
        <f aca="false">COUNTIFS(Cleaned_Futures_Data!$W$2:$W$756,1,Cleaned_Futures_Data!$Q$2:$Q$756,"&lt;="&amp;Basis_Analysis!B3,Cleaned_Futures_Data!$U$2:$U$756,"Long unwinding (interpretation)")+COUNTIFS(Cleaned_Futures_Data!$W$2:$W$756,1,Cleaned_Futures_Data!$Q$2:$Q$756,"&lt;="&amp;Basis_Analysis!B3,Cleaned_Futures_Data!$U$2:$U$756,"Short covering (interpretation)")</f>
        <v>45</v>
      </c>
    </row>
    <row r="22" customFormat="false" ht="15" hidden="false" customHeight="true" outlineLevel="0" collapsed="false">
      <c r="A22" s="15" t="s">
        <v>225</v>
      </c>
      <c r="B22" s="25" t="n">
        <f aca="false">IFERROR(B21/B20,"")</f>
        <v>1</v>
      </c>
    </row>
    <row r="24" customFormat="false" ht="31.5" hidden="false" customHeight="true" outlineLevel="0" collapsed="false">
      <c r="A24" s="28" t="s">
        <v>226</v>
      </c>
      <c r="B24" s="28"/>
      <c r="C24" s="28"/>
      <c r="D24" s="28"/>
      <c r="E24" s="28"/>
    </row>
  </sheetData>
  <mergeCells count="2">
    <mergeCell ref="A11:E11"/>
    <mergeCell ref="A24:E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6"/>
    <col collapsed="false" customWidth="true" hidden="false" outlineLevel="0" max="2" min="2" style="1" width="120"/>
  </cols>
  <sheetData>
    <row r="1" customFormat="false" ht="19.5" hidden="false" customHeight="true" outlineLevel="0" collapsed="false">
      <c r="A1" s="8" t="s">
        <v>227</v>
      </c>
    </row>
    <row r="2" customFormat="false" ht="15" hidden="false" customHeight="true" outlineLevel="0" collapsed="false">
      <c r="A2" s="9" t="s">
        <v>26</v>
      </c>
    </row>
    <row r="4" customFormat="false" ht="19.5" hidden="false" customHeight="true" outlineLevel="0" collapsed="false">
      <c r="A4" s="10" t="s">
        <v>228</v>
      </c>
      <c r="B4" s="10"/>
    </row>
    <row r="5" customFormat="false" ht="34.5" hidden="false" customHeight="true" outlineLevel="0" collapsed="false">
      <c r="A5" s="6" t="s">
        <v>229</v>
      </c>
      <c r="B5" s="7" t="str">
        <f aca="false">"In the front contract: "&amp;TEXT(Basis_Analysis!F18,"0.0%")&amp;" of contracts traded, against "&amp;TEXT(Basis_Analysis!F19,"0.0%")&amp;" for next month and "&amp;TEXT(Basis_Analysis!F20,"0.0%")&amp;" for far month."</f>
        <v>In the front contract: 79.3% of contracts traded, against 18.3% for next month and 2.4% for far month.</v>
      </c>
    </row>
    <row r="6" customFormat="false" ht="49.5" hidden="false" customHeight="true" outlineLevel="0" collapsed="false">
      <c r="A6" s="6" t="s">
        <v>230</v>
      </c>
      <c r="B6" s="7" t="str">
        <f aca="false">"It follows cost of carry: larger for longer tenors, narrowing steadily into expiry, and about "&amp;TEXT(Basis_Analysis!B4,"0.0%")&amp;" annualised for near-month contracts. Near-month basis averaged about "&amp;TEXT(AVERAGE(Monthly_Summary!I2:I9),"0")&amp;" points in Jan–Aug and "&amp;TEXT(AVERAGE(Monthly_Summary!I10:I13),"0")&amp;" points in Sep–Dec; the data alone cannot explain that shift."</f>
        <v>It follows cost of carry: larger for longer tenors, narrowing steadily into expiry, and about 6.9% annualised for near-month contracts. Near-month basis averaged about 58 points in Jan–Aug and 88 points in Sep–Dec; the data alone cannot explain that shift.</v>
      </c>
    </row>
    <row r="7" customFormat="false" ht="34.5" hidden="false" customHeight="true" outlineLevel="0" collapsed="false">
      <c r="A7" s="6" t="s">
        <v>231</v>
      </c>
      <c r="B7" s="7" t="str">
        <f aca="false">"On a regular cycle, mostly in the final week before expiry: the near-month share of near+next open interest is "&amp;TEXT(Basis_Analysis!J13,"0%")&amp;" at 21+ days, "&amp;TEXT(Basis_Analysis!J10,"0%")&amp;" at 6–10 days and "&amp;TEXT(Basis_Analysis!J8,"0%")&amp;" on expiry day."</f>
        <v>On a regular cycle, mostly in the final week before expiry: the near-month share of near+next open interest is 91% at 21+ days, 78% at 6–10 days and 23% on expiry day.</v>
      </c>
    </row>
    <row r="8" customFormat="false" ht="49.5" hidden="false" customHeight="true" outlineLevel="0" collapsed="false">
      <c r="A8" s="6" t="s">
        <v>232</v>
      </c>
      <c r="B8" s="7" t="str">
        <f aca="false">"Not reliably. Next-day close was higher after "&amp;TEXT(MIN(OI_Interpretation_Summary!E13:E16),"0%")&amp;" to "&amp;TEXT(MAX(OI_Interpretation_Summary!E13:E16),"0%")&amp;" of labelled days (all labels: "&amp;TEXT(OI_Interpretation_Summary!E17,"0%")&amp;"), on "&amp;TEXT(MIN(OI_Interpretation_Summary!B13:B16),"0")&amp;" to "&amp;TEXT(MAX(OI_Interpretation_Summary!B13:B16),"0")&amp;" observations per label. The labels describe the day rather than forecast the next."</f>
        <v>Not reliably. Next-day close was higher after 40% to 51% of labelled days (all labels: 46%), on 25 to 67 observations per label. The labels describe the day rather than forecast the next.</v>
      </c>
    </row>
    <row r="10" customFormat="false" ht="19.5" hidden="false" customHeight="true" outlineLevel="0" collapsed="false">
      <c r="A10" s="10" t="s">
        <v>233</v>
      </c>
      <c r="B10" s="10"/>
    </row>
    <row r="11" customFormat="false" ht="49.5" hidden="false" customHeight="true" outlineLevel="0" collapsed="false">
      <c r="A11" s="6" t="s">
        <v>234</v>
      </c>
      <c r="B11" s="7" t="s">
        <v>235</v>
      </c>
    </row>
    <row r="12" customFormat="false" ht="34.5" hidden="false" customHeight="true" outlineLevel="0" collapsed="false">
      <c r="A12" s="6" t="s">
        <v>236</v>
      </c>
      <c r="B12" s="7" t="s">
        <v>237</v>
      </c>
    </row>
    <row r="13" customFormat="false" ht="34.5" hidden="false" customHeight="true" outlineLevel="0" collapsed="false">
      <c r="A13" s="6" t="s">
        <v>238</v>
      </c>
      <c r="B13" s="7" t="s">
        <v>239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true" zeroHeight="false" outlineLevelRow="0" outlineLevelCol="0"/>
  <cols>
    <col collapsed="false" customWidth="true" hidden="false" outlineLevel="0" max="9" min="1" style="1" width="20"/>
    <col collapsed="false" customWidth="true" hidden="false" outlineLevel="0" max="11" min="11" style="1" width="60"/>
  </cols>
  <sheetData>
    <row r="1" customFormat="false" ht="31.5" hidden="false" customHeight="true" outlineLevel="0" collapsed="false">
      <c r="A1" s="5" t="s">
        <v>240</v>
      </c>
      <c r="B1" s="5" t="s">
        <v>241</v>
      </c>
      <c r="C1" s="5" t="s">
        <v>242</v>
      </c>
      <c r="D1" s="5" t="s">
        <v>243</v>
      </c>
      <c r="E1" s="5" t="s">
        <v>244</v>
      </c>
      <c r="F1" s="5" t="s">
        <v>245</v>
      </c>
      <c r="G1" s="5" t="s">
        <v>246</v>
      </c>
      <c r="H1" s="5" t="s">
        <v>247</v>
      </c>
      <c r="I1" s="5" t="s">
        <v>248</v>
      </c>
      <c r="K1" s="38" t="s">
        <v>249</v>
      </c>
    </row>
    <row r="2" customFormat="false" ht="15" hidden="false" customHeight="true" outlineLevel="0" collapsed="false">
      <c r="A2" s="39" t="n">
        <v>45658</v>
      </c>
      <c r="B2" s="39" t="n">
        <f aca="false">_xlfn.MINIFS(Cleaned_Futures_Data!$C$2:$C$756,Cleaned_Futures_Data!$B$2:$B$756,A2)</f>
        <v>45687</v>
      </c>
      <c r="C2" s="40" t="n">
        <f aca="false">B2-A2</f>
        <v>29</v>
      </c>
      <c r="D2" s="41" t="n">
        <f aca="false">IFERROR(AVERAGEIFS(Cleaned_Futures_Data!$G$2:$G$756,Cleaned_Futures_Data!$B$2:$B$756,A2,Cleaned_Futures_Data!$W$2:$W$756,1),"")</f>
        <v>23897.85</v>
      </c>
      <c r="E2" s="41" t="n">
        <f aca="false">IFERROR(AVERAGEIFS(Cleaned_Futures_Data!$N$2:$N$756,Cleaned_Futures_Data!$B$2:$B$756,A2,Cleaned_Futures_Data!$W$2:$W$756,1),"")</f>
        <v>23742.9</v>
      </c>
      <c r="F2" s="42" t="n">
        <f aca="false">IF(AND(ISNUMBER(D2),ISNUMBER(E2)),D2-E2,"")</f>
        <v>154.949999999997</v>
      </c>
      <c r="G2" s="43" t="n">
        <f aca="false">SUMIFS(Cleaned_Futures_Data!$J$2:$J$756,Cleaned_Futures_Data!$B$2:$B$756,A2,Cleaned_Futures_Data!$W$2:$W$756,1)</f>
        <v>175729</v>
      </c>
      <c r="H2" s="43" t="n">
        <f aca="false">SUMIFS(Cleaned_Futures_Data!$L$2:$L$756,Cleaned_Futures_Data!$B$2:$B$756,A2,Cleaned_Futures_Data!$W$2:$W$756,1)</f>
        <v>13270450</v>
      </c>
      <c r="I2" s="43" t="n">
        <f aca="false">SUMIFS(Cleaned_Futures_Data!$J$2:$J$756,Cleaned_Futures_Data!$B$2:$B$756,A2)</f>
        <v>179798</v>
      </c>
    </row>
    <row r="3" customFormat="false" ht="15" hidden="false" customHeight="true" outlineLevel="0" collapsed="false">
      <c r="A3" s="39" t="n">
        <v>45659</v>
      </c>
      <c r="B3" s="39" t="n">
        <f aca="false">_xlfn.MINIFS(Cleaned_Futures_Data!$C$2:$C$756,Cleaned_Futures_Data!$B$2:$B$756,A3)</f>
        <v>45687</v>
      </c>
      <c r="C3" s="40" t="n">
        <f aca="false">B3-A3</f>
        <v>28</v>
      </c>
      <c r="D3" s="41" t="n">
        <f aca="false">IFERROR(AVERAGEIFS(Cleaned_Futures_Data!$G$2:$G$756,Cleaned_Futures_Data!$B$2:$B$756,A3,Cleaned_Futures_Data!$W$2:$W$756,1),"")</f>
        <v>24282.65</v>
      </c>
      <c r="E3" s="41" t="n">
        <f aca="false">IFERROR(AVERAGEIFS(Cleaned_Futures_Data!$N$2:$N$756,Cleaned_Futures_Data!$B$2:$B$756,A3,Cleaned_Futures_Data!$W$2:$W$756,1),"")</f>
        <v>24188.65</v>
      </c>
      <c r="F3" s="42" t="n">
        <f aca="false">IF(AND(ISNUMBER(D3),ISNUMBER(E3)),D3-E3,"")</f>
        <v>94</v>
      </c>
      <c r="G3" s="43" t="n">
        <f aca="false">SUMIFS(Cleaned_Futures_Data!$J$2:$J$756,Cleaned_Futures_Data!$B$2:$B$756,A3,Cleaned_Futures_Data!$W$2:$W$756,1)</f>
        <v>339021</v>
      </c>
      <c r="H3" s="43" t="n">
        <f aca="false">SUMIFS(Cleaned_Futures_Data!$L$2:$L$756,Cleaned_Futures_Data!$B$2:$B$756,A3,Cleaned_Futures_Data!$W$2:$W$756,1)</f>
        <v>12424650</v>
      </c>
      <c r="I3" s="43" t="n">
        <f aca="false">SUMIFS(Cleaned_Futures_Data!$J$2:$J$756,Cleaned_Futures_Data!$B$2:$B$756,A3)</f>
        <v>348685</v>
      </c>
    </row>
    <row r="4" customFormat="false" ht="15" hidden="false" customHeight="true" outlineLevel="0" collapsed="false">
      <c r="A4" s="39" t="n">
        <v>45660</v>
      </c>
      <c r="B4" s="39" t="n">
        <f aca="false">_xlfn.MINIFS(Cleaned_Futures_Data!$C$2:$C$756,Cleaned_Futures_Data!$B$2:$B$756,A4)</f>
        <v>45687</v>
      </c>
      <c r="C4" s="40" t="n">
        <f aca="false">B4-A4</f>
        <v>27</v>
      </c>
      <c r="D4" s="41" t="n">
        <f aca="false">IFERROR(AVERAGEIFS(Cleaned_Futures_Data!$G$2:$G$756,Cleaned_Futures_Data!$B$2:$B$756,A4,Cleaned_Futures_Data!$W$2:$W$756,1),"")</f>
        <v>24092.4</v>
      </c>
      <c r="E4" s="41" t="n">
        <f aca="false">IFERROR(AVERAGEIFS(Cleaned_Futures_Data!$N$2:$N$756,Cleaned_Futures_Data!$B$2:$B$756,A4,Cleaned_Futures_Data!$W$2:$W$756,1),"")</f>
        <v>24004.75</v>
      </c>
      <c r="F4" s="42" t="n">
        <f aca="false">IF(AND(ISNUMBER(D4),ISNUMBER(E4)),D4-E4,"")</f>
        <v>87.6500000000015</v>
      </c>
      <c r="G4" s="43" t="n">
        <f aca="false">SUMIFS(Cleaned_Futures_Data!$J$2:$J$756,Cleaned_Futures_Data!$B$2:$B$756,A4,Cleaned_Futures_Data!$W$2:$W$756,1)</f>
        <v>262004</v>
      </c>
      <c r="H4" s="43" t="n">
        <f aca="false">SUMIFS(Cleaned_Futures_Data!$L$2:$L$756,Cleaned_Futures_Data!$B$2:$B$756,A4,Cleaned_Futures_Data!$W$2:$W$756,1)</f>
        <v>12608625</v>
      </c>
      <c r="I4" s="43" t="n">
        <f aca="false">SUMIFS(Cleaned_Futures_Data!$J$2:$J$756,Cleaned_Futures_Data!$B$2:$B$756,A4)</f>
        <v>269783</v>
      </c>
    </row>
    <row r="5" customFormat="false" ht="15" hidden="false" customHeight="true" outlineLevel="0" collapsed="false">
      <c r="A5" s="39" t="n">
        <v>45663</v>
      </c>
      <c r="B5" s="39" t="n">
        <f aca="false">_xlfn.MINIFS(Cleaned_Futures_Data!$C$2:$C$756,Cleaned_Futures_Data!$B$2:$B$756,A5)</f>
        <v>45687</v>
      </c>
      <c r="C5" s="40" t="n">
        <f aca="false">B5-A5</f>
        <v>24</v>
      </c>
      <c r="D5" s="41" t="n">
        <f aca="false">IFERROR(AVERAGEIFS(Cleaned_Futures_Data!$G$2:$G$756,Cleaned_Futures_Data!$B$2:$B$756,A5,Cleaned_Futures_Data!$W$2:$W$756,1),"")</f>
        <v>23721.05</v>
      </c>
      <c r="E5" s="41" t="n">
        <f aca="false">IFERROR(AVERAGEIFS(Cleaned_Futures_Data!$N$2:$N$756,Cleaned_Futures_Data!$B$2:$B$756,A5,Cleaned_Futures_Data!$W$2:$W$756,1),"")</f>
        <v>23616.05</v>
      </c>
      <c r="F5" s="42" t="n">
        <f aca="false">IF(AND(ISNUMBER(D5),ISNUMBER(E5)),D5-E5,"")</f>
        <v>105</v>
      </c>
      <c r="G5" s="43" t="n">
        <f aca="false">SUMIFS(Cleaned_Futures_Data!$J$2:$J$756,Cleaned_Futures_Data!$B$2:$B$756,A5,Cleaned_Futures_Data!$W$2:$W$756,1)</f>
        <v>381394</v>
      </c>
      <c r="H5" s="43" t="n">
        <f aca="false">SUMIFS(Cleaned_Futures_Data!$L$2:$L$756,Cleaned_Futures_Data!$B$2:$B$756,A5,Cleaned_Futures_Data!$W$2:$W$756,1)</f>
        <v>12439200</v>
      </c>
      <c r="I5" s="43" t="n">
        <f aca="false">SUMIFS(Cleaned_Futures_Data!$J$2:$J$756,Cleaned_Futures_Data!$B$2:$B$756,A5)</f>
        <v>394700</v>
      </c>
    </row>
    <row r="6" customFormat="false" ht="15" hidden="false" customHeight="true" outlineLevel="0" collapsed="false">
      <c r="A6" s="39" t="n">
        <v>45664</v>
      </c>
      <c r="B6" s="39" t="n">
        <f aca="false">_xlfn.MINIFS(Cleaned_Futures_Data!$C$2:$C$756,Cleaned_Futures_Data!$B$2:$B$756,A6)</f>
        <v>45687</v>
      </c>
      <c r="C6" s="40" t="n">
        <f aca="false">B6-A6</f>
        <v>23</v>
      </c>
      <c r="D6" s="41" t="n">
        <f aca="false">IFERROR(AVERAGEIFS(Cleaned_Futures_Data!$G$2:$G$756,Cleaned_Futures_Data!$B$2:$B$756,A6,Cleaned_Futures_Data!$W$2:$W$756,1),"")</f>
        <v>23795.05</v>
      </c>
      <c r="E6" s="41" t="n">
        <f aca="false">IFERROR(AVERAGEIFS(Cleaned_Futures_Data!$N$2:$N$756,Cleaned_Futures_Data!$B$2:$B$756,A6,Cleaned_Futures_Data!$W$2:$W$756,1),"")</f>
        <v>23707.9</v>
      </c>
      <c r="F6" s="42" t="n">
        <f aca="false">IF(AND(ISNUMBER(D6),ISNUMBER(E6)),D6-E6,"")</f>
        <v>87.1499999999978</v>
      </c>
      <c r="G6" s="43" t="n">
        <f aca="false">SUMIFS(Cleaned_Futures_Data!$J$2:$J$756,Cleaned_Futures_Data!$B$2:$B$756,A6,Cleaned_Futures_Data!$W$2:$W$756,1)</f>
        <v>170033</v>
      </c>
      <c r="H6" s="43" t="n">
        <f aca="false">SUMIFS(Cleaned_Futures_Data!$L$2:$L$756,Cleaned_Futures_Data!$B$2:$B$756,A6,Cleaned_Futures_Data!$W$2:$W$756,1)</f>
        <v>12651100</v>
      </c>
      <c r="I6" s="43" t="n">
        <f aca="false">SUMIFS(Cleaned_Futures_Data!$J$2:$J$756,Cleaned_Futures_Data!$B$2:$B$756,A6)</f>
        <v>177038</v>
      </c>
    </row>
    <row r="7" customFormat="false" ht="15" hidden="false" customHeight="true" outlineLevel="0" collapsed="false">
      <c r="A7" s="39" t="n">
        <v>45665</v>
      </c>
      <c r="B7" s="39" t="n">
        <f aca="false">_xlfn.MINIFS(Cleaned_Futures_Data!$C$2:$C$756,Cleaned_Futures_Data!$B$2:$B$756,A7)</f>
        <v>45687</v>
      </c>
      <c r="C7" s="40" t="n">
        <f aca="false">B7-A7</f>
        <v>22</v>
      </c>
      <c r="D7" s="41" t="n">
        <f aca="false">IFERROR(AVERAGEIFS(Cleaned_Futures_Data!$G$2:$G$756,Cleaned_Futures_Data!$B$2:$B$756,A7,Cleaned_Futures_Data!$W$2:$W$756,1),"")</f>
        <v>23781.35</v>
      </c>
      <c r="E7" s="41" t="n">
        <f aca="false">IFERROR(AVERAGEIFS(Cleaned_Futures_Data!$N$2:$N$756,Cleaned_Futures_Data!$B$2:$B$756,A7,Cleaned_Futures_Data!$W$2:$W$756,1),"")</f>
        <v>23688.95</v>
      </c>
      <c r="F7" s="42" t="n">
        <f aca="false">IF(AND(ISNUMBER(D7),ISNUMBER(E7)),D7-E7,"")</f>
        <v>92.3999999999978</v>
      </c>
      <c r="G7" s="43" t="n">
        <f aca="false">SUMIFS(Cleaned_Futures_Data!$J$2:$J$756,Cleaned_Futures_Data!$B$2:$B$756,A7,Cleaned_Futures_Data!$W$2:$W$756,1)</f>
        <v>237903</v>
      </c>
      <c r="H7" s="43" t="n">
        <f aca="false">SUMIFS(Cleaned_Futures_Data!$L$2:$L$756,Cleaned_Futures_Data!$B$2:$B$756,A7,Cleaned_Futures_Data!$W$2:$W$756,1)</f>
        <v>12927575</v>
      </c>
      <c r="I7" s="43" t="n">
        <f aca="false">SUMIFS(Cleaned_Futures_Data!$J$2:$J$756,Cleaned_Futures_Data!$B$2:$B$756,A7)</f>
        <v>248848</v>
      </c>
    </row>
    <row r="8" customFormat="false" ht="15" hidden="false" customHeight="true" outlineLevel="0" collapsed="false">
      <c r="A8" s="39" t="n">
        <v>45666</v>
      </c>
      <c r="B8" s="39" t="n">
        <f aca="false">_xlfn.MINIFS(Cleaned_Futures_Data!$C$2:$C$756,Cleaned_Futures_Data!$B$2:$B$756,A8)</f>
        <v>45687</v>
      </c>
      <c r="C8" s="40" t="n">
        <f aca="false">B8-A8</f>
        <v>21</v>
      </c>
      <c r="D8" s="41" t="n">
        <f aca="false">IFERROR(AVERAGEIFS(Cleaned_Futures_Data!$G$2:$G$756,Cleaned_Futures_Data!$B$2:$B$756,A8,Cleaned_Futures_Data!$W$2:$W$756,1),"")</f>
        <v>23648.1</v>
      </c>
      <c r="E8" s="41" t="n">
        <f aca="false">IFERROR(AVERAGEIFS(Cleaned_Futures_Data!$N$2:$N$756,Cleaned_Futures_Data!$B$2:$B$756,A8,Cleaned_Futures_Data!$W$2:$W$756,1),"")</f>
        <v>23526.5</v>
      </c>
      <c r="F8" s="42" t="n">
        <f aca="false">IF(AND(ISNUMBER(D8),ISNUMBER(E8)),D8-E8,"")</f>
        <v>121.599999999999</v>
      </c>
      <c r="G8" s="43" t="n">
        <f aca="false">SUMIFS(Cleaned_Futures_Data!$J$2:$J$756,Cleaned_Futures_Data!$B$2:$B$756,A8,Cleaned_Futures_Data!$W$2:$W$756,1)</f>
        <v>182951</v>
      </c>
      <c r="H8" s="43" t="n">
        <f aca="false">SUMIFS(Cleaned_Futures_Data!$L$2:$L$756,Cleaned_Futures_Data!$B$2:$B$756,A8,Cleaned_Futures_Data!$W$2:$W$756,1)</f>
        <v>13641200</v>
      </c>
      <c r="I8" s="43" t="n">
        <f aca="false">SUMIFS(Cleaned_Futures_Data!$J$2:$J$756,Cleaned_Futures_Data!$B$2:$B$756,A8)</f>
        <v>191468</v>
      </c>
    </row>
    <row r="9" customFormat="false" ht="15" hidden="false" customHeight="true" outlineLevel="0" collapsed="false">
      <c r="A9" s="39" t="n">
        <v>45667</v>
      </c>
      <c r="B9" s="39" t="n">
        <f aca="false">_xlfn.MINIFS(Cleaned_Futures_Data!$C$2:$C$756,Cleaned_Futures_Data!$B$2:$B$756,A9)</f>
        <v>45687</v>
      </c>
      <c r="C9" s="40" t="n">
        <f aca="false">B9-A9</f>
        <v>20</v>
      </c>
      <c r="D9" s="41" t="n">
        <f aca="false">IFERROR(AVERAGEIFS(Cleaned_Futures_Data!$G$2:$G$756,Cleaned_Futures_Data!$B$2:$B$756,A9,Cleaned_Futures_Data!$W$2:$W$756,1),"")</f>
        <v>23500.65</v>
      </c>
      <c r="E9" s="41" t="n">
        <f aca="false">IFERROR(AVERAGEIFS(Cleaned_Futures_Data!$N$2:$N$756,Cleaned_Futures_Data!$B$2:$B$756,A9,Cleaned_Futures_Data!$W$2:$W$756,1),"")</f>
        <v>23431.5</v>
      </c>
      <c r="F9" s="42" t="n">
        <f aca="false">IF(AND(ISNUMBER(D9),ISNUMBER(E9)),D9-E9,"")</f>
        <v>69.1500000000015</v>
      </c>
      <c r="G9" s="43" t="n">
        <f aca="false">SUMIFS(Cleaned_Futures_Data!$J$2:$J$756,Cleaned_Futures_Data!$B$2:$B$756,A9,Cleaned_Futures_Data!$W$2:$W$756,1)</f>
        <v>261703</v>
      </c>
      <c r="H9" s="43" t="n">
        <f aca="false">SUMIFS(Cleaned_Futures_Data!$L$2:$L$756,Cleaned_Futures_Data!$B$2:$B$756,A9,Cleaned_Futures_Data!$W$2:$W$756,1)</f>
        <v>13543325</v>
      </c>
      <c r="I9" s="43" t="n">
        <f aca="false">SUMIFS(Cleaned_Futures_Data!$J$2:$J$756,Cleaned_Futures_Data!$B$2:$B$756,A9)</f>
        <v>277229</v>
      </c>
    </row>
    <row r="10" customFormat="false" ht="15" hidden="false" customHeight="true" outlineLevel="0" collapsed="false">
      <c r="A10" s="39" t="n">
        <v>45670</v>
      </c>
      <c r="B10" s="39" t="n">
        <f aca="false">_xlfn.MINIFS(Cleaned_Futures_Data!$C$2:$C$756,Cleaned_Futures_Data!$B$2:$B$756,A10)</f>
        <v>45687</v>
      </c>
      <c r="C10" s="40" t="n">
        <f aca="false">B10-A10</f>
        <v>17</v>
      </c>
      <c r="D10" s="41" t="n">
        <f aca="false">IFERROR(AVERAGEIFS(Cleaned_Futures_Data!$G$2:$G$756,Cleaned_Futures_Data!$B$2:$B$756,A10,Cleaned_Futures_Data!$W$2:$W$756,1),"")</f>
        <v>23162.1</v>
      </c>
      <c r="E10" s="41" t="n">
        <f aca="false">IFERROR(AVERAGEIFS(Cleaned_Futures_Data!$N$2:$N$756,Cleaned_Futures_Data!$B$2:$B$756,A10,Cleaned_Futures_Data!$W$2:$W$756,1),"")</f>
        <v>23085.95</v>
      </c>
      <c r="F10" s="42" t="n">
        <f aca="false">IF(AND(ISNUMBER(D10),ISNUMBER(E10)),D10-E10,"")</f>
        <v>76.1499999999978</v>
      </c>
      <c r="G10" s="43" t="n">
        <f aca="false">SUMIFS(Cleaned_Futures_Data!$J$2:$J$756,Cleaned_Futures_Data!$B$2:$B$756,A10,Cleaned_Futures_Data!$W$2:$W$756,1)</f>
        <v>278782</v>
      </c>
      <c r="H10" s="43" t="n">
        <f aca="false">SUMIFS(Cleaned_Futures_Data!$L$2:$L$756,Cleaned_Futures_Data!$B$2:$B$756,A10,Cleaned_Futures_Data!$W$2:$W$756,1)</f>
        <v>13866925</v>
      </c>
      <c r="I10" s="43" t="n">
        <f aca="false">SUMIFS(Cleaned_Futures_Data!$J$2:$J$756,Cleaned_Futures_Data!$B$2:$B$756,A10)</f>
        <v>297053</v>
      </c>
    </row>
    <row r="11" customFormat="false" ht="15" hidden="false" customHeight="true" outlineLevel="0" collapsed="false">
      <c r="A11" s="39" t="n">
        <v>45671</v>
      </c>
      <c r="B11" s="39" t="n">
        <f aca="false">_xlfn.MINIFS(Cleaned_Futures_Data!$C$2:$C$756,Cleaned_Futures_Data!$B$2:$B$756,A11)</f>
        <v>45687</v>
      </c>
      <c r="C11" s="40" t="n">
        <f aca="false">B11-A11</f>
        <v>16</v>
      </c>
      <c r="D11" s="41" t="n">
        <f aca="false">IFERROR(AVERAGEIFS(Cleaned_Futures_Data!$G$2:$G$756,Cleaned_Futures_Data!$B$2:$B$756,A11,Cleaned_Futures_Data!$W$2:$W$756,1),"")</f>
        <v>23271.75</v>
      </c>
      <c r="E11" s="41" t="n">
        <f aca="false">IFERROR(AVERAGEIFS(Cleaned_Futures_Data!$N$2:$N$756,Cleaned_Futures_Data!$B$2:$B$756,A11,Cleaned_Futures_Data!$W$2:$W$756,1),"")</f>
        <v>23176.05</v>
      </c>
      <c r="F11" s="42" t="n">
        <f aca="false">IF(AND(ISNUMBER(D11),ISNUMBER(E11)),D11-E11,"")</f>
        <v>95.7000000000007</v>
      </c>
      <c r="G11" s="43" t="n">
        <f aca="false">SUMIFS(Cleaned_Futures_Data!$J$2:$J$756,Cleaned_Futures_Data!$B$2:$B$756,A11,Cleaned_Futures_Data!$W$2:$W$756,1)</f>
        <v>194699</v>
      </c>
      <c r="H11" s="43" t="n">
        <f aca="false">SUMIFS(Cleaned_Futures_Data!$L$2:$L$756,Cleaned_Futures_Data!$B$2:$B$756,A11,Cleaned_Futures_Data!$W$2:$W$756,1)</f>
        <v>13753850</v>
      </c>
      <c r="I11" s="43" t="n">
        <f aca="false">SUMIFS(Cleaned_Futures_Data!$J$2:$J$756,Cleaned_Futures_Data!$B$2:$B$756,A11)</f>
        <v>207552</v>
      </c>
    </row>
    <row r="12" customFormat="false" ht="15" hidden="false" customHeight="true" outlineLevel="0" collapsed="false">
      <c r="A12" s="39" t="n">
        <v>45672</v>
      </c>
      <c r="B12" s="39" t="n">
        <f aca="false">_xlfn.MINIFS(Cleaned_Futures_Data!$C$2:$C$756,Cleaned_Futures_Data!$B$2:$B$756,A12)</f>
        <v>45687</v>
      </c>
      <c r="C12" s="40" t="n">
        <f aca="false">B12-A12</f>
        <v>15</v>
      </c>
      <c r="D12" s="41" t="n">
        <f aca="false">IFERROR(AVERAGEIFS(Cleaned_Futures_Data!$G$2:$G$756,Cleaned_Futures_Data!$B$2:$B$756,A12,Cleaned_Futures_Data!$W$2:$W$756,1),"")</f>
        <v>23265.9</v>
      </c>
      <c r="E12" s="41" t="n">
        <f aca="false">IFERROR(AVERAGEIFS(Cleaned_Futures_Data!$N$2:$N$756,Cleaned_Futures_Data!$B$2:$B$756,A12,Cleaned_Futures_Data!$W$2:$W$756,1),"")</f>
        <v>23213.2</v>
      </c>
      <c r="F12" s="42" t="n">
        <f aca="false">IF(AND(ISNUMBER(D12),ISNUMBER(E12)),D12-E12,"")</f>
        <v>52.7000000000007</v>
      </c>
      <c r="G12" s="43" t="n">
        <f aca="false">SUMIFS(Cleaned_Futures_Data!$J$2:$J$756,Cleaned_Futures_Data!$B$2:$B$756,A12,Cleaned_Futures_Data!$W$2:$W$756,1)</f>
        <v>143790</v>
      </c>
      <c r="H12" s="43" t="n">
        <f aca="false">SUMIFS(Cleaned_Futures_Data!$L$2:$L$756,Cleaned_Futures_Data!$B$2:$B$756,A12,Cleaned_Futures_Data!$W$2:$W$756,1)</f>
        <v>13536300</v>
      </c>
      <c r="I12" s="43" t="n">
        <f aca="false">SUMIFS(Cleaned_Futures_Data!$J$2:$J$756,Cleaned_Futures_Data!$B$2:$B$756,A12)</f>
        <v>150371</v>
      </c>
    </row>
    <row r="13" customFormat="false" ht="15" hidden="false" customHeight="true" outlineLevel="0" collapsed="false">
      <c r="A13" s="39" t="n">
        <v>45673</v>
      </c>
      <c r="B13" s="39" t="n">
        <f aca="false">_xlfn.MINIFS(Cleaned_Futures_Data!$C$2:$C$756,Cleaned_Futures_Data!$B$2:$B$756,A13)</f>
        <v>45687</v>
      </c>
      <c r="C13" s="40" t="n">
        <f aca="false">B13-A13</f>
        <v>14</v>
      </c>
      <c r="D13" s="41" t="n">
        <f aca="false">IFERROR(AVERAGEIFS(Cleaned_Futures_Data!$G$2:$G$756,Cleaned_Futures_Data!$B$2:$B$756,A13,Cleaned_Futures_Data!$W$2:$W$756,1),"")</f>
        <v>23377.55</v>
      </c>
      <c r="E13" s="41" t="n">
        <f aca="false">IFERROR(AVERAGEIFS(Cleaned_Futures_Data!$N$2:$N$756,Cleaned_Futures_Data!$B$2:$B$756,A13,Cleaned_Futures_Data!$W$2:$W$756,1),"")</f>
        <v>23311.8</v>
      </c>
      <c r="F13" s="42" t="n">
        <f aca="false">IF(AND(ISNUMBER(D13),ISNUMBER(E13)),D13-E13,"")</f>
        <v>65.75</v>
      </c>
      <c r="G13" s="43" t="n">
        <f aca="false">SUMIFS(Cleaned_Futures_Data!$J$2:$J$756,Cleaned_Futures_Data!$B$2:$B$756,A13,Cleaned_Futures_Data!$W$2:$W$756,1)</f>
        <v>171198</v>
      </c>
      <c r="H13" s="43" t="n">
        <f aca="false">SUMIFS(Cleaned_Futures_Data!$L$2:$L$756,Cleaned_Futures_Data!$B$2:$B$756,A13,Cleaned_Futures_Data!$W$2:$W$756,1)</f>
        <v>13500850</v>
      </c>
      <c r="I13" s="43" t="n">
        <f aca="false">SUMIFS(Cleaned_Futures_Data!$J$2:$J$756,Cleaned_Futures_Data!$B$2:$B$756,A13)</f>
        <v>181490</v>
      </c>
    </row>
    <row r="14" customFormat="false" ht="15" hidden="false" customHeight="true" outlineLevel="0" collapsed="false">
      <c r="A14" s="39" t="n">
        <v>45674</v>
      </c>
      <c r="B14" s="39" t="n">
        <f aca="false">_xlfn.MINIFS(Cleaned_Futures_Data!$C$2:$C$756,Cleaned_Futures_Data!$B$2:$B$756,A14)</f>
        <v>45687</v>
      </c>
      <c r="C14" s="40" t="n">
        <f aca="false">B14-A14</f>
        <v>13</v>
      </c>
      <c r="D14" s="41" t="n">
        <f aca="false">IFERROR(AVERAGEIFS(Cleaned_Futures_Data!$G$2:$G$756,Cleaned_Futures_Data!$B$2:$B$756,A14,Cleaned_Futures_Data!$W$2:$W$756,1),"")</f>
        <v>23267.2</v>
      </c>
      <c r="E14" s="41" t="n">
        <f aca="false">IFERROR(AVERAGEIFS(Cleaned_Futures_Data!$N$2:$N$756,Cleaned_Futures_Data!$B$2:$B$756,A14,Cleaned_Futures_Data!$W$2:$W$756,1),"")</f>
        <v>23203.2</v>
      </c>
      <c r="F14" s="42" t="n">
        <f aca="false">IF(AND(ISNUMBER(D14),ISNUMBER(E14)),D14-E14,"")</f>
        <v>64</v>
      </c>
      <c r="G14" s="43" t="n">
        <f aca="false">SUMIFS(Cleaned_Futures_Data!$J$2:$J$756,Cleaned_Futures_Data!$B$2:$B$756,A14,Cleaned_Futures_Data!$W$2:$W$756,1)</f>
        <v>218388</v>
      </c>
      <c r="H14" s="43" t="n">
        <f aca="false">SUMIFS(Cleaned_Futures_Data!$L$2:$L$756,Cleaned_Futures_Data!$B$2:$B$756,A14,Cleaned_Futures_Data!$W$2:$W$756,1)</f>
        <v>14032150</v>
      </c>
      <c r="I14" s="43" t="n">
        <f aca="false">SUMIFS(Cleaned_Futures_Data!$J$2:$J$756,Cleaned_Futures_Data!$B$2:$B$756,A14)</f>
        <v>231014</v>
      </c>
    </row>
    <row r="15" customFormat="false" ht="15" hidden="false" customHeight="true" outlineLevel="0" collapsed="false">
      <c r="A15" s="39" t="n">
        <v>45677</v>
      </c>
      <c r="B15" s="39" t="n">
        <f aca="false">_xlfn.MINIFS(Cleaned_Futures_Data!$C$2:$C$756,Cleaned_Futures_Data!$B$2:$B$756,A15)</f>
        <v>45687</v>
      </c>
      <c r="C15" s="40" t="n">
        <f aca="false">B15-A15</f>
        <v>10</v>
      </c>
      <c r="D15" s="41" t="n">
        <f aca="false">IFERROR(AVERAGEIFS(Cleaned_Futures_Data!$G$2:$G$756,Cleaned_Futures_Data!$B$2:$B$756,A15,Cleaned_Futures_Data!$W$2:$W$756,1),"")</f>
        <v>23400.2</v>
      </c>
      <c r="E15" s="41" t="n">
        <f aca="false">IFERROR(AVERAGEIFS(Cleaned_Futures_Data!$N$2:$N$756,Cleaned_Futures_Data!$B$2:$B$756,A15,Cleaned_Futures_Data!$W$2:$W$756,1),"")</f>
        <v>23344.75</v>
      </c>
      <c r="F15" s="42" t="n">
        <f aca="false">IF(AND(ISNUMBER(D15),ISNUMBER(E15)),D15-E15,"")</f>
        <v>55.4500000000007</v>
      </c>
      <c r="G15" s="43" t="n">
        <f aca="false">SUMIFS(Cleaned_Futures_Data!$J$2:$J$756,Cleaned_Futures_Data!$B$2:$B$756,A15,Cleaned_Futures_Data!$W$2:$W$756,1)</f>
        <v>163712</v>
      </c>
      <c r="H15" s="43" t="n">
        <f aca="false">SUMIFS(Cleaned_Futures_Data!$L$2:$L$756,Cleaned_Futures_Data!$B$2:$B$756,A15,Cleaned_Futures_Data!$W$2:$W$756,1)</f>
        <v>14133750</v>
      </c>
      <c r="I15" s="43" t="n">
        <f aca="false">SUMIFS(Cleaned_Futures_Data!$J$2:$J$756,Cleaned_Futures_Data!$B$2:$B$756,A15)</f>
        <v>172694</v>
      </c>
    </row>
    <row r="16" customFormat="false" ht="15" hidden="false" customHeight="true" outlineLevel="0" collapsed="false">
      <c r="A16" s="39" t="n">
        <v>45678</v>
      </c>
      <c r="B16" s="39" t="n">
        <f aca="false">_xlfn.MINIFS(Cleaned_Futures_Data!$C$2:$C$756,Cleaned_Futures_Data!$B$2:$B$756,A16)</f>
        <v>45687</v>
      </c>
      <c r="C16" s="40" t="n">
        <f aca="false">B16-A16</f>
        <v>9</v>
      </c>
      <c r="D16" s="41" t="n">
        <f aca="false">IFERROR(AVERAGEIFS(Cleaned_Futures_Data!$G$2:$G$756,Cleaned_Futures_Data!$B$2:$B$756,A16,Cleaned_Futures_Data!$W$2:$W$756,1),"")</f>
        <v>23103.2</v>
      </c>
      <c r="E16" s="41" t="n">
        <f aca="false">IFERROR(AVERAGEIFS(Cleaned_Futures_Data!$N$2:$N$756,Cleaned_Futures_Data!$B$2:$B$756,A16,Cleaned_Futures_Data!$W$2:$W$756,1),"")</f>
        <v>23024.65</v>
      </c>
      <c r="F16" s="42" t="n">
        <f aca="false">IF(AND(ISNUMBER(D16),ISNUMBER(E16)),D16-E16,"")</f>
        <v>78.5499999999993</v>
      </c>
      <c r="G16" s="43" t="n">
        <f aca="false">SUMIFS(Cleaned_Futures_Data!$J$2:$J$756,Cleaned_Futures_Data!$B$2:$B$756,A16,Cleaned_Futures_Data!$W$2:$W$756,1)</f>
        <v>388434</v>
      </c>
      <c r="H16" s="43" t="n">
        <f aca="false">SUMIFS(Cleaned_Futures_Data!$L$2:$L$756,Cleaned_Futures_Data!$B$2:$B$756,A16,Cleaned_Futures_Data!$W$2:$W$756,1)</f>
        <v>14572600</v>
      </c>
      <c r="I16" s="43" t="n">
        <f aca="false">SUMIFS(Cleaned_Futures_Data!$J$2:$J$756,Cleaned_Futures_Data!$B$2:$B$756,A16)</f>
        <v>417221</v>
      </c>
    </row>
    <row r="17" customFormat="false" ht="15" hidden="false" customHeight="true" outlineLevel="0" collapsed="false">
      <c r="A17" s="39" t="n">
        <v>45679</v>
      </c>
      <c r="B17" s="39" t="n">
        <f aca="false">_xlfn.MINIFS(Cleaned_Futures_Data!$C$2:$C$756,Cleaned_Futures_Data!$B$2:$B$756,A17)</f>
        <v>45687</v>
      </c>
      <c r="C17" s="40" t="n">
        <f aca="false">B17-A17</f>
        <v>8</v>
      </c>
      <c r="D17" s="41" t="n">
        <f aca="false">IFERROR(AVERAGEIFS(Cleaned_Futures_Data!$G$2:$G$756,Cleaned_Futures_Data!$B$2:$B$756,A17,Cleaned_Futures_Data!$W$2:$W$756,1),"")</f>
        <v>23198.95</v>
      </c>
      <c r="E17" s="41" t="n">
        <f aca="false">IFERROR(AVERAGEIFS(Cleaned_Futures_Data!$N$2:$N$756,Cleaned_Futures_Data!$B$2:$B$756,A17,Cleaned_Futures_Data!$W$2:$W$756,1),"")</f>
        <v>23155.35</v>
      </c>
      <c r="F17" s="42" t="n">
        <f aca="false">IF(AND(ISNUMBER(D17),ISNUMBER(E17)),D17-E17,"")</f>
        <v>43.6000000000022</v>
      </c>
      <c r="G17" s="43" t="n">
        <f aca="false">SUMIFS(Cleaned_Futures_Data!$J$2:$J$756,Cleaned_Futures_Data!$B$2:$B$756,A17,Cleaned_Futures_Data!$W$2:$W$756,1)</f>
        <v>211777</v>
      </c>
      <c r="H17" s="43" t="n">
        <f aca="false">SUMIFS(Cleaned_Futures_Data!$L$2:$L$756,Cleaned_Futures_Data!$B$2:$B$756,A17,Cleaned_Futures_Data!$W$2:$W$756,1)</f>
        <v>14085325</v>
      </c>
      <c r="I17" s="43" t="n">
        <f aca="false">SUMIFS(Cleaned_Futures_Data!$J$2:$J$756,Cleaned_Futures_Data!$B$2:$B$756,A17)</f>
        <v>231040</v>
      </c>
    </row>
    <row r="18" customFormat="false" ht="15" hidden="false" customHeight="true" outlineLevel="0" collapsed="false">
      <c r="A18" s="39" t="n">
        <v>45680</v>
      </c>
      <c r="B18" s="39" t="n">
        <f aca="false">_xlfn.MINIFS(Cleaned_Futures_Data!$C$2:$C$756,Cleaned_Futures_Data!$B$2:$B$756,A18)</f>
        <v>45687</v>
      </c>
      <c r="C18" s="40" t="n">
        <f aca="false">B18-A18</f>
        <v>7</v>
      </c>
      <c r="D18" s="41" t="n">
        <f aca="false">IFERROR(AVERAGEIFS(Cleaned_Futures_Data!$G$2:$G$756,Cleaned_Futures_Data!$B$2:$B$756,A18,Cleaned_Futures_Data!$W$2:$W$756,1),"")</f>
        <v>23263.7</v>
      </c>
      <c r="E18" s="41" t="n">
        <f aca="false">IFERROR(AVERAGEIFS(Cleaned_Futures_Data!$N$2:$N$756,Cleaned_Futures_Data!$B$2:$B$756,A18,Cleaned_Futures_Data!$W$2:$W$756,1),"")</f>
        <v>23205.35</v>
      </c>
      <c r="F18" s="42" t="n">
        <f aca="false">IF(AND(ISNUMBER(D18),ISNUMBER(E18)),D18-E18,"")</f>
        <v>58.3500000000022</v>
      </c>
      <c r="G18" s="43" t="n">
        <f aca="false">SUMIFS(Cleaned_Futures_Data!$J$2:$J$756,Cleaned_Futures_Data!$B$2:$B$756,A18,Cleaned_Futures_Data!$W$2:$W$756,1)</f>
        <v>161222</v>
      </c>
      <c r="H18" s="43" t="n">
        <f aca="false">SUMIFS(Cleaned_Futures_Data!$L$2:$L$756,Cleaned_Futures_Data!$B$2:$B$756,A18,Cleaned_Futures_Data!$W$2:$W$756,1)</f>
        <v>13637050</v>
      </c>
      <c r="I18" s="43" t="n">
        <f aca="false">SUMIFS(Cleaned_Futures_Data!$J$2:$J$756,Cleaned_Futures_Data!$B$2:$B$756,A18)</f>
        <v>174747</v>
      </c>
    </row>
    <row r="19" customFormat="false" ht="15" hidden="false" customHeight="true" outlineLevel="0" collapsed="false">
      <c r="A19" s="39" t="n">
        <v>45681</v>
      </c>
      <c r="B19" s="39" t="n">
        <f aca="false">_xlfn.MINIFS(Cleaned_Futures_Data!$C$2:$C$756,Cleaned_Futures_Data!$B$2:$B$756,A19)</f>
        <v>45687</v>
      </c>
      <c r="C19" s="40" t="n">
        <f aca="false">B19-A19</f>
        <v>6</v>
      </c>
      <c r="D19" s="41" t="n">
        <f aca="false">IFERROR(AVERAGEIFS(Cleaned_Futures_Data!$G$2:$G$756,Cleaned_Futures_Data!$B$2:$B$756,A19,Cleaned_Futures_Data!$W$2:$W$756,1),"")</f>
        <v>23113.9</v>
      </c>
      <c r="E19" s="41" t="n">
        <f aca="false">IFERROR(AVERAGEIFS(Cleaned_Futures_Data!$N$2:$N$756,Cleaned_Futures_Data!$B$2:$B$756,A19,Cleaned_Futures_Data!$W$2:$W$756,1),"")</f>
        <v>23092.2</v>
      </c>
      <c r="F19" s="42" t="n">
        <f aca="false">IF(AND(ISNUMBER(D19),ISNUMBER(E19)),D19-E19,"")</f>
        <v>21.7000000000007</v>
      </c>
      <c r="G19" s="43" t="n">
        <f aca="false">SUMIFS(Cleaned_Futures_Data!$J$2:$J$756,Cleaned_Futures_Data!$B$2:$B$756,A19,Cleaned_Futures_Data!$W$2:$W$756,1)</f>
        <v>275484</v>
      </c>
      <c r="H19" s="43" t="n">
        <f aca="false">SUMIFS(Cleaned_Futures_Data!$L$2:$L$756,Cleaned_Futures_Data!$B$2:$B$756,A19,Cleaned_Futures_Data!$W$2:$W$756,1)</f>
        <v>13209950</v>
      </c>
      <c r="I19" s="43" t="n">
        <f aca="false">SUMIFS(Cleaned_Futures_Data!$J$2:$J$756,Cleaned_Futures_Data!$B$2:$B$756,A19)</f>
        <v>303239</v>
      </c>
    </row>
    <row r="20" customFormat="false" ht="15" hidden="false" customHeight="true" outlineLevel="0" collapsed="false">
      <c r="A20" s="39" t="n">
        <v>45684</v>
      </c>
      <c r="B20" s="39" t="n">
        <f aca="false">_xlfn.MINIFS(Cleaned_Futures_Data!$C$2:$C$756,Cleaned_Futures_Data!$B$2:$B$756,A20)</f>
        <v>45687</v>
      </c>
      <c r="C20" s="40" t="n">
        <f aca="false">B20-A20</f>
        <v>3</v>
      </c>
      <c r="D20" s="41" t="n">
        <f aca="false">IFERROR(AVERAGEIFS(Cleaned_Futures_Data!$G$2:$G$756,Cleaned_Futures_Data!$B$2:$B$756,A20,Cleaned_Futures_Data!$W$2:$W$756,1),"")</f>
        <v>22846.45</v>
      </c>
      <c r="E20" s="41" t="n">
        <f aca="false">IFERROR(AVERAGEIFS(Cleaned_Futures_Data!$N$2:$N$756,Cleaned_Futures_Data!$B$2:$B$756,A20,Cleaned_Futures_Data!$W$2:$W$756,1),"")</f>
        <v>22829.15</v>
      </c>
      <c r="F20" s="42" t="n">
        <f aca="false">IF(AND(ISNUMBER(D20),ISNUMBER(E20)),D20-E20,"")</f>
        <v>17.2999999999993</v>
      </c>
      <c r="G20" s="43" t="n">
        <f aca="false">SUMIFS(Cleaned_Futures_Data!$J$2:$J$756,Cleaned_Futures_Data!$B$2:$B$756,A20,Cleaned_Futures_Data!$W$2:$W$756,1)</f>
        <v>241956</v>
      </c>
      <c r="H20" s="43" t="n">
        <f aca="false">SUMIFS(Cleaned_Futures_Data!$L$2:$L$756,Cleaned_Futures_Data!$B$2:$B$756,A20,Cleaned_Futures_Data!$W$2:$W$756,1)</f>
        <v>11804150</v>
      </c>
      <c r="I20" s="43" t="n">
        <f aca="false">SUMIFS(Cleaned_Futures_Data!$J$2:$J$756,Cleaned_Futures_Data!$B$2:$B$756,A20)</f>
        <v>292032</v>
      </c>
    </row>
    <row r="21" customFormat="false" ht="15" hidden="false" customHeight="true" outlineLevel="0" collapsed="false">
      <c r="A21" s="39" t="n">
        <v>45685</v>
      </c>
      <c r="B21" s="39" t="n">
        <f aca="false">_xlfn.MINIFS(Cleaned_Futures_Data!$C$2:$C$756,Cleaned_Futures_Data!$B$2:$B$756,A21)</f>
        <v>45687</v>
      </c>
      <c r="C21" s="40" t="n">
        <f aca="false">B21-A21</f>
        <v>2</v>
      </c>
      <c r="D21" s="41" t="n">
        <f aca="false">IFERROR(AVERAGEIFS(Cleaned_Futures_Data!$G$2:$G$756,Cleaned_Futures_Data!$B$2:$B$756,A21,Cleaned_Futures_Data!$W$2:$W$756,1),"")</f>
        <v>22977.7</v>
      </c>
      <c r="E21" s="41" t="n">
        <f aca="false">IFERROR(AVERAGEIFS(Cleaned_Futures_Data!$N$2:$N$756,Cleaned_Futures_Data!$B$2:$B$756,A21,Cleaned_Futures_Data!$W$2:$W$756,1),"")</f>
        <v>22957.25</v>
      </c>
      <c r="F21" s="42" t="n">
        <f aca="false">IF(AND(ISNUMBER(D21),ISNUMBER(E21)),D21-E21,"")</f>
        <v>20.4500000000007</v>
      </c>
      <c r="G21" s="43" t="n">
        <f aca="false">SUMIFS(Cleaned_Futures_Data!$J$2:$J$756,Cleaned_Futures_Data!$B$2:$B$756,A21,Cleaned_Futures_Data!$W$2:$W$756,1)</f>
        <v>323967</v>
      </c>
      <c r="H21" s="43" t="n">
        <f aca="false">SUMIFS(Cleaned_Futures_Data!$L$2:$L$756,Cleaned_Futures_Data!$B$2:$B$756,A21,Cleaned_Futures_Data!$W$2:$W$756,1)</f>
        <v>8969500</v>
      </c>
      <c r="I21" s="43" t="n">
        <f aca="false">SUMIFS(Cleaned_Futures_Data!$J$2:$J$756,Cleaned_Futures_Data!$B$2:$B$756,A21)</f>
        <v>409109</v>
      </c>
    </row>
    <row r="22" customFormat="false" ht="15" hidden="false" customHeight="true" outlineLevel="0" collapsed="false">
      <c r="A22" s="39" t="n">
        <v>45686</v>
      </c>
      <c r="B22" s="39" t="n">
        <f aca="false">_xlfn.MINIFS(Cleaned_Futures_Data!$C$2:$C$756,Cleaned_Futures_Data!$B$2:$B$756,A22)</f>
        <v>45687</v>
      </c>
      <c r="C22" s="40" t="n">
        <f aca="false">B22-A22</f>
        <v>1</v>
      </c>
      <c r="D22" s="41" t="n">
        <f aca="false">IFERROR(AVERAGEIFS(Cleaned_Futures_Data!$G$2:$G$756,Cleaned_Futures_Data!$B$2:$B$756,A22,Cleaned_Futures_Data!$W$2:$W$756,1),"")</f>
        <v>23148.25</v>
      </c>
      <c r="E22" s="41" t="n">
        <f aca="false">IFERROR(AVERAGEIFS(Cleaned_Futures_Data!$N$2:$N$756,Cleaned_Futures_Data!$B$2:$B$756,A22,Cleaned_Futures_Data!$W$2:$W$756,1),"")</f>
        <v>23163.1</v>
      </c>
      <c r="F22" s="42" t="n">
        <f aca="false">IF(AND(ISNUMBER(D22),ISNUMBER(E22)),D22-E22,"")</f>
        <v>-14.8499999999985</v>
      </c>
      <c r="G22" s="43" t="n">
        <f aca="false">SUMIFS(Cleaned_Futures_Data!$J$2:$J$756,Cleaned_Futures_Data!$B$2:$B$756,A22,Cleaned_Futures_Data!$W$2:$W$756,1)</f>
        <v>298123</v>
      </c>
      <c r="H22" s="43" t="n">
        <f aca="false">SUMIFS(Cleaned_Futures_Data!$L$2:$L$756,Cleaned_Futures_Data!$B$2:$B$756,A22,Cleaned_Futures_Data!$W$2:$W$756,1)</f>
        <v>6367950</v>
      </c>
      <c r="I22" s="43" t="n">
        <f aca="false">SUMIFS(Cleaned_Futures_Data!$J$2:$J$756,Cleaned_Futures_Data!$B$2:$B$756,A22)</f>
        <v>377653</v>
      </c>
    </row>
    <row r="23" customFormat="false" ht="15" hidden="false" customHeight="true" outlineLevel="0" collapsed="false">
      <c r="A23" s="39" t="n">
        <v>45687</v>
      </c>
      <c r="B23" s="39" t="n">
        <f aca="false">_xlfn.MINIFS(Cleaned_Futures_Data!$C$2:$C$756,Cleaned_Futures_Data!$B$2:$B$756,A23)</f>
        <v>45687</v>
      </c>
      <c r="C23" s="40" t="n">
        <f aca="false">B23-A23</f>
        <v>0</v>
      </c>
      <c r="D23" s="41" t="n">
        <f aca="false">IFERROR(AVERAGEIFS(Cleaned_Futures_Data!$G$2:$G$756,Cleaned_Futures_Data!$B$2:$B$756,A23,Cleaned_Futures_Data!$W$2:$W$756,1),"")</f>
        <v>23235.1</v>
      </c>
      <c r="E23" s="41" t="n">
        <f aca="false">IFERROR(AVERAGEIFS(Cleaned_Futures_Data!$N$2:$N$756,Cleaned_Futures_Data!$B$2:$B$756,A23,Cleaned_Futures_Data!$W$2:$W$756,1),"")</f>
        <v>23249.5</v>
      </c>
      <c r="F23" s="42" t="n">
        <f aca="false">IF(AND(ISNUMBER(D23),ISNUMBER(E23)),D23-E23,"")</f>
        <v>-14.4000000000015</v>
      </c>
      <c r="G23" s="43" t="n">
        <f aca="false">SUMIFS(Cleaned_Futures_Data!$J$2:$J$756,Cleaned_Futures_Data!$B$2:$B$756,A23,Cleaned_Futures_Data!$W$2:$W$756,1)</f>
        <v>269241</v>
      </c>
      <c r="H23" s="43" t="n">
        <f aca="false">SUMIFS(Cleaned_Futures_Data!$L$2:$L$756,Cleaned_Futures_Data!$B$2:$B$756,A23,Cleaned_Futures_Data!$W$2:$W$756,1)</f>
        <v>4310725</v>
      </c>
      <c r="I23" s="43" t="n">
        <f aca="false">SUMIFS(Cleaned_Futures_Data!$J$2:$J$756,Cleaned_Futures_Data!$B$2:$B$756,A23)</f>
        <v>380294</v>
      </c>
    </row>
    <row r="24" customFormat="false" ht="15" hidden="false" customHeight="true" outlineLevel="0" collapsed="false">
      <c r="A24" s="39" t="n">
        <v>45688</v>
      </c>
      <c r="B24" s="39" t="n">
        <f aca="false">_xlfn.MINIFS(Cleaned_Futures_Data!$C$2:$C$756,Cleaned_Futures_Data!$B$2:$B$756,A24)</f>
        <v>45715</v>
      </c>
      <c r="C24" s="40" t="n">
        <f aca="false">B24-A24</f>
        <v>27</v>
      </c>
      <c r="D24" s="41" t="n">
        <f aca="false">IFERROR(AVERAGEIFS(Cleaned_Futures_Data!$G$2:$G$756,Cleaned_Futures_Data!$B$2:$B$756,A24,Cleaned_Futures_Data!$W$2:$W$756,1),"")</f>
        <v>23620.2</v>
      </c>
      <c r="E24" s="41" t="n">
        <f aca="false">IFERROR(AVERAGEIFS(Cleaned_Futures_Data!$N$2:$N$756,Cleaned_Futures_Data!$B$2:$B$756,A24,Cleaned_Futures_Data!$W$2:$W$756,1),"")</f>
        <v>23508.4</v>
      </c>
      <c r="F24" s="42" t="n">
        <f aca="false">IF(AND(ISNUMBER(D24),ISNUMBER(E24)),D24-E24,"")</f>
        <v>111.799999999999</v>
      </c>
      <c r="G24" s="43" t="n">
        <f aca="false">SUMIFS(Cleaned_Futures_Data!$J$2:$J$756,Cleaned_Futures_Data!$B$2:$B$756,A24,Cleaned_Futures_Data!$W$2:$W$756,1)</f>
        <v>88911</v>
      </c>
      <c r="H24" s="43" t="n">
        <f aca="false">SUMIFS(Cleaned_Futures_Data!$L$2:$L$756,Cleaned_Futures_Data!$B$2:$B$756,A24,Cleaned_Futures_Data!$W$2:$W$756,1)</f>
        <v>17774775</v>
      </c>
      <c r="I24" s="43" t="n">
        <f aca="false">SUMIFS(Cleaned_Futures_Data!$J$2:$J$756,Cleaned_Futures_Data!$B$2:$B$756,A24)</f>
        <v>96870</v>
      </c>
    </row>
    <row r="25" customFormat="false" ht="15" hidden="false" customHeight="true" outlineLevel="0" collapsed="false">
      <c r="A25" s="39" t="n">
        <v>45689</v>
      </c>
      <c r="B25" s="39" t="n">
        <f aca="false">_xlfn.MINIFS(Cleaned_Futures_Data!$C$2:$C$756,Cleaned_Futures_Data!$B$2:$B$756,A25)</f>
        <v>45715</v>
      </c>
      <c r="C25" s="40" t="n">
        <f aca="false">B25-A25</f>
        <v>26</v>
      </c>
      <c r="D25" s="41" t="n">
        <f aca="false">IFERROR(AVERAGEIFS(Cleaned_Futures_Data!$G$2:$G$756,Cleaned_Futures_Data!$B$2:$B$756,A25,Cleaned_Futures_Data!$W$2:$W$756,1),"")</f>
        <v>23555.55</v>
      </c>
      <c r="E25" s="41" t="n">
        <f aca="false">IFERROR(AVERAGEIFS(Cleaned_Futures_Data!$N$2:$N$756,Cleaned_Futures_Data!$B$2:$B$756,A25,Cleaned_Futures_Data!$W$2:$W$756,1),"")</f>
        <v>23482.15</v>
      </c>
      <c r="F25" s="42" t="n">
        <f aca="false">IF(AND(ISNUMBER(D25),ISNUMBER(E25)),D25-E25,"")</f>
        <v>73.3999999999978</v>
      </c>
      <c r="G25" s="43" t="n">
        <f aca="false">SUMIFS(Cleaned_Futures_Data!$J$2:$J$756,Cleaned_Futures_Data!$B$2:$B$756,A25,Cleaned_Futures_Data!$W$2:$W$756,1)</f>
        <v>150937</v>
      </c>
      <c r="H25" s="43" t="n">
        <f aca="false">SUMIFS(Cleaned_Futures_Data!$L$2:$L$756,Cleaned_Futures_Data!$B$2:$B$756,A25,Cleaned_Futures_Data!$W$2:$W$756,1)</f>
        <v>17392275</v>
      </c>
      <c r="I25" s="43" t="n">
        <f aca="false">SUMIFS(Cleaned_Futures_Data!$J$2:$J$756,Cleaned_Futures_Data!$B$2:$B$756,A25)</f>
        <v>160467</v>
      </c>
    </row>
    <row r="26" customFormat="false" ht="15" hidden="false" customHeight="true" outlineLevel="0" collapsed="false">
      <c r="A26" s="39" t="n">
        <v>45691</v>
      </c>
      <c r="B26" s="39" t="n">
        <f aca="false">_xlfn.MINIFS(Cleaned_Futures_Data!$C$2:$C$756,Cleaned_Futures_Data!$B$2:$B$756,A26)</f>
        <v>45715</v>
      </c>
      <c r="C26" s="40" t="n">
        <f aca="false">B26-A26</f>
        <v>24</v>
      </c>
      <c r="D26" s="41" t="n">
        <f aca="false">IFERROR(AVERAGEIFS(Cleaned_Futures_Data!$G$2:$G$756,Cleaned_Futures_Data!$B$2:$B$756,A26,Cleaned_Futures_Data!$W$2:$W$756,1),"")</f>
        <v>23442.75</v>
      </c>
      <c r="E26" s="41" t="n">
        <f aca="false">IFERROR(AVERAGEIFS(Cleaned_Futures_Data!$N$2:$N$756,Cleaned_Futures_Data!$B$2:$B$756,A26,Cleaned_Futures_Data!$W$2:$W$756,1),"")</f>
        <v>23361.05</v>
      </c>
      <c r="F26" s="42" t="n">
        <f aca="false">IF(AND(ISNUMBER(D26),ISNUMBER(E26)),D26-E26,"")</f>
        <v>81.7000000000007</v>
      </c>
      <c r="G26" s="43" t="n">
        <f aca="false">SUMIFS(Cleaned_Futures_Data!$J$2:$J$756,Cleaned_Futures_Data!$B$2:$B$756,A26,Cleaned_Futures_Data!$W$2:$W$756,1)</f>
        <v>83636</v>
      </c>
      <c r="H26" s="43" t="n">
        <f aca="false">SUMIFS(Cleaned_Futures_Data!$L$2:$L$756,Cleaned_Futures_Data!$B$2:$B$756,A26,Cleaned_Futures_Data!$W$2:$W$756,1)</f>
        <v>17125575</v>
      </c>
      <c r="I26" s="43" t="n">
        <f aca="false">SUMIFS(Cleaned_Futures_Data!$J$2:$J$756,Cleaned_Futures_Data!$B$2:$B$756,A26)</f>
        <v>89446</v>
      </c>
    </row>
    <row r="27" customFormat="false" ht="15" hidden="false" customHeight="true" outlineLevel="0" collapsed="false">
      <c r="A27" s="39" t="n">
        <v>45692</v>
      </c>
      <c r="B27" s="39" t="n">
        <f aca="false">_xlfn.MINIFS(Cleaned_Futures_Data!$C$2:$C$756,Cleaned_Futures_Data!$B$2:$B$756,A27)</f>
        <v>45715</v>
      </c>
      <c r="C27" s="40" t="n">
        <f aca="false">B27-A27</f>
        <v>23</v>
      </c>
      <c r="D27" s="41" t="n">
        <f aca="false">IFERROR(AVERAGEIFS(Cleaned_Futures_Data!$G$2:$G$756,Cleaned_Futures_Data!$B$2:$B$756,A27,Cleaned_Futures_Data!$W$2:$W$756,1),"")</f>
        <v>23785.4</v>
      </c>
      <c r="E27" s="41" t="str">
        <f aca="false">IFERROR(AVERAGEIFS(Cleaned_Futures_Data!$N$2:$N$756,Cleaned_Futures_Data!$B$2:$B$756,A27,Cleaned_Futures_Data!$W$2:$W$756,1),"")</f>
        <v/>
      </c>
      <c r="F27" s="42" t="str">
        <f aca="false">IF(AND(ISNUMBER(D27),ISNUMBER(E27)),D27-E27,"")</f>
        <v/>
      </c>
      <c r="G27" s="43" t="n">
        <f aca="false">SUMIFS(Cleaned_Futures_Data!$J$2:$J$756,Cleaned_Futures_Data!$B$2:$B$756,A27,Cleaned_Futures_Data!$W$2:$W$756,1)</f>
        <v>137005</v>
      </c>
      <c r="H27" s="43" t="n">
        <f aca="false">SUMIFS(Cleaned_Futures_Data!$L$2:$L$756,Cleaned_Futures_Data!$B$2:$B$756,A27,Cleaned_Futures_Data!$W$2:$W$756,1)</f>
        <v>16697400</v>
      </c>
      <c r="I27" s="43" t="n">
        <f aca="false">SUMIFS(Cleaned_Futures_Data!$J$2:$J$756,Cleaned_Futures_Data!$B$2:$B$756,A27)</f>
        <v>147025</v>
      </c>
    </row>
    <row r="28" customFormat="false" ht="15" hidden="false" customHeight="true" outlineLevel="0" collapsed="false">
      <c r="A28" s="39" t="n">
        <v>45693</v>
      </c>
      <c r="B28" s="39" t="n">
        <f aca="false">_xlfn.MINIFS(Cleaned_Futures_Data!$C$2:$C$756,Cleaned_Futures_Data!$B$2:$B$756,A28)</f>
        <v>45715</v>
      </c>
      <c r="C28" s="40" t="n">
        <f aca="false">B28-A28</f>
        <v>22</v>
      </c>
      <c r="D28" s="41" t="n">
        <f aca="false">IFERROR(AVERAGEIFS(Cleaned_Futures_Data!$G$2:$G$756,Cleaned_Futures_Data!$B$2:$B$756,A28,Cleaned_Futures_Data!$W$2:$W$756,1),"")</f>
        <v>23772.6</v>
      </c>
      <c r="E28" s="41" t="n">
        <f aca="false">IFERROR(AVERAGEIFS(Cleaned_Futures_Data!$N$2:$N$756,Cleaned_Futures_Data!$B$2:$B$756,A28,Cleaned_Futures_Data!$W$2:$W$756,1),"")</f>
        <v>23696.3</v>
      </c>
      <c r="F28" s="42" t="n">
        <f aca="false">IF(AND(ISNUMBER(D28),ISNUMBER(E28)),D28-E28,"")</f>
        <v>76.2999999999993</v>
      </c>
      <c r="G28" s="43" t="n">
        <f aca="false">SUMIFS(Cleaned_Futures_Data!$J$2:$J$756,Cleaned_Futures_Data!$B$2:$B$756,A28,Cleaned_Futures_Data!$W$2:$W$756,1)</f>
        <v>51116</v>
      </c>
      <c r="H28" s="43" t="n">
        <f aca="false">SUMIFS(Cleaned_Futures_Data!$L$2:$L$756,Cleaned_Futures_Data!$B$2:$B$756,A28,Cleaned_Futures_Data!$W$2:$W$756,1)</f>
        <v>16613175</v>
      </c>
      <c r="I28" s="43" t="n">
        <f aca="false">SUMIFS(Cleaned_Futures_Data!$J$2:$J$756,Cleaned_Futures_Data!$B$2:$B$756,A28)</f>
        <v>55352</v>
      </c>
    </row>
    <row r="29" customFormat="false" ht="15" hidden="false" customHeight="true" outlineLevel="0" collapsed="false">
      <c r="A29" s="39" t="n">
        <v>45694</v>
      </c>
      <c r="B29" s="39" t="n">
        <f aca="false">_xlfn.MINIFS(Cleaned_Futures_Data!$C$2:$C$756,Cleaned_Futures_Data!$B$2:$B$756,A29)</f>
        <v>45715</v>
      </c>
      <c r="C29" s="40" t="n">
        <f aca="false">B29-A29</f>
        <v>21</v>
      </c>
      <c r="D29" s="41" t="n">
        <f aca="false">IFERROR(AVERAGEIFS(Cleaned_Futures_Data!$G$2:$G$756,Cleaned_Futures_Data!$B$2:$B$756,A29,Cleaned_Futures_Data!$W$2:$W$756,1),"")</f>
        <v>23688.9</v>
      </c>
      <c r="E29" s="41" t="n">
        <f aca="false">IFERROR(AVERAGEIFS(Cleaned_Futures_Data!$N$2:$N$756,Cleaned_Futures_Data!$B$2:$B$756,A29,Cleaned_Futures_Data!$W$2:$W$756,1),"")</f>
        <v>23603.35</v>
      </c>
      <c r="F29" s="42" t="n">
        <f aca="false">IF(AND(ISNUMBER(D29),ISNUMBER(E29)),D29-E29,"")</f>
        <v>85.5500000000029</v>
      </c>
      <c r="G29" s="43" t="n">
        <f aca="false">SUMIFS(Cleaned_Futures_Data!$J$2:$J$756,Cleaned_Futures_Data!$B$2:$B$756,A29,Cleaned_Futures_Data!$W$2:$W$756,1)</f>
        <v>55302</v>
      </c>
      <c r="H29" s="43" t="n">
        <f aca="false">SUMIFS(Cleaned_Futures_Data!$L$2:$L$756,Cleaned_Futures_Data!$B$2:$B$756,A29,Cleaned_Futures_Data!$W$2:$W$756,1)</f>
        <v>16787400</v>
      </c>
      <c r="I29" s="43" t="n">
        <f aca="false">SUMIFS(Cleaned_Futures_Data!$J$2:$J$756,Cleaned_Futures_Data!$B$2:$B$756,A29)</f>
        <v>59147</v>
      </c>
    </row>
    <row r="30" customFormat="false" ht="15" hidden="false" customHeight="true" outlineLevel="0" collapsed="false">
      <c r="A30" s="39" t="n">
        <v>45695</v>
      </c>
      <c r="B30" s="39" t="n">
        <f aca="false">_xlfn.MINIFS(Cleaned_Futures_Data!$C$2:$C$756,Cleaned_Futures_Data!$B$2:$B$756,A30)</f>
        <v>45715</v>
      </c>
      <c r="C30" s="40" t="n">
        <f aca="false">B30-A30</f>
        <v>20</v>
      </c>
      <c r="D30" s="41" t="n">
        <f aca="false">IFERROR(AVERAGEIFS(Cleaned_Futures_Data!$G$2:$G$756,Cleaned_Futures_Data!$B$2:$B$756,A30,Cleaned_Futures_Data!$W$2:$W$756,1),"")</f>
        <v>23614.95</v>
      </c>
      <c r="E30" s="41" t="n">
        <f aca="false">IFERROR(AVERAGEIFS(Cleaned_Futures_Data!$N$2:$N$756,Cleaned_Futures_Data!$B$2:$B$756,A30,Cleaned_Futures_Data!$W$2:$W$756,1),"")</f>
        <v>23559.95</v>
      </c>
      <c r="F30" s="42" t="n">
        <f aca="false">IF(AND(ISNUMBER(D30),ISNUMBER(E30)),D30-E30,"")</f>
        <v>55</v>
      </c>
      <c r="G30" s="43" t="n">
        <f aca="false">SUMIFS(Cleaned_Futures_Data!$J$2:$J$756,Cleaned_Futures_Data!$B$2:$B$756,A30,Cleaned_Futures_Data!$W$2:$W$756,1)</f>
        <v>94840</v>
      </c>
      <c r="H30" s="43" t="n">
        <f aca="false">SUMIFS(Cleaned_Futures_Data!$L$2:$L$756,Cleaned_Futures_Data!$B$2:$B$756,A30,Cleaned_Futures_Data!$W$2:$W$756,1)</f>
        <v>16761000</v>
      </c>
      <c r="I30" s="43" t="n">
        <f aca="false">SUMIFS(Cleaned_Futures_Data!$J$2:$J$756,Cleaned_Futures_Data!$B$2:$B$756,A30)</f>
        <v>101595</v>
      </c>
    </row>
    <row r="31" customFormat="false" ht="15" hidden="false" customHeight="true" outlineLevel="0" collapsed="false">
      <c r="A31" s="39" t="n">
        <v>45698</v>
      </c>
      <c r="B31" s="39" t="n">
        <f aca="false">_xlfn.MINIFS(Cleaned_Futures_Data!$C$2:$C$756,Cleaned_Futures_Data!$B$2:$B$756,A31)</f>
        <v>45715</v>
      </c>
      <c r="C31" s="40" t="n">
        <f aca="false">B31-A31</f>
        <v>17</v>
      </c>
      <c r="D31" s="41" t="n">
        <f aca="false">IFERROR(AVERAGEIFS(Cleaned_Futures_Data!$G$2:$G$756,Cleaned_Futures_Data!$B$2:$B$756,A31,Cleaned_Futures_Data!$W$2:$W$756,1),"")</f>
        <v>23459.15</v>
      </c>
      <c r="E31" s="41" t="n">
        <f aca="false">IFERROR(AVERAGEIFS(Cleaned_Futures_Data!$N$2:$N$756,Cleaned_Futures_Data!$B$2:$B$756,A31,Cleaned_Futures_Data!$W$2:$W$756,1),"")</f>
        <v>23381.6</v>
      </c>
      <c r="F31" s="42" t="n">
        <f aca="false">IF(AND(ISNUMBER(D31),ISNUMBER(E31)),D31-E31,"")</f>
        <v>77.5500000000029</v>
      </c>
      <c r="G31" s="43" t="n">
        <f aca="false">SUMIFS(Cleaned_Futures_Data!$J$2:$J$756,Cleaned_Futures_Data!$B$2:$B$756,A31,Cleaned_Futures_Data!$W$2:$W$756,1)</f>
        <v>68065</v>
      </c>
      <c r="H31" s="43" t="n">
        <f aca="false">SUMIFS(Cleaned_Futures_Data!$L$2:$L$756,Cleaned_Futures_Data!$B$2:$B$756,A31,Cleaned_Futures_Data!$W$2:$W$756,1)</f>
        <v>17100975</v>
      </c>
      <c r="I31" s="43" t="n">
        <f aca="false">SUMIFS(Cleaned_Futures_Data!$J$2:$J$756,Cleaned_Futures_Data!$B$2:$B$756,A31)</f>
        <v>74380</v>
      </c>
    </row>
    <row r="32" customFormat="false" ht="15" hidden="false" customHeight="true" outlineLevel="0" collapsed="false">
      <c r="A32" s="39" t="n">
        <v>45699</v>
      </c>
      <c r="B32" s="39" t="n">
        <f aca="false">_xlfn.MINIFS(Cleaned_Futures_Data!$C$2:$C$756,Cleaned_Futures_Data!$B$2:$B$756,A32)</f>
        <v>45715</v>
      </c>
      <c r="C32" s="40" t="n">
        <f aca="false">B32-A32</f>
        <v>16</v>
      </c>
      <c r="D32" s="41" t="n">
        <f aca="false">IFERROR(AVERAGEIFS(Cleaned_Futures_Data!$G$2:$G$756,Cleaned_Futures_Data!$B$2:$B$756,A32,Cleaned_Futures_Data!$W$2:$W$756,1),"")</f>
        <v>23153.15</v>
      </c>
      <c r="E32" s="41" t="n">
        <f aca="false">IFERROR(AVERAGEIFS(Cleaned_Futures_Data!$N$2:$N$756,Cleaned_Futures_Data!$B$2:$B$756,A32,Cleaned_Futures_Data!$W$2:$W$756,1),"")</f>
        <v>23071.8</v>
      </c>
      <c r="F32" s="42" t="n">
        <f aca="false">IF(AND(ISNUMBER(D32),ISNUMBER(E32)),D32-E32,"")</f>
        <v>81.3500000000022</v>
      </c>
      <c r="G32" s="43" t="n">
        <f aca="false">SUMIFS(Cleaned_Futures_Data!$J$2:$J$756,Cleaned_Futures_Data!$B$2:$B$756,A32,Cleaned_Futures_Data!$W$2:$W$756,1)</f>
        <v>87766</v>
      </c>
      <c r="H32" s="43" t="n">
        <f aca="false">SUMIFS(Cleaned_Futures_Data!$L$2:$L$756,Cleaned_Futures_Data!$B$2:$B$756,A32,Cleaned_Futures_Data!$W$2:$W$756,1)</f>
        <v>17240925</v>
      </c>
      <c r="I32" s="43" t="n">
        <f aca="false">SUMIFS(Cleaned_Futures_Data!$J$2:$J$756,Cleaned_Futures_Data!$B$2:$B$756,A32)</f>
        <v>99328</v>
      </c>
    </row>
    <row r="33" customFormat="false" ht="15" hidden="false" customHeight="true" outlineLevel="0" collapsed="false">
      <c r="A33" s="39" t="n">
        <v>45700</v>
      </c>
      <c r="B33" s="39" t="n">
        <f aca="false">_xlfn.MINIFS(Cleaned_Futures_Data!$C$2:$C$756,Cleaned_Futures_Data!$B$2:$B$756,A33)</f>
        <v>45715</v>
      </c>
      <c r="C33" s="40" t="n">
        <f aca="false">B33-A33</f>
        <v>15</v>
      </c>
      <c r="D33" s="41" t="n">
        <f aca="false">IFERROR(AVERAGEIFS(Cleaned_Futures_Data!$G$2:$G$756,Cleaned_Futures_Data!$B$2:$B$756,A33,Cleaned_Futures_Data!$W$2:$W$756,1),"")</f>
        <v>23123.85</v>
      </c>
      <c r="E33" s="41" t="n">
        <f aca="false">IFERROR(AVERAGEIFS(Cleaned_Futures_Data!$N$2:$N$756,Cleaned_Futures_Data!$B$2:$B$756,A33,Cleaned_Futures_Data!$W$2:$W$756,1),"")</f>
        <v>23045.25</v>
      </c>
      <c r="F33" s="42" t="n">
        <f aca="false">IF(AND(ISNUMBER(D33),ISNUMBER(E33)),D33-E33,"")</f>
        <v>78.5999999999985</v>
      </c>
      <c r="G33" s="43" t="n">
        <f aca="false">SUMIFS(Cleaned_Futures_Data!$J$2:$J$756,Cleaned_Futures_Data!$B$2:$B$756,A33,Cleaned_Futures_Data!$W$2:$W$756,1)</f>
        <v>132065</v>
      </c>
      <c r="H33" s="43" t="n">
        <f aca="false">SUMIFS(Cleaned_Futures_Data!$L$2:$L$756,Cleaned_Futures_Data!$B$2:$B$756,A33,Cleaned_Futures_Data!$W$2:$W$756,1)</f>
        <v>17572200</v>
      </c>
      <c r="I33" s="43" t="n">
        <f aca="false">SUMIFS(Cleaned_Futures_Data!$J$2:$J$756,Cleaned_Futures_Data!$B$2:$B$756,A33)</f>
        <v>146561</v>
      </c>
    </row>
    <row r="34" customFormat="false" ht="15" hidden="false" customHeight="true" outlineLevel="0" collapsed="false">
      <c r="A34" s="39" t="n">
        <v>45701</v>
      </c>
      <c r="B34" s="39" t="n">
        <f aca="false">_xlfn.MINIFS(Cleaned_Futures_Data!$C$2:$C$756,Cleaned_Futures_Data!$B$2:$B$756,A34)</f>
        <v>45715</v>
      </c>
      <c r="C34" s="40" t="n">
        <f aca="false">B34-A34</f>
        <v>14</v>
      </c>
      <c r="D34" s="41" t="n">
        <f aca="false">IFERROR(AVERAGEIFS(Cleaned_Futures_Data!$G$2:$G$756,Cleaned_Futures_Data!$B$2:$B$756,A34,Cleaned_Futures_Data!$W$2:$W$756,1),"")</f>
        <v>23107.75</v>
      </c>
      <c r="E34" s="41" t="n">
        <f aca="false">IFERROR(AVERAGEIFS(Cleaned_Futures_Data!$N$2:$N$756,Cleaned_Futures_Data!$B$2:$B$756,A34,Cleaned_Futures_Data!$W$2:$W$756,1),"")</f>
        <v>23031.4</v>
      </c>
      <c r="F34" s="42" t="n">
        <f aca="false">IF(AND(ISNUMBER(D34),ISNUMBER(E34)),D34-E34,"")</f>
        <v>76.3499999999985</v>
      </c>
      <c r="G34" s="43" t="n">
        <f aca="false">SUMIFS(Cleaned_Futures_Data!$J$2:$J$756,Cleaned_Futures_Data!$B$2:$B$756,A34,Cleaned_Futures_Data!$W$2:$W$756,1)</f>
        <v>82593</v>
      </c>
      <c r="H34" s="43" t="n">
        <f aca="false">SUMIFS(Cleaned_Futures_Data!$L$2:$L$756,Cleaned_Futures_Data!$B$2:$B$756,A34,Cleaned_Futures_Data!$W$2:$W$756,1)</f>
        <v>17272950</v>
      </c>
      <c r="I34" s="43" t="n">
        <f aca="false">SUMIFS(Cleaned_Futures_Data!$J$2:$J$756,Cleaned_Futures_Data!$B$2:$B$756,A34)</f>
        <v>92434</v>
      </c>
    </row>
    <row r="35" customFormat="false" ht="15" hidden="false" customHeight="true" outlineLevel="0" collapsed="false">
      <c r="A35" s="39" t="n">
        <v>45702</v>
      </c>
      <c r="B35" s="39" t="n">
        <f aca="false">_xlfn.MINIFS(Cleaned_Futures_Data!$C$2:$C$756,Cleaned_Futures_Data!$B$2:$B$756,A35)</f>
        <v>45715</v>
      </c>
      <c r="C35" s="40" t="n">
        <f aca="false">B35-A35</f>
        <v>13</v>
      </c>
      <c r="D35" s="41" t="n">
        <f aca="false">IFERROR(AVERAGEIFS(Cleaned_Futures_Data!$G$2:$G$756,Cleaned_Futures_Data!$B$2:$B$756,A35,Cleaned_Futures_Data!$W$2:$W$756,1),"")</f>
        <v>22995.65</v>
      </c>
      <c r="E35" s="41" t="n">
        <f aca="false">IFERROR(AVERAGEIFS(Cleaned_Futures_Data!$N$2:$N$756,Cleaned_Futures_Data!$B$2:$B$756,A35,Cleaned_Futures_Data!$W$2:$W$756,1),"")</f>
        <v>22929.25</v>
      </c>
      <c r="F35" s="42" t="n">
        <f aca="false">IF(AND(ISNUMBER(D35),ISNUMBER(E35)),D35-E35,"")</f>
        <v>66.4000000000015</v>
      </c>
      <c r="G35" s="43" t="n">
        <f aca="false">SUMIFS(Cleaned_Futures_Data!$J$2:$J$756,Cleaned_Futures_Data!$B$2:$B$756,A35,Cleaned_Futures_Data!$W$2:$W$756,1)</f>
        <v>109312</v>
      </c>
      <c r="H35" s="43" t="n">
        <f aca="false">SUMIFS(Cleaned_Futures_Data!$L$2:$L$756,Cleaned_Futures_Data!$B$2:$B$756,A35,Cleaned_Futures_Data!$W$2:$W$756,1)</f>
        <v>17385600</v>
      </c>
      <c r="I35" s="43" t="n">
        <f aca="false">SUMIFS(Cleaned_Futures_Data!$J$2:$J$756,Cleaned_Futures_Data!$B$2:$B$756,A35)</f>
        <v>124851</v>
      </c>
    </row>
    <row r="36" customFormat="false" ht="15" hidden="false" customHeight="true" outlineLevel="0" collapsed="false">
      <c r="A36" s="39" t="n">
        <v>45705</v>
      </c>
      <c r="B36" s="39" t="n">
        <f aca="false">_xlfn.MINIFS(Cleaned_Futures_Data!$C$2:$C$756,Cleaned_Futures_Data!$B$2:$B$756,A36)</f>
        <v>45715</v>
      </c>
      <c r="C36" s="40" t="n">
        <f aca="false">B36-A36</f>
        <v>10</v>
      </c>
      <c r="D36" s="41" t="n">
        <f aca="false">IFERROR(AVERAGEIFS(Cleaned_Futures_Data!$G$2:$G$756,Cleaned_Futures_Data!$B$2:$B$756,A36,Cleaned_Futures_Data!$W$2:$W$756,1),"")</f>
        <v>23026.4</v>
      </c>
      <c r="E36" s="41" t="n">
        <f aca="false">IFERROR(AVERAGEIFS(Cleaned_Futures_Data!$N$2:$N$756,Cleaned_Futures_Data!$B$2:$B$756,A36,Cleaned_Futures_Data!$W$2:$W$756,1),"")</f>
        <v>22959.5</v>
      </c>
      <c r="F36" s="42" t="n">
        <f aca="false">IF(AND(ISNUMBER(D36),ISNUMBER(E36)),D36-E36,"")</f>
        <v>66.9000000000015</v>
      </c>
      <c r="G36" s="43" t="n">
        <f aca="false">SUMIFS(Cleaned_Futures_Data!$J$2:$J$756,Cleaned_Futures_Data!$B$2:$B$756,A36,Cleaned_Futures_Data!$W$2:$W$756,1)</f>
        <v>92954</v>
      </c>
      <c r="H36" s="43" t="n">
        <f aca="false">SUMIFS(Cleaned_Futures_Data!$L$2:$L$756,Cleaned_Futures_Data!$B$2:$B$756,A36,Cleaned_Futures_Data!$W$2:$W$756,1)</f>
        <v>17193300</v>
      </c>
      <c r="I36" s="43" t="n">
        <f aca="false">SUMIFS(Cleaned_Futures_Data!$J$2:$J$756,Cleaned_Futures_Data!$B$2:$B$756,A36)</f>
        <v>105791</v>
      </c>
    </row>
    <row r="37" customFormat="false" ht="15" hidden="false" customHeight="true" outlineLevel="0" collapsed="false">
      <c r="A37" s="39" t="n">
        <v>45706</v>
      </c>
      <c r="B37" s="39" t="n">
        <f aca="false">_xlfn.MINIFS(Cleaned_Futures_Data!$C$2:$C$756,Cleaned_Futures_Data!$B$2:$B$756,A37)</f>
        <v>45715</v>
      </c>
      <c r="C37" s="40" t="n">
        <f aca="false">B37-A37</f>
        <v>9</v>
      </c>
      <c r="D37" s="41" t="n">
        <f aca="false">IFERROR(AVERAGEIFS(Cleaned_Futures_Data!$G$2:$G$756,Cleaned_Futures_Data!$B$2:$B$756,A37,Cleaned_Futures_Data!$W$2:$W$756,1),"")</f>
        <v>22972.6</v>
      </c>
      <c r="E37" s="41" t="n">
        <f aca="false">IFERROR(AVERAGEIFS(Cleaned_Futures_Data!$N$2:$N$756,Cleaned_Futures_Data!$B$2:$B$756,A37,Cleaned_Futures_Data!$W$2:$W$756,1),"")</f>
        <v>22945.3</v>
      </c>
      <c r="F37" s="42" t="n">
        <f aca="false">IF(AND(ISNUMBER(D37),ISNUMBER(E37)),D37-E37,"")</f>
        <v>27.2999999999993</v>
      </c>
      <c r="G37" s="43" t="n">
        <f aca="false">SUMIFS(Cleaned_Futures_Data!$J$2:$J$756,Cleaned_Futures_Data!$B$2:$B$756,A37,Cleaned_Futures_Data!$W$2:$W$756,1)</f>
        <v>73098</v>
      </c>
      <c r="H37" s="43" t="n">
        <f aca="false">SUMIFS(Cleaned_Futures_Data!$L$2:$L$756,Cleaned_Futures_Data!$B$2:$B$756,A37,Cleaned_Futures_Data!$W$2:$W$756,1)</f>
        <v>16780425</v>
      </c>
      <c r="I37" s="43" t="n">
        <f aca="false">SUMIFS(Cleaned_Futures_Data!$J$2:$J$756,Cleaned_Futures_Data!$B$2:$B$756,A37)</f>
        <v>85633</v>
      </c>
    </row>
    <row r="38" customFormat="false" ht="15" hidden="false" customHeight="true" outlineLevel="0" collapsed="false">
      <c r="A38" s="39" t="n">
        <v>45707</v>
      </c>
      <c r="B38" s="39" t="n">
        <f aca="false">_xlfn.MINIFS(Cleaned_Futures_Data!$C$2:$C$756,Cleaned_Futures_Data!$B$2:$B$756,A38)</f>
        <v>45715</v>
      </c>
      <c r="C38" s="40" t="n">
        <f aca="false">B38-A38</f>
        <v>8</v>
      </c>
      <c r="D38" s="41" t="n">
        <f aca="false">IFERROR(AVERAGEIFS(Cleaned_Futures_Data!$G$2:$G$756,Cleaned_Futures_Data!$B$2:$B$756,A38,Cleaned_Futures_Data!$W$2:$W$756,1),"")</f>
        <v>22964.5</v>
      </c>
      <c r="E38" s="41" t="n">
        <f aca="false">IFERROR(AVERAGEIFS(Cleaned_Futures_Data!$N$2:$N$756,Cleaned_Futures_Data!$B$2:$B$756,A38,Cleaned_Futures_Data!$W$2:$W$756,1),"")</f>
        <v>22932.9</v>
      </c>
      <c r="F38" s="42" t="n">
        <f aca="false">IF(AND(ISNUMBER(D38),ISNUMBER(E38)),D38-E38,"")</f>
        <v>31.5999999999985</v>
      </c>
      <c r="G38" s="43" t="n">
        <f aca="false">SUMIFS(Cleaned_Futures_Data!$J$2:$J$756,Cleaned_Futures_Data!$B$2:$B$756,A38,Cleaned_Futures_Data!$W$2:$W$756,1)</f>
        <v>86464</v>
      </c>
      <c r="H38" s="43" t="n">
        <f aca="false">SUMIFS(Cleaned_Futures_Data!$L$2:$L$756,Cleaned_Futures_Data!$B$2:$B$756,A38,Cleaned_Futures_Data!$W$2:$W$756,1)</f>
        <v>16659825</v>
      </c>
      <c r="I38" s="43" t="n">
        <f aca="false">SUMIFS(Cleaned_Futures_Data!$J$2:$J$756,Cleaned_Futures_Data!$B$2:$B$756,A38)</f>
        <v>100529</v>
      </c>
    </row>
    <row r="39" customFormat="false" ht="15" hidden="false" customHeight="true" outlineLevel="0" collapsed="false">
      <c r="A39" s="39" t="n">
        <v>45708</v>
      </c>
      <c r="B39" s="39" t="n">
        <f aca="false">_xlfn.MINIFS(Cleaned_Futures_Data!$C$2:$C$756,Cleaned_Futures_Data!$B$2:$B$756,A39)</f>
        <v>45715</v>
      </c>
      <c r="C39" s="40" t="n">
        <f aca="false">B39-A39</f>
        <v>7</v>
      </c>
      <c r="D39" s="41" t="n">
        <f aca="false">IFERROR(AVERAGEIFS(Cleaned_Futures_Data!$G$2:$G$756,Cleaned_Futures_Data!$B$2:$B$756,A39,Cleaned_Futures_Data!$W$2:$W$756,1),"")</f>
        <v>22942.5</v>
      </c>
      <c r="E39" s="41" t="n">
        <f aca="false">IFERROR(AVERAGEIFS(Cleaned_Futures_Data!$N$2:$N$756,Cleaned_Futures_Data!$B$2:$B$756,A39,Cleaned_Futures_Data!$W$2:$W$756,1),"")</f>
        <v>22913.15</v>
      </c>
      <c r="F39" s="42" t="n">
        <f aca="false">IF(AND(ISNUMBER(D39),ISNUMBER(E39)),D39-E39,"")</f>
        <v>29.3499999999985</v>
      </c>
      <c r="G39" s="43" t="n">
        <f aca="false">SUMIFS(Cleaned_Futures_Data!$J$2:$J$756,Cleaned_Futures_Data!$B$2:$B$756,A39,Cleaned_Futures_Data!$W$2:$W$756,1)</f>
        <v>54621</v>
      </c>
      <c r="H39" s="43" t="n">
        <f aca="false">SUMIFS(Cleaned_Futures_Data!$L$2:$L$756,Cleaned_Futures_Data!$B$2:$B$756,A39,Cleaned_Futures_Data!$W$2:$W$756,1)</f>
        <v>16391775</v>
      </c>
      <c r="I39" s="43" t="n">
        <f aca="false">SUMIFS(Cleaned_Futures_Data!$J$2:$J$756,Cleaned_Futures_Data!$B$2:$B$756,A39)</f>
        <v>71032</v>
      </c>
    </row>
    <row r="40" customFormat="false" ht="15" hidden="false" customHeight="true" outlineLevel="0" collapsed="false">
      <c r="A40" s="39" t="n">
        <v>45709</v>
      </c>
      <c r="B40" s="39" t="n">
        <f aca="false">_xlfn.MINIFS(Cleaned_Futures_Data!$C$2:$C$756,Cleaned_Futures_Data!$B$2:$B$756,A40)</f>
        <v>45715</v>
      </c>
      <c r="C40" s="40" t="n">
        <f aca="false">B40-A40</f>
        <v>6</v>
      </c>
      <c r="D40" s="41" t="n">
        <f aca="false">IFERROR(AVERAGEIFS(Cleaned_Futures_Data!$G$2:$G$756,Cleaned_Futures_Data!$B$2:$B$756,A40,Cleaned_Futures_Data!$W$2:$W$756,1),"")</f>
        <v>22822.6</v>
      </c>
      <c r="E40" s="41" t="n">
        <f aca="false">IFERROR(AVERAGEIFS(Cleaned_Futures_Data!$N$2:$N$756,Cleaned_Futures_Data!$B$2:$B$756,A40,Cleaned_Futures_Data!$W$2:$W$756,1),"")</f>
        <v>22795.9</v>
      </c>
      <c r="F40" s="42" t="n">
        <f aca="false">IF(AND(ISNUMBER(D40),ISNUMBER(E40)),D40-E40,"")</f>
        <v>26.6999999999971</v>
      </c>
      <c r="G40" s="43" t="n">
        <f aca="false">SUMIFS(Cleaned_Futures_Data!$J$2:$J$756,Cleaned_Futures_Data!$B$2:$B$756,A40,Cleaned_Futures_Data!$W$2:$W$756,1)</f>
        <v>96195</v>
      </c>
      <c r="H40" s="43" t="n">
        <f aca="false">SUMIFS(Cleaned_Futures_Data!$L$2:$L$756,Cleaned_Futures_Data!$B$2:$B$756,A40,Cleaned_Futures_Data!$W$2:$W$756,1)</f>
        <v>15082500</v>
      </c>
      <c r="I40" s="43" t="n">
        <f aca="false">SUMIFS(Cleaned_Futures_Data!$J$2:$J$756,Cleaned_Futures_Data!$B$2:$B$756,A40)</f>
        <v>128423</v>
      </c>
    </row>
    <row r="41" customFormat="false" ht="15" hidden="false" customHeight="true" outlineLevel="0" collapsed="false">
      <c r="A41" s="39" t="n">
        <v>45712</v>
      </c>
      <c r="B41" s="39" t="n">
        <f aca="false">_xlfn.MINIFS(Cleaned_Futures_Data!$C$2:$C$756,Cleaned_Futures_Data!$B$2:$B$756,A41)</f>
        <v>45715</v>
      </c>
      <c r="C41" s="40" t="n">
        <f aca="false">B41-A41</f>
        <v>3</v>
      </c>
      <c r="D41" s="41" t="n">
        <f aca="false">IFERROR(AVERAGEIFS(Cleaned_Futures_Data!$G$2:$G$756,Cleaned_Futures_Data!$B$2:$B$756,A41,Cleaned_Futures_Data!$W$2:$W$756,1),"")</f>
        <v>22612.65</v>
      </c>
      <c r="E41" s="41" t="n">
        <f aca="false">IFERROR(AVERAGEIFS(Cleaned_Futures_Data!$N$2:$N$756,Cleaned_Futures_Data!$B$2:$B$756,A41,Cleaned_Futures_Data!$W$2:$W$756,1),"")</f>
        <v>22553.35</v>
      </c>
      <c r="F41" s="42" t="n">
        <f aca="false">IF(AND(ISNUMBER(D41),ISNUMBER(E41)),D41-E41,"")</f>
        <v>59.3000000000029</v>
      </c>
      <c r="G41" s="43" t="n">
        <f aca="false">SUMIFS(Cleaned_Futures_Data!$J$2:$J$756,Cleaned_Futures_Data!$B$2:$B$756,A41,Cleaned_Futures_Data!$W$2:$W$756,1)</f>
        <v>106292</v>
      </c>
      <c r="H41" s="43" t="n">
        <f aca="false">SUMIFS(Cleaned_Futures_Data!$L$2:$L$756,Cleaned_Futures_Data!$B$2:$B$756,A41,Cleaned_Futures_Data!$W$2:$W$756,1)</f>
        <v>11660625</v>
      </c>
      <c r="I41" s="43" t="n">
        <f aca="false">SUMIFS(Cleaned_Futures_Data!$J$2:$J$756,Cleaned_Futures_Data!$B$2:$B$756,A41)</f>
        <v>181104</v>
      </c>
    </row>
    <row r="42" customFormat="false" ht="15" hidden="false" customHeight="true" outlineLevel="0" collapsed="false">
      <c r="A42" s="39" t="n">
        <v>45713</v>
      </c>
      <c r="B42" s="39" t="n">
        <f aca="false">_xlfn.MINIFS(Cleaned_Futures_Data!$C$2:$C$756,Cleaned_Futures_Data!$B$2:$B$756,A42)</f>
        <v>45715</v>
      </c>
      <c r="C42" s="40" t="n">
        <f aca="false">B42-A42</f>
        <v>2</v>
      </c>
      <c r="D42" s="41" t="n">
        <f aca="false">IFERROR(AVERAGEIFS(Cleaned_Futures_Data!$G$2:$G$756,Cleaned_Futures_Data!$B$2:$B$756,A42,Cleaned_Futures_Data!$W$2:$W$756,1),"")</f>
        <v>22582.15</v>
      </c>
      <c r="E42" s="41" t="n">
        <f aca="false">IFERROR(AVERAGEIFS(Cleaned_Futures_Data!$N$2:$N$756,Cleaned_Futures_Data!$B$2:$B$756,A42,Cleaned_Futures_Data!$W$2:$W$756,1),"")</f>
        <v>22547.55</v>
      </c>
      <c r="F42" s="42" t="n">
        <f aca="false">IF(AND(ISNUMBER(D42),ISNUMBER(E42)),D42-E42,"")</f>
        <v>34.6000000000022</v>
      </c>
      <c r="G42" s="43" t="n">
        <f aca="false">SUMIFS(Cleaned_Futures_Data!$J$2:$J$756,Cleaned_Futures_Data!$B$2:$B$756,A42,Cleaned_Futures_Data!$W$2:$W$756,1)</f>
        <v>94896</v>
      </c>
      <c r="H42" s="43" t="n">
        <f aca="false">SUMIFS(Cleaned_Futures_Data!$L$2:$L$756,Cleaned_Futures_Data!$B$2:$B$756,A42,Cleaned_Futures_Data!$W$2:$W$756,1)</f>
        <v>7711800</v>
      </c>
      <c r="I42" s="43" t="n">
        <f aca="false">SUMIFS(Cleaned_Futures_Data!$J$2:$J$756,Cleaned_Futures_Data!$B$2:$B$756,A42)</f>
        <v>168498</v>
      </c>
    </row>
    <row r="43" customFormat="false" ht="15" hidden="false" customHeight="true" outlineLevel="0" collapsed="false">
      <c r="A43" s="39" t="n">
        <v>45715</v>
      </c>
      <c r="B43" s="39" t="n">
        <f aca="false">_xlfn.MINIFS(Cleaned_Futures_Data!$C$2:$C$756,Cleaned_Futures_Data!$B$2:$B$756,A43)</f>
        <v>45715</v>
      </c>
      <c r="C43" s="40" t="n">
        <f aca="false">B43-A43</f>
        <v>0</v>
      </c>
      <c r="D43" s="41" t="n">
        <f aca="false">IFERROR(AVERAGEIFS(Cleaned_Futures_Data!$G$2:$G$756,Cleaned_Futures_Data!$B$2:$B$756,A43,Cleaned_Futures_Data!$W$2:$W$756,1),"")</f>
        <v>22547.75</v>
      </c>
      <c r="E43" s="41" t="n">
        <f aca="false">IFERROR(AVERAGEIFS(Cleaned_Futures_Data!$N$2:$N$756,Cleaned_Futures_Data!$B$2:$B$756,A43,Cleaned_Futures_Data!$W$2:$W$756,1),"")</f>
        <v>22545.05</v>
      </c>
      <c r="F43" s="42" t="n">
        <f aca="false">IF(AND(ISNUMBER(D43),ISNUMBER(E43)),D43-E43,"")</f>
        <v>2.70000000000073</v>
      </c>
      <c r="G43" s="43" t="n">
        <f aca="false">SUMIFS(Cleaned_Futures_Data!$J$2:$J$756,Cleaned_Futures_Data!$B$2:$B$756,A43,Cleaned_Futures_Data!$W$2:$W$756,1)</f>
        <v>96679</v>
      </c>
      <c r="H43" s="43" t="n">
        <f aca="false">SUMIFS(Cleaned_Futures_Data!$L$2:$L$756,Cleaned_Futures_Data!$B$2:$B$756,A43,Cleaned_Futures_Data!$W$2:$W$756,1)</f>
        <v>3467625</v>
      </c>
      <c r="I43" s="43" t="n">
        <f aca="false">SUMIFS(Cleaned_Futures_Data!$J$2:$J$756,Cleaned_Futures_Data!$B$2:$B$756,A43)</f>
        <v>200709</v>
      </c>
    </row>
    <row r="44" customFormat="false" ht="15" hidden="false" customHeight="true" outlineLevel="0" collapsed="false">
      <c r="A44" s="39" t="n">
        <v>45716</v>
      </c>
      <c r="B44" s="39" t="n">
        <f aca="false">_xlfn.MINIFS(Cleaned_Futures_Data!$C$2:$C$756,Cleaned_Futures_Data!$B$2:$B$756,A44)</f>
        <v>45743</v>
      </c>
      <c r="C44" s="40" t="n">
        <f aca="false">B44-A44</f>
        <v>27</v>
      </c>
      <c r="D44" s="41" t="n">
        <f aca="false">IFERROR(AVERAGEIFS(Cleaned_Futures_Data!$G$2:$G$756,Cleaned_Futures_Data!$B$2:$B$756,A44,Cleaned_Futures_Data!$W$2:$W$756,1),"")</f>
        <v>22280.05</v>
      </c>
      <c r="E44" s="41" t="n">
        <f aca="false">IFERROR(AVERAGEIFS(Cleaned_Futures_Data!$N$2:$N$756,Cleaned_Futures_Data!$B$2:$B$756,A44,Cleaned_Futures_Data!$W$2:$W$756,1),"")</f>
        <v>22124.7</v>
      </c>
      <c r="F44" s="42" t="n">
        <f aca="false">IF(AND(ISNUMBER(D44),ISNUMBER(E44)),D44-E44,"")</f>
        <v>155.349999999999</v>
      </c>
      <c r="G44" s="43" t="n">
        <f aca="false">SUMIFS(Cleaned_Futures_Data!$J$2:$J$756,Cleaned_Futures_Data!$B$2:$B$756,A44,Cleaned_Futures_Data!$W$2:$W$756,1)</f>
        <v>122445</v>
      </c>
      <c r="H44" s="43" t="n">
        <f aca="false">SUMIFS(Cleaned_Futures_Data!$L$2:$L$756,Cleaned_Futures_Data!$B$2:$B$756,A44,Cleaned_Futures_Data!$W$2:$W$756,1)</f>
        <v>17905950</v>
      </c>
      <c r="I44" s="43" t="n">
        <f aca="false">SUMIFS(Cleaned_Futures_Data!$J$2:$J$756,Cleaned_Futures_Data!$B$2:$B$756,A44)</f>
        <v>134641</v>
      </c>
    </row>
    <row r="45" customFormat="false" ht="15" hidden="false" customHeight="true" outlineLevel="0" collapsed="false">
      <c r="A45" s="39" t="n">
        <v>45719</v>
      </c>
      <c r="B45" s="39" t="n">
        <f aca="false">_xlfn.MINIFS(Cleaned_Futures_Data!$C$2:$C$756,Cleaned_Futures_Data!$B$2:$B$756,A45)</f>
        <v>45743</v>
      </c>
      <c r="C45" s="40" t="n">
        <f aca="false">B45-A45</f>
        <v>24</v>
      </c>
      <c r="D45" s="41" t="n">
        <f aca="false">IFERROR(AVERAGEIFS(Cleaned_Futures_Data!$G$2:$G$756,Cleaned_Futures_Data!$B$2:$B$756,A45,Cleaned_Futures_Data!$W$2:$W$756,1),"")</f>
        <v>22259.8</v>
      </c>
      <c r="E45" s="41" t="n">
        <f aca="false">IFERROR(AVERAGEIFS(Cleaned_Futures_Data!$N$2:$N$756,Cleaned_Futures_Data!$B$2:$B$756,A45,Cleaned_Futures_Data!$W$2:$W$756,1),"")</f>
        <v>22119.3</v>
      </c>
      <c r="F45" s="42" t="n">
        <f aca="false">IF(AND(ISNUMBER(D45),ISNUMBER(E45)),D45-E45,"")</f>
        <v>140.5</v>
      </c>
      <c r="G45" s="43" t="n">
        <f aca="false">SUMIFS(Cleaned_Futures_Data!$J$2:$J$756,Cleaned_Futures_Data!$B$2:$B$756,A45,Cleaned_Futures_Data!$W$2:$W$756,1)</f>
        <v>89291</v>
      </c>
      <c r="H45" s="43" t="n">
        <f aca="false">SUMIFS(Cleaned_Futures_Data!$L$2:$L$756,Cleaned_Futures_Data!$B$2:$B$756,A45,Cleaned_Futures_Data!$W$2:$W$756,1)</f>
        <v>17949600</v>
      </c>
      <c r="I45" s="43" t="n">
        <f aca="false">SUMIFS(Cleaned_Futures_Data!$J$2:$J$756,Cleaned_Futures_Data!$B$2:$B$756,A45)</f>
        <v>101231</v>
      </c>
    </row>
    <row r="46" customFormat="false" ht="15" hidden="false" customHeight="true" outlineLevel="0" collapsed="false">
      <c r="A46" s="39" t="n">
        <v>45720</v>
      </c>
      <c r="B46" s="39" t="n">
        <f aca="false">_xlfn.MINIFS(Cleaned_Futures_Data!$C$2:$C$756,Cleaned_Futures_Data!$B$2:$B$756,A46)</f>
        <v>45743</v>
      </c>
      <c r="C46" s="40" t="n">
        <f aca="false">B46-A46</f>
        <v>23</v>
      </c>
      <c r="D46" s="41" t="n">
        <f aca="false">IFERROR(AVERAGEIFS(Cleaned_Futures_Data!$G$2:$G$756,Cleaned_Futures_Data!$B$2:$B$756,A46,Cleaned_Futures_Data!$W$2:$W$756,1),"")</f>
        <v>22191.05</v>
      </c>
      <c r="E46" s="41" t="n">
        <f aca="false">IFERROR(AVERAGEIFS(Cleaned_Futures_Data!$N$2:$N$756,Cleaned_Futures_Data!$B$2:$B$756,A46,Cleaned_Futures_Data!$W$2:$W$756,1),"")</f>
        <v>22082.65</v>
      </c>
      <c r="F46" s="42" t="n">
        <f aca="false">IF(AND(ISNUMBER(D46),ISNUMBER(E46)),D46-E46,"")</f>
        <v>108.399999999998</v>
      </c>
      <c r="G46" s="43" t="n">
        <f aca="false">SUMIFS(Cleaned_Futures_Data!$J$2:$J$756,Cleaned_Futures_Data!$B$2:$B$756,A46,Cleaned_Futures_Data!$W$2:$W$756,1)</f>
        <v>63149</v>
      </c>
      <c r="H46" s="43" t="n">
        <f aca="false">SUMIFS(Cleaned_Futures_Data!$L$2:$L$756,Cleaned_Futures_Data!$B$2:$B$756,A46,Cleaned_Futures_Data!$W$2:$W$756,1)</f>
        <v>18198750</v>
      </c>
      <c r="I46" s="43" t="n">
        <f aca="false">SUMIFS(Cleaned_Futures_Data!$J$2:$J$756,Cleaned_Futures_Data!$B$2:$B$756,A46)</f>
        <v>71751</v>
      </c>
    </row>
    <row r="47" customFormat="false" ht="15" hidden="false" customHeight="true" outlineLevel="0" collapsed="false">
      <c r="A47" s="39" t="n">
        <v>45721</v>
      </c>
      <c r="B47" s="39" t="n">
        <f aca="false">_xlfn.MINIFS(Cleaned_Futures_Data!$C$2:$C$756,Cleaned_Futures_Data!$B$2:$B$756,A47)</f>
        <v>45743</v>
      </c>
      <c r="C47" s="40" t="n">
        <f aca="false">B47-A47</f>
        <v>22</v>
      </c>
      <c r="D47" s="41" t="n">
        <f aca="false">IFERROR(AVERAGEIFS(Cleaned_Futures_Data!$G$2:$G$756,Cleaned_Futures_Data!$B$2:$B$756,A47,Cleaned_Futures_Data!$W$2:$W$756,1),"")</f>
        <v>22441.35</v>
      </c>
      <c r="E47" s="41" t="n">
        <f aca="false">IFERROR(AVERAGEIFS(Cleaned_Futures_Data!$N$2:$N$756,Cleaned_Futures_Data!$B$2:$B$756,A47,Cleaned_Futures_Data!$W$2:$W$756,1),"")</f>
        <v>22337.3</v>
      </c>
      <c r="F47" s="42" t="n">
        <f aca="false">IF(AND(ISNUMBER(D47),ISNUMBER(E47)),D47-E47,"")</f>
        <v>104.049999999999</v>
      </c>
      <c r="G47" s="43" t="n">
        <f aca="false">SUMIFS(Cleaned_Futures_Data!$J$2:$J$756,Cleaned_Futures_Data!$B$2:$B$756,A47,Cleaned_Futures_Data!$W$2:$W$756,1)</f>
        <v>82566</v>
      </c>
      <c r="H47" s="43" t="n">
        <f aca="false">SUMIFS(Cleaned_Futures_Data!$L$2:$L$756,Cleaned_Futures_Data!$B$2:$B$756,A47,Cleaned_Futures_Data!$W$2:$W$756,1)</f>
        <v>17827425</v>
      </c>
      <c r="I47" s="43" t="n">
        <f aca="false">SUMIFS(Cleaned_Futures_Data!$J$2:$J$756,Cleaned_Futures_Data!$B$2:$B$756,A47)</f>
        <v>99158</v>
      </c>
    </row>
    <row r="48" customFormat="false" ht="15" hidden="false" customHeight="true" outlineLevel="0" collapsed="false">
      <c r="A48" s="39" t="n">
        <v>45722</v>
      </c>
      <c r="B48" s="39" t="n">
        <f aca="false">_xlfn.MINIFS(Cleaned_Futures_Data!$C$2:$C$756,Cleaned_Futures_Data!$B$2:$B$756,A48)</f>
        <v>45743</v>
      </c>
      <c r="C48" s="40" t="n">
        <f aca="false">B48-A48</f>
        <v>21</v>
      </c>
      <c r="D48" s="41" t="n">
        <f aca="false">IFERROR(AVERAGEIFS(Cleaned_Futures_Data!$G$2:$G$756,Cleaned_Futures_Data!$B$2:$B$756,A48,Cleaned_Futures_Data!$W$2:$W$756,1),"")</f>
        <v>22620.95</v>
      </c>
      <c r="E48" s="41" t="n">
        <f aca="false">IFERROR(AVERAGEIFS(Cleaned_Futures_Data!$N$2:$N$756,Cleaned_Futures_Data!$B$2:$B$756,A48,Cleaned_Futures_Data!$W$2:$W$756,1),"")</f>
        <v>22544.7</v>
      </c>
      <c r="F48" s="42" t="n">
        <f aca="false">IF(AND(ISNUMBER(D48),ISNUMBER(E48)),D48-E48,"")</f>
        <v>76.25</v>
      </c>
      <c r="G48" s="43" t="n">
        <f aca="false">SUMIFS(Cleaned_Futures_Data!$J$2:$J$756,Cleaned_Futures_Data!$B$2:$B$756,A48,Cleaned_Futures_Data!$W$2:$W$756,1)</f>
        <v>117025</v>
      </c>
      <c r="H48" s="43" t="n">
        <f aca="false">SUMIFS(Cleaned_Futures_Data!$L$2:$L$756,Cleaned_Futures_Data!$B$2:$B$756,A48,Cleaned_Futures_Data!$W$2:$W$756,1)</f>
        <v>18106275</v>
      </c>
      <c r="I48" s="43" t="n">
        <f aca="false">SUMIFS(Cleaned_Futures_Data!$J$2:$J$756,Cleaned_Futures_Data!$B$2:$B$756,A48)</f>
        <v>128721</v>
      </c>
    </row>
    <row r="49" customFormat="false" ht="15" hidden="false" customHeight="true" outlineLevel="0" collapsed="false">
      <c r="A49" s="39" t="n">
        <v>45723</v>
      </c>
      <c r="B49" s="39" t="n">
        <f aca="false">_xlfn.MINIFS(Cleaned_Futures_Data!$C$2:$C$756,Cleaned_Futures_Data!$B$2:$B$756,A49)</f>
        <v>45743</v>
      </c>
      <c r="C49" s="40" t="n">
        <f aca="false">B49-A49</f>
        <v>20</v>
      </c>
      <c r="D49" s="41" t="n">
        <f aca="false">IFERROR(AVERAGEIFS(Cleaned_Futures_Data!$G$2:$G$756,Cleaned_Futures_Data!$B$2:$B$756,A49,Cleaned_Futures_Data!$W$2:$W$756,1),"")</f>
        <v>22649.95</v>
      </c>
      <c r="E49" s="41" t="n">
        <f aca="false">IFERROR(AVERAGEIFS(Cleaned_Futures_Data!$N$2:$N$756,Cleaned_Futures_Data!$B$2:$B$756,A49,Cleaned_Futures_Data!$W$2:$W$756,1),"")</f>
        <v>22552.5</v>
      </c>
      <c r="F49" s="42" t="n">
        <f aca="false">IF(AND(ISNUMBER(D49),ISNUMBER(E49)),D49-E49,"")</f>
        <v>97.4500000000007</v>
      </c>
      <c r="G49" s="43" t="n">
        <f aca="false">SUMIFS(Cleaned_Futures_Data!$J$2:$J$756,Cleaned_Futures_Data!$B$2:$B$756,A49,Cleaned_Futures_Data!$W$2:$W$756,1)</f>
        <v>75660</v>
      </c>
      <c r="H49" s="43" t="n">
        <f aca="false">SUMIFS(Cleaned_Futures_Data!$L$2:$L$756,Cleaned_Futures_Data!$B$2:$B$756,A49,Cleaned_Futures_Data!$W$2:$W$756,1)</f>
        <v>18054525</v>
      </c>
      <c r="I49" s="43" t="n">
        <f aca="false">SUMIFS(Cleaned_Futures_Data!$J$2:$J$756,Cleaned_Futures_Data!$B$2:$B$756,A49)</f>
        <v>88017</v>
      </c>
    </row>
    <row r="50" customFormat="false" ht="15" hidden="false" customHeight="true" outlineLevel="0" collapsed="false">
      <c r="A50" s="39" t="n">
        <v>45726</v>
      </c>
      <c r="B50" s="39" t="n">
        <f aca="false">_xlfn.MINIFS(Cleaned_Futures_Data!$C$2:$C$756,Cleaned_Futures_Data!$B$2:$B$756,A50)</f>
        <v>45743</v>
      </c>
      <c r="C50" s="40" t="n">
        <f aca="false">B50-A50</f>
        <v>17</v>
      </c>
      <c r="D50" s="41" t="n">
        <f aca="false">IFERROR(AVERAGEIFS(Cleaned_Futures_Data!$G$2:$G$756,Cleaned_Futures_Data!$B$2:$B$756,A50,Cleaned_Futures_Data!$W$2:$W$756,1),"")</f>
        <v>22515.65</v>
      </c>
      <c r="E50" s="41" t="n">
        <f aca="false">IFERROR(AVERAGEIFS(Cleaned_Futures_Data!$N$2:$N$756,Cleaned_Futures_Data!$B$2:$B$756,A50,Cleaned_Futures_Data!$W$2:$W$756,1),"")</f>
        <v>22460.3</v>
      </c>
      <c r="F50" s="42" t="n">
        <f aca="false">IF(AND(ISNUMBER(D50),ISNUMBER(E50)),D50-E50,"")</f>
        <v>55.3500000000022</v>
      </c>
      <c r="G50" s="43" t="n">
        <f aca="false">SUMIFS(Cleaned_Futures_Data!$J$2:$J$756,Cleaned_Futures_Data!$B$2:$B$756,A50,Cleaned_Futures_Data!$W$2:$W$756,1)</f>
        <v>69156</v>
      </c>
      <c r="H50" s="43" t="n">
        <f aca="false">SUMIFS(Cleaned_Futures_Data!$L$2:$L$756,Cleaned_Futures_Data!$B$2:$B$756,A50,Cleaned_Futures_Data!$W$2:$W$756,1)</f>
        <v>17677275</v>
      </c>
      <c r="I50" s="43" t="n">
        <f aca="false">SUMIFS(Cleaned_Futures_Data!$J$2:$J$756,Cleaned_Futures_Data!$B$2:$B$756,A50)</f>
        <v>78805</v>
      </c>
    </row>
    <row r="51" customFormat="false" ht="15" hidden="false" customHeight="true" outlineLevel="0" collapsed="false">
      <c r="A51" s="39" t="n">
        <v>45727</v>
      </c>
      <c r="B51" s="39" t="n">
        <f aca="false">_xlfn.MINIFS(Cleaned_Futures_Data!$C$2:$C$756,Cleaned_Futures_Data!$B$2:$B$756,A51)</f>
        <v>45743</v>
      </c>
      <c r="C51" s="40" t="n">
        <f aca="false">B51-A51</f>
        <v>16</v>
      </c>
      <c r="D51" s="41" t="n">
        <f aca="false">IFERROR(AVERAGEIFS(Cleaned_Futures_Data!$G$2:$G$756,Cleaned_Futures_Data!$B$2:$B$756,A51,Cleaned_Futures_Data!$W$2:$W$756,1),"")</f>
        <v>22564.3</v>
      </c>
      <c r="E51" s="41" t="n">
        <f aca="false">IFERROR(AVERAGEIFS(Cleaned_Futures_Data!$N$2:$N$756,Cleaned_Futures_Data!$B$2:$B$756,A51,Cleaned_Futures_Data!$W$2:$W$756,1),"")</f>
        <v>22497.9</v>
      </c>
      <c r="F51" s="42" t="n">
        <f aca="false">IF(AND(ISNUMBER(D51),ISNUMBER(E51)),D51-E51,"")</f>
        <v>66.3999999999978</v>
      </c>
      <c r="G51" s="43" t="n">
        <f aca="false">SUMIFS(Cleaned_Futures_Data!$J$2:$J$756,Cleaned_Futures_Data!$B$2:$B$756,A51,Cleaned_Futures_Data!$W$2:$W$756,1)</f>
        <v>75200</v>
      </c>
      <c r="H51" s="43" t="n">
        <f aca="false">SUMIFS(Cleaned_Futures_Data!$L$2:$L$756,Cleaned_Futures_Data!$B$2:$B$756,A51,Cleaned_Futures_Data!$W$2:$W$756,1)</f>
        <v>17580075</v>
      </c>
      <c r="I51" s="43" t="n">
        <f aca="false">SUMIFS(Cleaned_Futures_Data!$J$2:$J$756,Cleaned_Futures_Data!$B$2:$B$756,A51)</f>
        <v>84829</v>
      </c>
    </row>
    <row r="52" customFormat="false" ht="15" hidden="false" customHeight="true" outlineLevel="0" collapsed="false">
      <c r="A52" s="39" t="n">
        <v>45728</v>
      </c>
      <c r="B52" s="39" t="n">
        <f aca="false">_xlfn.MINIFS(Cleaned_Futures_Data!$C$2:$C$756,Cleaned_Futures_Data!$B$2:$B$756,A52)</f>
        <v>45743</v>
      </c>
      <c r="C52" s="40" t="n">
        <f aca="false">B52-A52</f>
        <v>15</v>
      </c>
      <c r="D52" s="41" t="n">
        <f aca="false">IFERROR(AVERAGEIFS(Cleaned_Futures_Data!$G$2:$G$756,Cleaned_Futures_Data!$B$2:$B$756,A52,Cleaned_Futures_Data!$W$2:$W$756,1),"")</f>
        <v>22530.35</v>
      </c>
      <c r="E52" s="41" t="n">
        <f aca="false">IFERROR(AVERAGEIFS(Cleaned_Futures_Data!$N$2:$N$756,Cleaned_Futures_Data!$B$2:$B$756,A52,Cleaned_Futures_Data!$W$2:$W$756,1),"")</f>
        <v>22470.5</v>
      </c>
      <c r="F52" s="42" t="n">
        <f aca="false">IF(AND(ISNUMBER(D52),ISNUMBER(E52)),D52-E52,"")</f>
        <v>59.8499999999985</v>
      </c>
      <c r="G52" s="43" t="n">
        <f aca="false">SUMIFS(Cleaned_Futures_Data!$J$2:$J$756,Cleaned_Futures_Data!$B$2:$B$756,A52,Cleaned_Futures_Data!$W$2:$W$756,1)</f>
        <v>78142</v>
      </c>
      <c r="H52" s="43" t="n">
        <f aca="false">SUMIFS(Cleaned_Futures_Data!$L$2:$L$756,Cleaned_Futures_Data!$B$2:$B$756,A52,Cleaned_Futures_Data!$W$2:$W$756,1)</f>
        <v>17460150</v>
      </c>
      <c r="I52" s="43" t="n">
        <f aca="false">SUMIFS(Cleaned_Futures_Data!$J$2:$J$756,Cleaned_Futures_Data!$B$2:$B$756,A52)</f>
        <v>88167</v>
      </c>
    </row>
    <row r="53" customFormat="false" ht="15" hidden="false" customHeight="true" outlineLevel="0" collapsed="false">
      <c r="A53" s="39" t="n">
        <v>45729</v>
      </c>
      <c r="B53" s="39" t="n">
        <f aca="false">_xlfn.MINIFS(Cleaned_Futures_Data!$C$2:$C$756,Cleaned_Futures_Data!$B$2:$B$756,A53)</f>
        <v>45743</v>
      </c>
      <c r="C53" s="40" t="n">
        <f aca="false">B53-A53</f>
        <v>14</v>
      </c>
      <c r="D53" s="41" t="n">
        <f aca="false">IFERROR(AVERAGEIFS(Cleaned_Futures_Data!$G$2:$G$756,Cleaned_Futures_Data!$B$2:$B$756,A53,Cleaned_Futures_Data!$W$2:$W$756,1),"")</f>
        <v>22444.25</v>
      </c>
      <c r="E53" s="41" t="n">
        <f aca="false">IFERROR(AVERAGEIFS(Cleaned_Futures_Data!$N$2:$N$756,Cleaned_Futures_Data!$B$2:$B$756,A53,Cleaned_Futures_Data!$W$2:$W$756,1),"")</f>
        <v>22397.2</v>
      </c>
      <c r="F53" s="42" t="n">
        <f aca="false">IF(AND(ISNUMBER(D53),ISNUMBER(E53)),D53-E53,"")</f>
        <v>47.0499999999993</v>
      </c>
      <c r="G53" s="43" t="n">
        <f aca="false">SUMIFS(Cleaned_Futures_Data!$J$2:$J$756,Cleaned_Futures_Data!$B$2:$B$756,A53,Cleaned_Futures_Data!$W$2:$W$756,1)</f>
        <v>65790</v>
      </c>
      <c r="H53" s="43" t="n">
        <f aca="false">SUMIFS(Cleaned_Futures_Data!$L$2:$L$756,Cleaned_Futures_Data!$B$2:$B$756,A53,Cleaned_Futures_Data!$W$2:$W$756,1)</f>
        <v>17564925</v>
      </c>
      <c r="I53" s="43" t="n">
        <f aca="false">SUMIFS(Cleaned_Futures_Data!$J$2:$J$756,Cleaned_Futures_Data!$B$2:$B$756,A53)</f>
        <v>72581</v>
      </c>
    </row>
    <row r="54" customFormat="false" ht="15" hidden="false" customHeight="true" outlineLevel="0" collapsed="false">
      <c r="A54" s="39" t="n">
        <v>45733</v>
      </c>
      <c r="B54" s="39" t="n">
        <f aca="false">_xlfn.MINIFS(Cleaned_Futures_Data!$C$2:$C$756,Cleaned_Futures_Data!$B$2:$B$756,A54)</f>
        <v>45743</v>
      </c>
      <c r="C54" s="40" t="n">
        <f aca="false">B54-A54</f>
        <v>10</v>
      </c>
      <c r="D54" s="41" t="n">
        <f aca="false">IFERROR(AVERAGEIFS(Cleaned_Futures_Data!$G$2:$G$756,Cleaned_Futures_Data!$B$2:$B$756,A54,Cleaned_Futures_Data!$W$2:$W$756,1),"")</f>
        <v>22584.3</v>
      </c>
      <c r="E54" s="41" t="n">
        <f aca="false">IFERROR(AVERAGEIFS(Cleaned_Futures_Data!$N$2:$N$756,Cleaned_Futures_Data!$B$2:$B$756,A54,Cleaned_Futures_Data!$W$2:$W$756,1),"")</f>
        <v>22508.75</v>
      </c>
      <c r="F54" s="42" t="n">
        <f aca="false">IF(AND(ISNUMBER(D54),ISNUMBER(E54)),D54-E54,"")</f>
        <v>75.5499999999993</v>
      </c>
      <c r="G54" s="43" t="n">
        <f aca="false">SUMIFS(Cleaned_Futures_Data!$J$2:$J$756,Cleaned_Futures_Data!$B$2:$B$756,A54,Cleaned_Futures_Data!$W$2:$W$756,1)</f>
        <v>67599</v>
      </c>
      <c r="H54" s="43" t="n">
        <f aca="false">SUMIFS(Cleaned_Futures_Data!$L$2:$L$756,Cleaned_Futures_Data!$B$2:$B$756,A54,Cleaned_Futures_Data!$W$2:$W$756,1)</f>
        <v>17206125</v>
      </c>
      <c r="I54" s="43" t="n">
        <f aca="false">SUMIFS(Cleaned_Futures_Data!$J$2:$J$756,Cleaned_Futures_Data!$B$2:$B$756,A54)</f>
        <v>76821</v>
      </c>
    </row>
    <row r="55" customFormat="false" ht="15" hidden="false" customHeight="true" outlineLevel="0" collapsed="false">
      <c r="A55" s="39" t="n">
        <v>45734</v>
      </c>
      <c r="B55" s="39" t="n">
        <f aca="false">_xlfn.MINIFS(Cleaned_Futures_Data!$C$2:$C$756,Cleaned_Futures_Data!$B$2:$B$756,A55)</f>
        <v>45743</v>
      </c>
      <c r="C55" s="40" t="n">
        <f aca="false">B55-A55</f>
        <v>9</v>
      </c>
      <c r="D55" s="41" t="n">
        <f aca="false">IFERROR(AVERAGEIFS(Cleaned_Futures_Data!$G$2:$G$756,Cleaned_Futures_Data!$B$2:$B$756,A55,Cleaned_Futures_Data!$W$2:$W$756,1),"")</f>
        <v>22895.4</v>
      </c>
      <c r="E55" s="41" t="n">
        <f aca="false">IFERROR(AVERAGEIFS(Cleaned_Futures_Data!$N$2:$N$756,Cleaned_Futures_Data!$B$2:$B$756,A55,Cleaned_Futures_Data!$W$2:$W$756,1),"")</f>
        <v>22834.3</v>
      </c>
      <c r="F55" s="42" t="n">
        <f aca="false">IF(AND(ISNUMBER(D55),ISNUMBER(E55)),D55-E55,"")</f>
        <v>61.1000000000022</v>
      </c>
      <c r="G55" s="43" t="n">
        <f aca="false">SUMIFS(Cleaned_Futures_Data!$J$2:$J$756,Cleaned_Futures_Data!$B$2:$B$756,A55,Cleaned_Futures_Data!$W$2:$W$756,1)</f>
        <v>89671</v>
      </c>
      <c r="H55" s="43" t="n">
        <f aca="false">SUMIFS(Cleaned_Futures_Data!$L$2:$L$756,Cleaned_Futures_Data!$B$2:$B$756,A55,Cleaned_Futures_Data!$W$2:$W$756,1)</f>
        <v>16764675</v>
      </c>
      <c r="I55" s="43" t="n">
        <f aca="false">SUMIFS(Cleaned_Futures_Data!$J$2:$J$756,Cleaned_Futures_Data!$B$2:$B$756,A55)</f>
        <v>108517</v>
      </c>
    </row>
    <row r="56" customFormat="false" ht="15" hidden="false" customHeight="true" outlineLevel="0" collapsed="false">
      <c r="A56" s="39" t="n">
        <v>45735</v>
      </c>
      <c r="B56" s="39" t="n">
        <f aca="false">_xlfn.MINIFS(Cleaned_Futures_Data!$C$2:$C$756,Cleaned_Futures_Data!$B$2:$B$756,A56)</f>
        <v>45743</v>
      </c>
      <c r="C56" s="40" t="n">
        <f aca="false">B56-A56</f>
        <v>8</v>
      </c>
      <c r="D56" s="41" t="n">
        <f aca="false">IFERROR(AVERAGEIFS(Cleaned_Futures_Data!$G$2:$G$756,Cleaned_Futures_Data!$B$2:$B$756,A56,Cleaned_Futures_Data!$W$2:$W$756,1),"")</f>
        <v>22972.95</v>
      </c>
      <c r="E56" s="41" t="n">
        <f aca="false">IFERROR(AVERAGEIFS(Cleaned_Futures_Data!$N$2:$N$756,Cleaned_Futures_Data!$B$2:$B$756,A56,Cleaned_Futures_Data!$W$2:$W$756,1),"")</f>
        <v>22907.6</v>
      </c>
      <c r="F56" s="42" t="n">
        <f aca="false">IF(AND(ISNUMBER(D56),ISNUMBER(E56)),D56-E56,"")</f>
        <v>65.3500000000022</v>
      </c>
      <c r="G56" s="43" t="n">
        <f aca="false">SUMIFS(Cleaned_Futures_Data!$J$2:$J$756,Cleaned_Futures_Data!$B$2:$B$756,A56,Cleaned_Futures_Data!$W$2:$W$756,1)</f>
        <v>59079</v>
      </c>
      <c r="H56" s="43" t="n">
        <f aca="false">SUMIFS(Cleaned_Futures_Data!$L$2:$L$756,Cleaned_Futures_Data!$B$2:$B$756,A56,Cleaned_Futures_Data!$W$2:$W$756,1)</f>
        <v>16443750</v>
      </c>
      <c r="I56" s="43" t="n">
        <f aca="false">SUMIFS(Cleaned_Futures_Data!$J$2:$J$756,Cleaned_Futures_Data!$B$2:$B$756,A56)</f>
        <v>78873</v>
      </c>
    </row>
    <row r="57" customFormat="false" ht="15" hidden="false" customHeight="true" outlineLevel="0" collapsed="false">
      <c r="A57" s="39" t="n">
        <v>45736</v>
      </c>
      <c r="B57" s="39" t="n">
        <f aca="false">_xlfn.MINIFS(Cleaned_Futures_Data!$C$2:$C$756,Cleaned_Futures_Data!$B$2:$B$756,A57)</f>
        <v>45743</v>
      </c>
      <c r="C57" s="40" t="n">
        <f aca="false">B57-A57</f>
        <v>7</v>
      </c>
      <c r="D57" s="41" t="n">
        <f aca="false">IFERROR(AVERAGEIFS(Cleaned_Futures_Data!$G$2:$G$756,Cleaned_Futures_Data!$B$2:$B$756,A57,Cleaned_Futures_Data!$W$2:$W$756,1),"")</f>
        <v>23200.25</v>
      </c>
      <c r="E57" s="41" t="n">
        <f aca="false">IFERROR(AVERAGEIFS(Cleaned_Futures_Data!$N$2:$N$756,Cleaned_Futures_Data!$B$2:$B$756,A57,Cleaned_Futures_Data!$W$2:$W$756,1),"")</f>
        <v>23190.65</v>
      </c>
      <c r="F57" s="42" t="n">
        <f aca="false">IF(AND(ISNUMBER(D57),ISNUMBER(E57)),D57-E57,"")</f>
        <v>9.59999999999855</v>
      </c>
      <c r="G57" s="43" t="n">
        <f aca="false">SUMIFS(Cleaned_Futures_Data!$J$2:$J$756,Cleaned_Futures_Data!$B$2:$B$756,A57,Cleaned_Futures_Data!$W$2:$W$756,1)</f>
        <v>103958</v>
      </c>
      <c r="H57" s="43" t="n">
        <f aca="false">SUMIFS(Cleaned_Futures_Data!$L$2:$L$756,Cleaned_Futures_Data!$B$2:$B$756,A57,Cleaned_Futures_Data!$W$2:$W$756,1)</f>
        <v>15414525</v>
      </c>
      <c r="I57" s="43" t="n">
        <f aca="false">SUMIFS(Cleaned_Futures_Data!$J$2:$J$756,Cleaned_Futures_Data!$B$2:$B$756,A57)</f>
        <v>132507</v>
      </c>
    </row>
    <row r="58" customFormat="false" ht="15" hidden="false" customHeight="true" outlineLevel="0" collapsed="false">
      <c r="A58" s="39" t="n">
        <v>45737</v>
      </c>
      <c r="B58" s="39" t="n">
        <f aca="false">_xlfn.MINIFS(Cleaned_Futures_Data!$C$2:$C$756,Cleaned_Futures_Data!$B$2:$B$756,A58)</f>
        <v>45743</v>
      </c>
      <c r="C58" s="40" t="n">
        <f aca="false">B58-A58</f>
        <v>6</v>
      </c>
      <c r="D58" s="41" t="n">
        <f aca="false">IFERROR(AVERAGEIFS(Cleaned_Futures_Data!$G$2:$G$756,Cleaned_Futures_Data!$B$2:$B$756,A58,Cleaned_Futures_Data!$W$2:$W$756,1),"")</f>
        <v>23379.85</v>
      </c>
      <c r="E58" s="41" t="n">
        <f aca="false">IFERROR(AVERAGEIFS(Cleaned_Futures_Data!$N$2:$N$756,Cleaned_Futures_Data!$B$2:$B$756,A58,Cleaned_Futures_Data!$W$2:$W$756,1),"")</f>
        <v>23350.4</v>
      </c>
      <c r="F58" s="42" t="n">
        <f aca="false">IF(AND(ISNUMBER(D58),ISNUMBER(E58)),D58-E58,"")</f>
        <v>29.4499999999971</v>
      </c>
      <c r="G58" s="43" t="n">
        <f aca="false">SUMIFS(Cleaned_Futures_Data!$J$2:$J$756,Cleaned_Futures_Data!$B$2:$B$756,A58,Cleaned_Futures_Data!$W$2:$W$756,1)</f>
        <v>89048</v>
      </c>
      <c r="H58" s="43" t="n">
        <f aca="false">SUMIFS(Cleaned_Futures_Data!$L$2:$L$756,Cleaned_Futures_Data!$B$2:$B$756,A58,Cleaned_Futures_Data!$W$2:$W$756,1)</f>
        <v>14353050</v>
      </c>
      <c r="I58" s="43" t="n">
        <f aca="false">SUMIFS(Cleaned_Futures_Data!$J$2:$J$756,Cleaned_Futures_Data!$B$2:$B$756,A58)</f>
        <v>120829</v>
      </c>
    </row>
    <row r="59" customFormat="false" ht="15" hidden="false" customHeight="true" outlineLevel="0" collapsed="false">
      <c r="A59" s="39" t="n">
        <v>45740</v>
      </c>
      <c r="B59" s="39" t="n">
        <f aca="false">_xlfn.MINIFS(Cleaned_Futures_Data!$C$2:$C$756,Cleaned_Futures_Data!$B$2:$B$756,A59)</f>
        <v>45743</v>
      </c>
      <c r="C59" s="40" t="n">
        <f aca="false">B59-A59</f>
        <v>3</v>
      </c>
      <c r="D59" s="41" t="n">
        <f aca="false">IFERROR(AVERAGEIFS(Cleaned_Futures_Data!$G$2:$G$756,Cleaned_Futures_Data!$B$2:$B$756,A59,Cleaned_Futures_Data!$W$2:$W$756,1),"")</f>
        <v>23699.35</v>
      </c>
      <c r="E59" s="41" t="n">
        <f aca="false">IFERROR(AVERAGEIFS(Cleaned_Futures_Data!$N$2:$N$756,Cleaned_Futures_Data!$B$2:$B$756,A59,Cleaned_Futures_Data!$W$2:$W$756,1),"")</f>
        <v>23658.35</v>
      </c>
      <c r="F59" s="42" t="n">
        <f aca="false">IF(AND(ISNUMBER(D59),ISNUMBER(E59)),D59-E59,"")</f>
        <v>41</v>
      </c>
      <c r="G59" s="43" t="n">
        <f aca="false">SUMIFS(Cleaned_Futures_Data!$J$2:$J$756,Cleaned_Futures_Data!$B$2:$B$756,A59,Cleaned_Futures_Data!$W$2:$W$756,1)</f>
        <v>94775</v>
      </c>
      <c r="H59" s="43" t="n">
        <f aca="false">SUMIFS(Cleaned_Futures_Data!$L$2:$L$756,Cleaned_Futures_Data!$B$2:$B$756,A59,Cleaned_Futures_Data!$W$2:$W$756,1)</f>
        <v>12926625</v>
      </c>
      <c r="I59" s="43" t="n">
        <f aca="false">SUMIFS(Cleaned_Futures_Data!$J$2:$J$756,Cleaned_Futures_Data!$B$2:$B$756,A59)</f>
        <v>151429</v>
      </c>
    </row>
    <row r="60" customFormat="false" ht="15" hidden="false" customHeight="true" outlineLevel="0" collapsed="false">
      <c r="A60" s="39" t="n">
        <v>45741</v>
      </c>
      <c r="B60" s="39" t="n">
        <f aca="false">_xlfn.MINIFS(Cleaned_Futures_Data!$C$2:$C$756,Cleaned_Futures_Data!$B$2:$B$756,A60)</f>
        <v>45743</v>
      </c>
      <c r="C60" s="40" t="n">
        <f aca="false">B60-A60</f>
        <v>2</v>
      </c>
      <c r="D60" s="41" t="n">
        <f aca="false">IFERROR(AVERAGEIFS(Cleaned_Futures_Data!$G$2:$G$756,Cleaned_Futures_Data!$B$2:$B$756,A60,Cleaned_Futures_Data!$W$2:$W$756,1),"")</f>
        <v>23705.35</v>
      </c>
      <c r="E60" s="41" t="n">
        <f aca="false">IFERROR(AVERAGEIFS(Cleaned_Futures_Data!$N$2:$N$756,Cleaned_Futures_Data!$B$2:$B$756,A60,Cleaned_Futures_Data!$W$2:$W$756,1),"")</f>
        <v>23668.65</v>
      </c>
      <c r="F60" s="42" t="n">
        <f aca="false">IF(AND(ISNUMBER(D60),ISNUMBER(E60)),D60-E60,"")</f>
        <v>36.6999999999971</v>
      </c>
      <c r="G60" s="43" t="n">
        <f aca="false">SUMIFS(Cleaned_Futures_Data!$J$2:$J$756,Cleaned_Futures_Data!$B$2:$B$756,A60,Cleaned_Futures_Data!$W$2:$W$756,1)</f>
        <v>112607</v>
      </c>
      <c r="H60" s="43" t="n">
        <f aca="false">SUMIFS(Cleaned_Futures_Data!$L$2:$L$756,Cleaned_Futures_Data!$B$2:$B$756,A60,Cleaned_Futures_Data!$W$2:$W$756,1)</f>
        <v>11648400</v>
      </c>
      <c r="I60" s="43" t="n">
        <f aca="false">SUMIFS(Cleaned_Futures_Data!$J$2:$J$756,Cleaned_Futures_Data!$B$2:$B$756,A60)</f>
        <v>184265</v>
      </c>
    </row>
    <row r="61" customFormat="false" ht="15" hidden="false" customHeight="true" outlineLevel="0" collapsed="false">
      <c r="A61" s="39" t="n">
        <v>45742</v>
      </c>
      <c r="B61" s="39" t="n">
        <f aca="false">_xlfn.MINIFS(Cleaned_Futures_Data!$C$2:$C$756,Cleaned_Futures_Data!$B$2:$B$756,A61)</f>
        <v>45743</v>
      </c>
      <c r="C61" s="40" t="n">
        <f aca="false">B61-A61</f>
        <v>1</v>
      </c>
      <c r="D61" s="41" t="n">
        <f aca="false">IFERROR(AVERAGEIFS(Cleaned_Futures_Data!$G$2:$G$756,Cleaned_Futures_Data!$B$2:$B$756,A61,Cleaned_Futures_Data!$W$2:$W$756,1),"")</f>
        <v>23521.9</v>
      </c>
      <c r="E61" s="41" t="n">
        <f aca="false">IFERROR(AVERAGEIFS(Cleaned_Futures_Data!$N$2:$N$756,Cleaned_Futures_Data!$B$2:$B$756,A61,Cleaned_Futures_Data!$W$2:$W$756,1),"")</f>
        <v>23486.85</v>
      </c>
      <c r="F61" s="42" t="n">
        <f aca="false">IF(AND(ISNUMBER(D61),ISNUMBER(E61)),D61-E61,"")</f>
        <v>35.0500000000029</v>
      </c>
      <c r="G61" s="43" t="n">
        <f aca="false">SUMIFS(Cleaned_Futures_Data!$J$2:$J$756,Cleaned_Futures_Data!$B$2:$B$756,A61,Cleaned_Futures_Data!$W$2:$W$756,1)</f>
        <v>110793</v>
      </c>
      <c r="H61" s="43" t="n">
        <f aca="false">SUMIFS(Cleaned_Futures_Data!$L$2:$L$756,Cleaned_Futures_Data!$B$2:$B$756,A61,Cleaned_Futures_Data!$W$2:$W$756,1)</f>
        <v>7067400</v>
      </c>
      <c r="I61" s="43" t="n">
        <f aca="false">SUMIFS(Cleaned_Futures_Data!$J$2:$J$756,Cleaned_Futures_Data!$B$2:$B$756,A61)</f>
        <v>210057</v>
      </c>
    </row>
    <row r="62" customFormat="false" ht="15" hidden="false" customHeight="true" outlineLevel="0" collapsed="false">
      <c r="A62" s="39" t="n">
        <v>45743</v>
      </c>
      <c r="B62" s="39" t="n">
        <f aca="false">_xlfn.MINIFS(Cleaned_Futures_Data!$C$2:$C$756,Cleaned_Futures_Data!$B$2:$B$756,A62)</f>
        <v>45743</v>
      </c>
      <c r="C62" s="40" t="n">
        <f aca="false">B62-A62</f>
        <v>0</v>
      </c>
      <c r="D62" s="41" t="n">
        <f aca="false">IFERROR(AVERAGEIFS(Cleaned_Futures_Data!$G$2:$G$756,Cleaned_Futures_Data!$B$2:$B$756,A62,Cleaned_Futures_Data!$W$2:$W$756,1),"")</f>
        <v>23593.6</v>
      </c>
      <c r="E62" s="41" t="n">
        <f aca="false">IFERROR(AVERAGEIFS(Cleaned_Futures_Data!$N$2:$N$756,Cleaned_Futures_Data!$B$2:$B$756,A62,Cleaned_Futures_Data!$W$2:$W$756,1),"")</f>
        <v>23591.95</v>
      </c>
      <c r="F62" s="42" t="n">
        <f aca="false">IF(AND(ISNUMBER(D62),ISNUMBER(E62)),D62-E62,"")</f>
        <v>1.64999999999782</v>
      </c>
      <c r="G62" s="43" t="n">
        <f aca="false">SUMIFS(Cleaned_Futures_Data!$J$2:$J$756,Cleaned_Futures_Data!$B$2:$B$756,A62,Cleaned_Futures_Data!$W$2:$W$756,1)</f>
        <v>72007</v>
      </c>
      <c r="H62" s="43" t="n">
        <f aca="false">SUMIFS(Cleaned_Futures_Data!$L$2:$L$756,Cleaned_Futures_Data!$B$2:$B$756,A62,Cleaned_Futures_Data!$W$2:$W$756,1)</f>
        <v>4421475</v>
      </c>
      <c r="I62" s="43" t="n">
        <f aca="false">SUMIFS(Cleaned_Futures_Data!$J$2:$J$756,Cleaned_Futures_Data!$B$2:$B$756,A62)</f>
        <v>161617</v>
      </c>
    </row>
    <row r="63" customFormat="false" ht="15" hidden="false" customHeight="true" outlineLevel="0" collapsed="false">
      <c r="A63" s="39" t="n">
        <v>45744</v>
      </c>
      <c r="B63" s="39" t="n">
        <f aca="false">_xlfn.MINIFS(Cleaned_Futures_Data!$C$2:$C$756,Cleaned_Futures_Data!$B$2:$B$756,A63)</f>
        <v>45771</v>
      </c>
      <c r="C63" s="40" t="n">
        <f aca="false">B63-A63</f>
        <v>27</v>
      </c>
      <c r="D63" s="41" t="n">
        <f aca="false">IFERROR(AVERAGEIFS(Cleaned_Futures_Data!$G$2:$G$756,Cleaned_Futures_Data!$B$2:$B$756,A63,Cleaned_Futures_Data!$W$2:$W$756,1),"")</f>
        <v>23637.65</v>
      </c>
      <c r="E63" s="41" t="str">
        <f aca="false">IFERROR(AVERAGEIFS(Cleaned_Futures_Data!$N$2:$N$756,Cleaned_Futures_Data!$B$2:$B$756,A63,Cleaned_Futures_Data!$W$2:$W$756,1),"")</f>
        <v/>
      </c>
      <c r="F63" s="42" t="str">
        <f aca="false">IF(AND(ISNUMBER(D63),ISNUMBER(E63)),D63-E63,"")</f>
        <v/>
      </c>
      <c r="G63" s="43" t="n">
        <f aca="false">SUMIFS(Cleaned_Futures_Data!$J$2:$J$756,Cleaned_Futures_Data!$B$2:$B$756,A63,Cleaned_Futures_Data!$W$2:$W$756,1)</f>
        <v>97506</v>
      </c>
      <c r="H63" s="43" t="n">
        <f aca="false">SUMIFS(Cleaned_Futures_Data!$L$2:$L$756,Cleaned_Futures_Data!$B$2:$B$756,A63,Cleaned_Futures_Data!$W$2:$W$756,1)</f>
        <v>12560100</v>
      </c>
      <c r="I63" s="43" t="n">
        <f aca="false">SUMIFS(Cleaned_Futures_Data!$J$2:$J$756,Cleaned_Futures_Data!$B$2:$B$756,A63)</f>
        <v>111317</v>
      </c>
    </row>
    <row r="64" customFormat="false" ht="15" hidden="false" customHeight="true" outlineLevel="0" collapsed="false">
      <c r="A64" s="39" t="n">
        <v>45748</v>
      </c>
      <c r="B64" s="39" t="n">
        <f aca="false">_xlfn.MINIFS(Cleaned_Futures_Data!$C$2:$C$756,Cleaned_Futures_Data!$B$2:$B$756,A64)</f>
        <v>45771</v>
      </c>
      <c r="C64" s="40" t="n">
        <f aca="false">B64-A64</f>
        <v>23</v>
      </c>
      <c r="D64" s="41" t="n">
        <f aca="false">IFERROR(AVERAGEIFS(Cleaned_Futures_Data!$G$2:$G$756,Cleaned_Futures_Data!$B$2:$B$756,A64,Cleaned_Futures_Data!$W$2:$W$756,1),"")</f>
        <v>23321.4</v>
      </c>
      <c r="E64" s="41" t="n">
        <f aca="false">IFERROR(AVERAGEIFS(Cleaned_Futures_Data!$N$2:$N$756,Cleaned_Futures_Data!$B$2:$B$756,A64,Cleaned_Futures_Data!$W$2:$W$756,1),"")</f>
        <v>23165.7</v>
      </c>
      <c r="F64" s="42" t="n">
        <f aca="false">IF(AND(ISNUMBER(D64),ISNUMBER(E64)),D64-E64,"")</f>
        <v>155.700000000001</v>
      </c>
      <c r="G64" s="43" t="n">
        <f aca="false">SUMIFS(Cleaned_Futures_Data!$J$2:$J$756,Cleaned_Futures_Data!$B$2:$B$756,A64,Cleaned_Futures_Data!$W$2:$W$756,1)</f>
        <v>122621</v>
      </c>
      <c r="H64" s="43" t="n">
        <f aca="false">SUMIFS(Cleaned_Futures_Data!$L$2:$L$756,Cleaned_Futures_Data!$B$2:$B$756,A64,Cleaned_Futures_Data!$W$2:$W$756,1)</f>
        <v>12808425</v>
      </c>
      <c r="I64" s="43" t="n">
        <f aca="false">SUMIFS(Cleaned_Futures_Data!$J$2:$J$756,Cleaned_Futures_Data!$B$2:$B$756,A64)</f>
        <v>141008</v>
      </c>
    </row>
    <row r="65" customFormat="false" ht="15" hidden="false" customHeight="true" outlineLevel="0" collapsed="false">
      <c r="A65" s="39" t="n">
        <v>45749</v>
      </c>
      <c r="B65" s="39" t="n">
        <f aca="false">_xlfn.MINIFS(Cleaned_Futures_Data!$C$2:$C$756,Cleaned_Futures_Data!$B$2:$B$756,A65)</f>
        <v>45771</v>
      </c>
      <c r="C65" s="40" t="n">
        <f aca="false">B65-A65</f>
        <v>22</v>
      </c>
      <c r="D65" s="41" t="n">
        <f aca="false">IFERROR(AVERAGEIFS(Cleaned_Futures_Data!$G$2:$G$756,Cleaned_Futures_Data!$B$2:$B$756,A65,Cleaned_Futures_Data!$W$2:$W$756,1),"")</f>
        <v>23438.95</v>
      </c>
      <c r="E65" s="41" t="n">
        <f aca="false">IFERROR(AVERAGEIFS(Cleaned_Futures_Data!$N$2:$N$756,Cleaned_Futures_Data!$B$2:$B$756,A65,Cleaned_Futures_Data!$W$2:$W$756,1),"")</f>
        <v>23332.35</v>
      </c>
      <c r="F65" s="42" t="n">
        <f aca="false">IF(AND(ISNUMBER(D65),ISNUMBER(E65)),D65-E65,"")</f>
        <v>106.600000000002</v>
      </c>
      <c r="G65" s="43" t="n">
        <f aca="false">SUMIFS(Cleaned_Futures_Data!$J$2:$J$756,Cleaned_Futures_Data!$B$2:$B$756,A65,Cleaned_Futures_Data!$W$2:$W$756,1)</f>
        <v>64204</v>
      </c>
      <c r="H65" s="43" t="n">
        <f aca="false">SUMIFS(Cleaned_Futures_Data!$L$2:$L$756,Cleaned_Futures_Data!$B$2:$B$756,A65,Cleaned_Futures_Data!$W$2:$W$756,1)</f>
        <v>12604950</v>
      </c>
      <c r="I65" s="43" t="n">
        <f aca="false">SUMIFS(Cleaned_Futures_Data!$J$2:$J$756,Cleaned_Futures_Data!$B$2:$B$756,A65)</f>
        <v>70783</v>
      </c>
    </row>
    <row r="66" customFormat="false" ht="15" hidden="false" customHeight="true" outlineLevel="0" collapsed="false">
      <c r="A66" s="39" t="n">
        <v>45750</v>
      </c>
      <c r="B66" s="39" t="n">
        <f aca="false">_xlfn.MINIFS(Cleaned_Futures_Data!$C$2:$C$756,Cleaned_Futures_Data!$B$2:$B$756,A66)</f>
        <v>45771</v>
      </c>
      <c r="C66" s="40" t="n">
        <f aca="false">B66-A66</f>
        <v>21</v>
      </c>
      <c r="D66" s="41" t="n">
        <f aca="false">IFERROR(AVERAGEIFS(Cleaned_Futures_Data!$G$2:$G$756,Cleaned_Futures_Data!$B$2:$B$756,A66,Cleaned_Futures_Data!$W$2:$W$756,1),"")</f>
        <v>23325.95</v>
      </c>
      <c r="E66" s="41" t="n">
        <f aca="false">IFERROR(AVERAGEIFS(Cleaned_Futures_Data!$N$2:$N$756,Cleaned_Futures_Data!$B$2:$B$756,A66,Cleaned_Futures_Data!$W$2:$W$756,1),"")</f>
        <v>23250.1</v>
      </c>
      <c r="F66" s="42" t="n">
        <f aca="false">IF(AND(ISNUMBER(D66),ISNUMBER(E66)),D66-E66,"")</f>
        <v>75.8500000000022</v>
      </c>
      <c r="G66" s="43" t="n">
        <f aca="false">SUMIFS(Cleaned_Futures_Data!$J$2:$J$756,Cleaned_Futures_Data!$B$2:$B$756,A66,Cleaned_Futures_Data!$W$2:$W$756,1)</f>
        <v>68519</v>
      </c>
      <c r="H66" s="43" t="n">
        <f aca="false">SUMIFS(Cleaned_Futures_Data!$L$2:$L$756,Cleaned_Futures_Data!$B$2:$B$756,A66,Cleaned_Futures_Data!$W$2:$W$756,1)</f>
        <v>13032300</v>
      </c>
      <c r="I66" s="43" t="n">
        <f aca="false">SUMIFS(Cleaned_Futures_Data!$J$2:$J$756,Cleaned_Futures_Data!$B$2:$B$756,A66)</f>
        <v>73170</v>
      </c>
    </row>
    <row r="67" customFormat="false" ht="15" hidden="false" customHeight="true" outlineLevel="0" collapsed="false">
      <c r="A67" s="39" t="n">
        <v>45751</v>
      </c>
      <c r="B67" s="39" t="n">
        <f aca="false">_xlfn.MINIFS(Cleaned_Futures_Data!$C$2:$C$756,Cleaned_Futures_Data!$B$2:$B$756,A67)</f>
        <v>45771</v>
      </c>
      <c r="C67" s="40" t="n">
        <f aca="false">B67-A67</f>
        <v>20</v>
      </c>
      <c r="D67" s="41" t="n">
        <f aca="false">IFERROR(AVERAGEIFS(Cleaned_Futures_Data!$G$2:$G$756,Cleaned_Futures_Data!$B$2:$B$756,A67,Cleaned_Futures_Data!$W$2:$W$756,1),"")</f>
        <v>22958.15</v>
      </c>
      <c r="E67" s="41" t="n">
        <f aca="false">IFERROR(AVERAGEIFS(Cleaned_Futures_Data!$N$2:$N$756,Cleaned_Futures_Data!$B$2:$B$756,A67,Cleaned_Futures_Data!$W$2:$W$756,1),"")</f>
        <v>22904.45</v>
      </c>
      <c r="F67" s="42" t="n">
        <f aca="false">IF(AND(ISNUMBER(D67),ISNUMBER(E67)),D67-E67,"")</f>
        <v>53.7000000000007</v>
      </c>
      <c r="G67" s="43" t="n">
        <f aca="false">SUMIFS(Cleaned_Futures_Data!$J$2:$J$756,Cleaned_Futures_Data!$B$2:$B$756,A67,Cleaned_Futures_Data!$W$2:$W$756,1)</f>
        <v>108118</v>
      </c>
      <c r="H67" s="43" t="n">
        <f aca="false">SUMIFS(Cleaned_Futures_Data!$L$2:$L$756,Cleaned_Futures_Data!$B$2:$B$756,A67,Cleaned_Futures_Data!$W$2:$W$756,1)</f>
        <v>13654275</v>
      </c>
      <c r="I67" s="43" t="n">
        <f aca="false">SUMIFS(Cleaned_Futures_Data!$J$2:$J$756,Cleaned_Futures_Data!$B$2:$B$756,A67)</f>
        <v>119908</v>
      </c>
    </row>
    <row r="68" customFormat="false" ht="15" hidden="false" customHeight="true" outlineLevel="0" collapsed="false">
      <c r="A68" s="39" t="n">
        <v>45754</v>
      </c>
      <c r="B68" s="39" t="n">
        <f aca="false">_xlfn.MINIFS(Cleaned_Futures_Data!$C$2:$C$756,Cleaned_Futures_Data!$B$2:$B$756,A68)</f>
        <v>45771</v>
      </c>
      <c r="C68" s="40" t="n">
        <f aca="false">B68-A68</f>
        <v>17</v>
      </c>
      <c r="D68" s="41" t="n">
        <f aca="false">IFERROR(AVERAGEIFS(Cleaned_Futures_Data!$G$2:$G$756,Cleaned_Futures_Data!$B$2:$B$756,A68,Cleaned_Futures_Data!$W$2:$W$756,1),"")</f>
        <v>22263.8</v>
      </c>
      <c r="E68" s="41" t="str">
        <f aca="false">IFERROR(AVERAGEIFS(Cleaned_Futures_Data!$N$2:$N$756,Cleaned_Futures_Data!$B$2:$B$756,A68,Cleaned_Futures_Data!$W$2:$W$756,1),"")</f>
        <v/>
      </c>
      <c r="F68" s="42" t="str">
        <f aca="false">IF(AND(ISNUMBER(D68),ISNUMBER(E68)),D68-E68,"")</f>
        <v/>
      </c>
      <c r="G68" s="43" t="n">
        <f aca="false">SUMIFS(Cleaned_Futures_Data!$J$2:$J$756,Cleaned_Futures_Data!$B$2:$B$756,A68,Cleaned_Futures_Data!$W$2:$W$756,1)</f>
        <v>262265</v>
      </c>
      <c r="H68" s="43" t="n">
        <f aca="false">SUMIFS(Cleaned_Futures_Data!$L$2:$L$756,Cleaned_Futures_Data!$B$2:$B$756,A68,Cleaned_Futures_Data!$W$2:$W$756,1)</f>
        <v>13875975</v>
      </c>
      <c r="I68" s="43" t="n">
        <f aca="false">SUMIFS(Cleaned_Futures_Data!$J$2:$J$756,Cleaned_Futures_Data!$B$2:$B$756,A68)</f>
        <v>297183</v>
      </c>
    </row>
    <row r="69" customFormat="false" ht="15" hidden="false" customHeight="true" outlineLevel="0" collapsed="false">
      <c r="A69" s="39" t="n">
        <v>45755</v>
      </c>
      <c r="B69" s="39" t="n">
        <f aca="false">_xlfn.MINIFS(Cleaned_Futures_Data!$C$2:$C$756,Cleaned_Futures_Data!$B$2:$B$756,A69)</f>
        <v>45771</v>
      </c>
      <c r="C69" s="40" t="n">
        <f aca="false">B69-A69</f>
        <v>16</v>
      </c>
      <c r="D69" s="41" t="n">
        <f aca="false">IFERROR(AVERAGEIFS(Cleaned_Futures_Data!$G$2:$G$756,Cleaned_Futures_Data!$B$2:$B$756,A69,Cleaned_Futures_Data!$W$2:$W$756,1),"")</f>
        <v>22630.35</v>
      </c>
      <c r="E69" s="41" t="str">
        <f aca="false">IFERROR(AVERAGEIFS(Cleaned_Futures_Data!$N$2:$N$756,Cleaned_Futures_Data!$B$2:$B$756,A69,Cleaned_Futures_Data!$W$2:$W$756,1),"")</f>
        <v/>
      </c>
      <c r="F69" s="42" t="str">
        <f aca="false">IF(AND(ISNUMBER(D69),ISNUMBER(E69)),D69-E69,"")</f>
        <v/>
      </c>
      <c r="G69" s="43" t="n">
        <f aca="false">SUMIFS(Cleaned_Futures_Data!$J$2:$J$756,Cleaned_Futures_Data!$B$2:$B$756,A69,Cleaned_Futures_Data!$W$2:$W$756,1)</f>
        <v>156069</v>
      </c>
      <c r="H69" s="43" t="n">
        <f aca="false">SUMIFS(Cleaned_Futures_Data!$L$2:$L$756,Cleaned_Futures_Data!$B$2:$B$756,A69,Cleaned_Futures_Data!$W$2:$W$756,1)</f>
        <v>13430775</v>
      </c>
      <c r="I69" s="43" t="n">
        <f aca="false">SUMIFS(Cleaned_Futures_Data!$J$2:$J$756,Cleaned_Futures_Data!$B$2:$B$756,A69)</f>
        <v>175605</v>
      </c>
    </row>
    <row r="70" customFormat="false" ht="15" hidden="false" customHeight="true" outlineLevel="0" collapsed="false">
      <c r="A70" s="39" t="n">
        <v>45756</v>
      </c>
      <c r="B70" s="39" t="n">
        <f aca="false">_xlfn.MINIFS(Cleaned_Futures_Data!$C$2:$C$756,Cleaned_Futures_Data!$B$2:$B$756,A70)</f>
        <v>45771</v>
      </c>
      <c r="C70" s="40" t="n">
        <f aca="false">B70-A70</f>
        <v>15</v>
      </c>
      <c r="D70" s="41" t="n">
        <f aca="false">IFERROR(AVERAGEIFS(Cleaned_Futures_Data!$G$2:$G$756,Cleaned_Futures_Data!$B$2:$B$756,A70,Cleaned_Futures_Data!$W$2:$W$756,1),"")</f>
        <v>22479.65</v>
      </c>
      <c r="E70" s="41" t="n">
        <f aca="false">IFERROR(AVERAGEIFS(Cleaned_Futures_Data!$N$2:$N$756,Cleaned_Futures_Data!$B$2:$B$756,A70,Cleaned_Futures_Data!$W$2:$W$756,1),"")</f>
        <v>22399.15</v>
      </c>
      <c r="F70" s="42" t="n">
        <f aca="false">IF(AND(ISNUMBER(D70),ISNUMBER(E70)),D70-E70,"")</f>
        <v>80.5</v>
      </c>
      <c r="G70" s="43" t="n">
        <f aca="false">SUMIFS(Cleaned_Futures_Data!$J$2:$J$756,Cleaned_Futures_Data!$B$2:$B$756,A70,Cleaned_Futures_Data!$W$2:$W$756,1)</f>
        <v>90619</v>
      </c>
      <c r="H70" s="43" t="n">
        <f aca="false">SUMIFS(Cleaned_Futures_Data!$L$2:$L$756,Cleaned_Futures_Data!$B$2:$B$756,A70,Cleaned_Futures_Data!$W$2:$W$756,1)</f>
        <v>13164825</v>
      </c>
      <c r="I70" s="43" t="n">
        <f aca="false">SUMIFS(Cleaned_Futures_Data!$J$2:$J$756,Cleaned_Futures_Data!$B$2:$B$756,A70)</f>
        <v>99861</v>
      </c>
    </row>
    <row r="71" customFormat="false" ht="15" hidden="false" customHeight="true" outlineLevel="0" collapsed="false">
      <c r="A71" s="39" t="n">
        <v>45758</v>
      </c>
      <c r="B71" s="39" t="n">
        <f aca="false">_xlfn.MINIFS(Cleaned_Futures_Data!$C$2:$C$756,Cleaned_Futures_Data!$B$2:$B$756,A71)</f>
        <v>45771</v>
      </c>
      <c r="C71" s="40" t="n">
        <f aca="false">B71-A71</f>
        <v>13</v>
      </c>
      <c r="D71" s="41" t="n">
        <f aca="false">IFERROR(AVERAGEIFS(Cleaned_Futures_Data!$G$2:$G$756,Cleaned_Futures_Data!$B$2:$B$756,A71,Cleaned_Futures_Data!$W$2:$W$756,1),"")</f>
        <v>22917.65</v>
      </c>
      <c r="E71" s="41" t="n">
        <f aca="false">IFERROR(AVERAGEIFS(Cleaned_Futures_Data!$N$2:$N$756,Cleaned_Futures_Data!$B$2:$B$756,A71,Cleaned_Futures_Data!$W$2:$W$756,1),"")</f>
        <v>22828.55</v>
      </c>
      <c r="F71" s="42" t="n">
        <f aca="false">IF(AND(ISNUMBER(D71),ISNUMBER(E71)),D71-E71,"")</f>
        <v>89.1000000000022</v>
      </c>
      <c r="G71" s="43" t="n">
        <f aca="false">SUMIFS(Cleaned_Futures_Data!$J$2:$J$756,Cleaned_Futures_Data!$B$2:$B$756,A71,Cleaned_Futures_Data!$W$2:$W$756,1)</f>
        <v>120725</v>
      </c>
      <c r="H71" s="43" t="n">
        <f aca="false">SUMIFS(Cleaned_Futures_Data!$L$2:$L$756,Cleaned_Futures_Data!$B$2:$B$756,A71,Cleaned_Futures_Data!$W$2:$W$756,1)</f>
        <v>12919500</v>
      </c>
      <c r="I71" s="43" t="n">
        <f aca="false">SUMIFS(Cleaned_Futures_Data!$J$2:$J$756,Cleaned_Futures_Data!$B$2:$B$756,A71)</f>
        <v>136442</v>
      </c>
    </row>
    <row r="72" customFormat="false" ht="15" hidden="false" customHeight="true" outlineLevel="0" collapsed="false">
      <c r="A72" s="39" t="n">
        <v>45762</v>
      </c>
      <c r="B72" s="39" t="n">
        <f aca="false">_xlfn.MINIFS(Cleaned_Futures_Data!$C$2:$C$756,Cleaned_Futures_Data!$B$2:$B$756,A72)</f>
        <v>45771</v>
      </c>
      <c r="C72" s="40" t="n">
        <f aca="false">B72-A72</f>
        <v>9</v>
      </c>
      <c r="D72" s="41" t="n">
        <f aca="false">IFERROR(AVERAGEIFS(Cleaned_Futures_Data!$G$2:$G$756,Cleaned_Futures_Data!$B$2:$B$756,A72,Cleaned_Futures_Data!$W$2:$W$756,1),"")</f>
        <v>23340.9</v>
      </c>
      <c r="E72" s="41" t="n">
        <f aca="false">IFERROR(AVERAGEIFS(Cleaned_Futures_Data!$N$2:$N$756,Cleaned_Futures_Data!$B$2:$B$756,A72,Cleaned_Futures_Data!$W$2:$W$756,1),"")</f>
        <v>23328.55</v>
      </c>
      <c r="F72" s="42" t="n">
        <f aca="false">IF(AND(ISNUMBER(D72),ISNUMBER(E72)),D72-E72,"")</f>
        <v>12.3500000000022</v>
      </c>
      <c r="G72" s="43" t="n">
        <f aca="false">SUMIFS(Cleaned_Futures_Data!$J$2:$J$756,Cleaned_Futures_Data!$B$2:$B$756,A72,Cleaned_Futures_Data!$W$2:$W$756,1)</f>
        <v>89235</v>
      </c>
      <c r="H72" s="43" t="n">
        <f aca="false">SUMIFS(Cleaned_Futures_Data!$L$2:$L$756,Cleaned_Futures_Data!$B$2:$B$756,A72,Cleaned_Futures_Data!$W$2:$W$756,1)</f>
        <v>12380700</v>
      </c>
      <c r="I72" s="43" t="n">
        <f aca="false">SUMIFS(Cleaned_Futures_Data!$J$2:$J$756,Cleaned_Futures_Data!$B$2:$B$756,A72)</f>
        <v>104189</v>
      </c>
    </row>
    <row r="73" customFormat="false" ht="15" hidden="false" customHeight="true" outlineLevel="0" collapsed="false">
      <c r="A73" s="39" t="n">
        <v>45763</v>
      </c>
      <c r="B73" s="39" t="n">
        <f aca="false">_xlfn.MINIFS(Cleaned_Futures_Data!$C$2:$C$756,Cleaned_Futures_Data!$B$2:$B$756,A73)</f>
        <v>45771</v>
      </c>
      <c r="C73" s="40" t="n">
        <f aca="false">B73-A73</f>
        <v>8</v>
      </c>
      <c r="D73" s="41" t="n">
        <f aca="false">IFERROR(AVERAGEIFS(Cleaned_Futures_Data!$G$2:$G$756,Cleaned_Futures_Data!$B$2:$B$756,A73,Cleaned_Futures_Data!$W$2:$W$756,1),"")</f>
        <v>23433.5</v>
      </c>
      <c r="E73" s="41" t="n">
        <f aca="false">IFERROR(AVERAGEIFS(Cleaned_Futures_Data!$N$2:$N$756,Cleaned_Futures_Data!$B$2:$B$756,A73,Cleaned_Futures_Data!$W$2:$W$756,1),"")</f>
        <v>23437.2</v>
      </c>
      <c r="F73" s="42" t="n">
        <f aca="false">IF(AND(ISNUMBER(D73),ISNUMBER(E73)),D73-E73,"")</f>
        <v>-3.70000000000073</v>
      </c>
      <c r="G73" s="43" t="n">
        <f aca="false">SUMIFS(Cleaned_Futures_Data!$J$2:$J$756,Cleaned_Futures_Data!$B$2:$B$756,A73,Cleaned_Futures_Data!$W$2:$W$756,1)</f>
        <v>71349</v>
      </c>
      <c r="H73" s="43" t="n">
        <f aca="false">SUMIFS(Cleaned_Futures_Data!$L$2:$L$756,Cleaned_Futures_Data!$B$2:$B$756,A73,Cleaned_Futures_Data!$W$2:$W$756,1)</f>
        <v>12106575</v>
      </c>
      <c r="I73" s="43" t="n">
        <f aca="false">SUMIFS(Cleaned_Futures_Data!$J$2:$J$756,Cleaned_Futures_Data!$B$2:$B$756,A73)</f>
        <v>87889</v>
      </c>
    </row>
    <row r="74" customFormat="false" ht="15" hidden="false" customHeight="true" outlineLevel="0" collapsed="false">
      <c r="A74" s="39" t="n">
        <v>45764</v>
      </c>
      <c r="B74" s="39" t="n">
        <f aca="false">_xlfn.MINIFS(Cleaned_Futures_Data!$C$2:$C$756,Cleaned_Futures_Data!$B$2:$B$756,A74)</f>
        <v>45771</v>
      </c>
      <c r="C74" s="40" t="n">
        <f aca="false">B74-A74</f>
        <v>7</v>
      </c>
      <c r="D74" s="41" t="n">
        <f aca="false">IFERROR(AVERAGEIFS(Cleaned_Futures_Data!$G$2:$G$756,Cleaned_Futures_Data!$B$2:$B$756,A74,Cleaned_Futures_Data!$W$2:$W$756,1),"")</f>
        <v>23851.3</v>
      </c>
      <c r="E74" s="41" t="n">
        <f aca="false">IFERROR(AVERAGEIFS(Cleaned_Futures_Data!$N$2:$N$756,Cleaned_Futures_Data!$B$2:$B$756,A74,Cleaned_Futures_Data!$W$2:$W$756,1),"")</f>
        <v>23851.65</v>
      </c>
      <c r="F74" s="42" t="n">
        <f aca="false">IF(AND(ISNUMBER(D74),ISNUMBER(E74)),D74-E74,"")</f>
        <v>-0.350000000002183</v>
      </c>
      <c r="G74" s="43" t="n">
        <f aca="false">SUMIFS(Cleaned_Futures_Data!$J$2:$J$756,Cleaned_Futures_Data!$B$2:$B$756,A74,Cleaned_Futures_Data!$W$2:$W$756,1)</f>
        <v>135421</v>
      </c>
      <c r="H74" s="43" t="n">
        <f aca="false">SUMIFS(Cleaned_Futures_Data!$L$2:$L$756,Cleaned_Futures_Data!$B$2:$B$756,A74,Cleaned_Futures_Data!$W$2:$W$756,1)</f>
        <v>11622975</v>
      </c>
      <c r="I74" s="43" t="n">
        <f aca="false">SUMIFS(Cleaned_Futures_Data!$J$2:$J$756,Cleaned_Futures_Data!$B$2:$B$756,A74)</f>
        <v>179336</v>
      </c>
    </row>
    <row r="75" customFormat="false" ht="15" hidden="false" customHeight="true" outlineLevel="0" collapsed="false">
      <c r="A75" s="39" t="n">
        <v>45768</v>
      </c>
      <c r="B75" s="39" t="n">
        <f aca="false">_xlfn.MINIFS(Cleaned_Futures_Data!$C$2:$C$756,Cleaned_Futures_Data!$B$2:$B$756,A75)</f>
        <v>45771</v>
      </c>
      <c r="C75" s="40" t="n">
        <f aca="false">B75-A75</f>
        <v>3</v>
      </c>
      <c r="D75" s="41" t="n">
        <f aca="false">IFERROR(AVERAGEIFS(Cleaned_Futures_Data!$G$2:$G$756,Cleaned_Futures_Data!$B$2:$B$756,A75,Cleaned_Futures_Data!$W$2:$W$756,1),"")</f>
        <v>24135.5</v>
      </c>
      <c r="E75" s="41" t="n">
        <f aca="false">IFERROR(AVERAGEIFS(Cleaned_Futures_Data!$N$2:$N$756,Cleaned_Futures_Data!$B$2:$B$756,A75,Cleaned_Futures_Data!$W$2:$W$756,1),"")</f>
        <v>24125.55</v>
      </c>
      <c r="F75" s="42" t="n">
        <f aca="false">IF(AND(ISNUMBER(D75),ISNUMBER(E75)),D75-E75,"")</f>
        <v>9.95000000000073</v>
      </c>
      <c r="G75" s="43" t="n">
        <f aca="false">SUMIFS(Cleaned_Futures_Data!$J$2:$J$756,Cleaned_Futures_Data!$B$2:$B$756,A75,Cleaned_Futures_Data!$W$2:$W$756,1)</f>
        <v>77342</v>
      </c>
      <c r="H75" s="43" t="n">
        <f aca="false">SUMIFS(Cleaned_Futures_Data!$L$2:$L$756,Cleaned_Futures_Data!$B$2:$B$756,A75,Cleaned_Futures_Data!$W$2:$W$756,1)</f>
        <v>11051175</v>
      </c>
      <c r="I75" s="43" t="n">
        <f aca="false">SUMIFS(Cleaned_Futures_Data!$J$2:$J$756,Cleaned_Futures_Data!$B$2:$B$756,A75)</f>
        <v>127567</v>
      </c>
    </row>
    <row r="76" customFormat="false" ht="15" hidden="false" customHeight="true" outlineLevel="0" collapsed="false">
      <c r="A76" s="39" t="n">
        <v>45769</v>
      </c>
      <c r="B76" s="39" t="n">
        <f aca="false">_xlfn.MINIFS(Cleaned_Futures_Data!$C$2:$C$756,Cleaned_Futures_Data!$B$2:$B$756,A76)</f>
        <v>45771</v>
      </c>
      <c r="C76" s="40" t="n">
        <f aca="false">B76-A76</f>
        <v>2</v>
      </c>
      <c r="D76" s="41" t="n">
        <f aca="false">IFERROR(AVERAGEIFS(Cleaned_Futures_Data!$G$2:$G$756,Cleaned_Futures_Data!$B$2:$B$756,A76,Cleaned_Futures_Data!$W$2:$W$756,1),"")</f>
        <v>24169</v>
      </c>
      <c r="E76" s="41" t="n">
        <f aca="false">IFERROR(AVERAGEIFS(Cleaned_Futures_Data!$N$2:$N$756,Cleaned_Futures_Data!$B$2:$B$756,A76,Cleaned_Futures_Data!$W$2:$W$756,1),"")</f>
        <v>24167.25</v>
      </c>
      <c r="F76" s="42" t="n">
        <f aca="false">IF(AND(ISNUMBER(D76),ISNUMBER(E76)),D76-E76,"")</f>
        <v>1.75</v>
      </c>
      <c r="G76" s="43" t="n">
        <f aca="false">SUMIFS(Cleaned_Futures_Data!$J$2:$J$756,Cleaned_Futures_Data!$B$2:$B$756,A76,Cleaned_Futures_Data!$W$2:$W$756,1)</f>
        <v>87218</v>
      </c>
      <c r="H76" s="43" t="n">
        <f aca="false">SUMIFS(Cleaned_Futures_Data!$L$2:$L$756,Cleaned_Futures_Data!$B$2:$B$756,A76,Cleaned_Futures_Data!$W$2:$W$756,1)</f>
        <v>8816400</v>
      </c>
      <c r="I76" s="43" t="n">
        <f aca="false">SUMIFS(Cleaned_Futures_Data!$J$2:$J$756,Cleaned_Futures_Data!$B$2:$B$756,A76)</f>
        <v>151509</v>
      </c>
    </row>
    <row r="77" customFormat="false" ht="15" hidden="false" customHeight="true" outlineLevel="0" collapsed="false">
      <c r="A77" s="39" t="n">
        <v>45770</v>
      </c>
      <c r="B77" s="39" t="n">
        <f aca="false">_xlfn.MINIFS(Cleaned_Futures_Data!$C$2:$C$756,Cleaned_Futures_Data!$B$2:$B$756,A77)</f>
        <v>45771</v>
      </c>
      <c r="C77" s="40" t="n">
        <f aca="false">B77-A77</f>
        <v>1</v>
      </c>
      <c r="D77" s="41" t="n">
        <f aca="false">IFERROR(AVERAGEIFS(Cleaned_Futures_Data!$G$2:$G$756,Cleaned_Futures_Data!$B$2:$B$756,A77,Cleaned_Futures_Data!$W$2:$W$756,1),"")</f>
        <v>24312.7</v>
      </c>
      <c r="E77" s="41" t="n">
        <f aca="false">IFERROR(AVERAGEIFS(Cleaned_Futures_Data!$N$2:$N$756,Cleaned_Futures_Data!$B$2:$B$756,A77,Cleaned_Futures_Data!$W$2:$W$756,1),"")</f>
        <v>24328.95</v>
      </c>
      <c r="F77" s="42" t="n">
        <f aca="false">IF(AND(ISNUMBER(D77),ISNUMBER(E77)),D77-E77,"")</f>
        <v>-16.25</v>
      </c>
      <c r="G77" s="43" t="n">
        <f aca="false">SUMIFS(Cleaned_Futures_Data!$J$2:$J$756,Cleaned_Futures_Data!$B$2:$B$756,A77,Cleaned_Futures_Data!$W$2:$W$756,1)</f>
        <v>99138</v>
      </c>
      <c r="H77" s="43" t="n">
        <f aca="false">SUMIFS(Cleaned_Futures_Data!$L$2:$L$756,Cleaned_Futures_Data!$B$2:$B$756,A77,Cleaned_Futures_Data!$W$2:$W$756,1)</f>
        <v>5549550</v>
      </c>
      <c r="I77" s="43" t="n">
        <f aca="false">SUMIFS(Cleaned_Futures_Data!$J$2:$J$756,Cleaned_Futures_Data!$B$2:$B$756,A77)</f>
        <v>190044</v>
      </c>
    </row>
    <row r="78" customFormat="false" ht="15" hidden="false" customHeight="true" outlineLevel="0" collapsed="false">
      <c r="A78" s="39" t="n">
        <v>45771</v>
      </c>
      <c r="B78" s="39" t="n">
        <f aca="false">_xlfn.MINIFS(Cleaned_Futures_Data!$C$2:$C$756,Cleaned_Futures_Data!$B$2:$B$756,A78)</f>
        <v>45771</v>
      </c>
      <c r="C78" s="40" t="n">
        <f aca="false">B78-A78</f>
        <v>0</v>
      </c>
      <c r="D78" s="41" t="n">
        <f aca="false">IFERROR(AVERAGEIFS(Cleaned_Futures_Data!$G$2:$G$756,Cleaned_Futures_Data!$B$2:$B$756,A78,Cleaned_Futures_Data!$W$2:$W$756,1),"")</f>
        <v>24245.7</v>
      </c>
      <c r="E78" s="41" t="n">
        <f aca="false">IFERROR(AVERAGEIFS(Cleaned_Futures_Data!$N$2:$N$756,Cleaned_Futures_Data!$B$2:$B$756,A78,Cleaned_Futures_Data!$W$2:$W$756,1),"")</f>
        <v>24246.7</v>
      </c>
      <c r="F78" s="42" t="n">
        <f aca="false">IF(AND(ISNUMBER(D78),ISNUMBER(E78)),D78-E78,"")</f>
        <v>-1</v>
      </c>
      <c r="G78" s="43" t="n">
        <f aca="false">SUMIFS(Cleaned_Futures_Data!$J$2:$J$756,Cleaned_Futures_Data!$B$2:$B$756,A78,Cleaned_Futures_Data!$W$2:$W$756,1)</f>
        <v>55201</v>
      </c>
      <c r="H78" s="43" t="n">
        <f aca="false">SUMIFS(Cleaned_Futures_Data!$L$2:$L$756,Cleaned_Futures_Data!$B$2:$B$756,A78,Cleaned_Futures_Data!$W$2:$W$756,1)</f>
        <v>3392175</v>
      </c>
      <c r="I78" s="43" t="n">
        <f aca="false">SUMIFS(Cleaned_Futures_Data!$J$2:$J$756,Cleaned_Futures_Data!$B$2:$B$756,A78)</f>
        <v>135274</v>
      </c>
    </row>
    <row r="79" customFormat="false" ht="15" hidden="false" customHeight="true" outlineLevel="0" collapsed="false">
      <c r="A79" s="39" t="n">
        <v>45772</v>
      </c>
      <c r="B79" s="39" t="n">
        <f aca="false">_xlfn.MINIFS(Cleaned_Futures_Data!$C$2:$C$756,Cleaned_Futures_Data!$B$2:$B$756,A79)</f>
        <v>45806</v>
      </c>
      <c r="C79" s="40" t="n">
        <f aca="false">B79-A79</f>
        <v>34</v>
      </c>
      <c r="D79" s="41" t="n">
        <f aca="false">IFERROR(AVERAGEIFS(Cleaned_Futures_Data!$G$2:$G$756,Cleaned_Futures_Data!$B$2:$B$756,A79,Cleaned_Futures_Data!$W$2:$W$756,1),"")</f>
        <v>24139.1</v>
      </c>
      <c r="E79" s="41" t="n">
        <f aca="false">IFERROR(AVERAGEIFS(Cleaned_Futures_Data!$N$2:$N$756,Cleaned_Futures_Data!$B$2:$B$756,A79,Cleaned_Futures_Data!$W$2:$W$756,1),"")</f>
        <v>24039.35</v>
      </c>
      <c r="F79" s="42" t="n">
        <f aca="false">IF(AND(ISNUMBER(D79),ISNUMBER(E79)),D79-E79,"")</f>
        <v>99.75</v>
      </c>
      <c r="G79" s="43" t="n">
        <f aca="false">SUMIFS(Cleaned_Futures_Data!$J$2:$J$756,Cleaned_Futures_Data!$B$2:$B$756,A79,Cleaned_Futures_Data!$W$2:$W$756,1)</f>
        <v>168230</v>
      </c>
      <c r="H79" s="43" t="n">
        <f aca="false">SUMIFS(Cleaned_Futures_Data!$L$2:$L$756,Cleaned_Futures_Data!$B$2:$B$756,A79,Cleaned_Futures_Data!$W$2:$W$756,1)</f>
        <v>11736900</v>
      </c>
      <c r="I79" s="43" t="n">
        <f aca="false">SUMIFS(Cleaned_Futures_Data!$J$2:$J$756,Cleaned_Futures_Data!$B$2:$B$756,A79)</f>
        <v>180257</v>
      </c>
    </row>
    <row r="80" customFormat="false" ht="15" hidden="false" customHeight="true" outlineLevel="0" collapsed="false">
      <c r="A80" s="39" t="n">
        <v>45775</v>
      </c>
      <c r="B80" s="39" t="n">
        <f aca="false">_xlfn.MINIFS(Cleaned_Futures_Data!$C$2:$C$756,Cleaned_Futures_Data!$B$2:$B$756,A80)</f>
        <v>45806</v>
      </c>
      <c r="C80" s="40" t="n">
        <f aca="false">B80-A80</f>
        <v>31</v>
      </c>
      <c r="D80" s="41" t="n">
        <f aca="false">IFERROR(AVERAGEIFS(Cleaned_Futures_Data!$G$2:$G$756,Cleaned_Futures_Data!$B$2:$B$756,A80,Cleaned_Futures_Data!$W$2:$W$756,1),"")</f>
        <v>24452.8</v>
      </c>
      <c r="E80" s="41" t="n">
        <f aca="false">IFERROR(AVERAGEIFS(Cleaned_Futures_Data!$N$2:$N$756,Cleaned_Futures_Data!$B$2:$B$756,A80,Cleaned_Futures_Data!$W$2:$W$756,1),"")</f>
        <v>24328.5</v>
      </c>
      <c r="F80" s="42" t="n">
        <f aca="false">IF(AND(ISNUMBER(D80),ISNUMBER(E80)),D80-E80,"")</f>
        <v>124.299999999999</v>
      </c>
      <c r="G80" s="43" t="n">
        <f aca="false">SUMIFS(Cleaned_Futures_Data!$J$2:$J$756,Cleaned_Futures_Data!$B$2:$B$756,A80,Cleaned_Futures_Data!$W$2:$W$756,1)</f>
        <v>104248</v>
      </c>
      <c r="H80" s="43" t="n">
        <f aca="false">SUMIFS(Cleaned_Futures_Data!$L$2:$L$756,Cleaned_Futures_Data!$B$2:$B$756,A80,Cleaned_Futures_Data!$W$2:$W$756,1)</f>
        <v>12629700</v>
      </c>
      <c r="I80" s="43" t="n">
        <f aca="false">SUMIFS(Cleaned_Futures_Data!$J$2:$J$756,Cleaned_Futures_Data!$B$2:$B$756,A80)</f>
        <v>112951</v>
      </c>
    </row>
    <row r="81" customFormat="false" ht="15" hidden="false" customHeight="true" outlineLevel="0" collapsed="false">
      <c r="A81" s="39" t="n">
        <v>45776</v>
      </c>
      <c r="B81" s="39" t="n">
        <f aca="false">_xlfn.MINIFS(Cleaned_Futures_Data!$C$2:$C$756,Cleaned_Futures_Data!$B$2:$B$756,A81)</f>
        <v>45806</v>
      </c>
      <c r="C81" s="40" t="n">
        <f aca="false">B81-A81</f>
        <v>30</v>
      </c>
      <c r="D81" s="41" t="n">
        <f aca="false">IFERROR(AVERAGEIFS(Cleaned_Futures_Data!$G$2:$G$756,Cleaned_Futures_Data!$B$2:$B$756,A81,Cleaned_Futures_Data!$W$2:$W$756,1),"")</f>
        <v>24425.3</v>
      </c>
      <c r="E81" s="41" t="n">
        <f aca="false">IFERROR(AVERAGEIFS(Cleaned_Futures_Data!$N$2:$N$756,Cleaned_Futures_Data!$B$2:$B$756,A81,Cleaned_Futures_Data!$W$2:$W$756,1),"")</f>
        <v>24335.95</v>
      </c>
      <c r="F81" s="42" t="n">
        <f aca="false">IF(AND(ISNUMBER(D81),ISNUMBER(E81)),D81-E81,"")</f>
        <v>89.3499999999985</v>
      </c>
      <c r="G81" s="43" t="n">
        <f aca="false">SUMIFS(Cleaned_Futures_Data!$J$2:$J$756,Cleaned_Futures_Data!$B$2:$B$756,A81,Cleaned_Futures_Data!$W$2:$W$756,1)</f>
        <v>79024</v>
      </c>
      <c r="H81" s="43" t="n">
        <f aca="false">SUMIFS(Cleaned_Futures_Data!$L$2:$L$756,Cleaned_Futures_Data!$B$2:$B$756,A81,Cleaned_Futures_Data!$W$2:$W$756,1)</f>
        <v>13070550</v>
      </c>
      <c r="I81" s="43" t="n">
        <f aca="false">SUMIFS(Cleaned_Futures_Data!$J$2:$J$756,Cleaned_Futures_Data!$B$2:$B$756,A81)</f>
        <v>86279</v>
      </c>
    </row>
    <row r="82" customFormat="false" ht="15" hidden="false" customHeight="true" outlineLevel="0" collapsed="false">
      <c r="A82" s="39" t="n">
        <v>45777</v>
      </c>
      <c r="B82" s="39" t="n">
        <f aca="false">_xlfn.MINIFS(Cleaned_Futures_Data!$C$2:$C$756,Cleaned_Futures_Data!$B$2:$B$756,A82)</f>
        <v>45806</v>
      </c>
      <c r="C82" s="40" t="n">
        <f aca="false">B82-A82</f>
        <v>29</v>
      </c>
      <c r="D82" s="41" t="n">
        <f aca="false">IFERROR(AVERAGEIFS(Cleaned_Futures_Data!$G$2:$G$756,Cleaned_Futures_Data!$B$2:$B$756,A82,Cleaned_Futures_Data!$W$2:$W$756,1),"")</f>
        <v>24418.4</v>
      </c>
      <c r="E82" s="41" t="n">
        <f aca="false">IFERROR(AVERAGEIFS(Cleaned_Futures_Data!$N$2:$N$756,Cleaned_Futures_Data!$B$2:$B$756,A82,Cleaned_Futures_Data!$W$2:$W$756,1),"")</f>
        <v>24334.2</v>
      </c>
      <c r="F82" s="42" t="n">
        <f aca="false">IF(AND(ISNUMBER(D82),ISNUMBER(E82)),D82-E82,"")</f>
        <v>84.2000000000007</v>
      </c>
      <c r="G82" s="43" t="n">
        <f aca="false">SUMIFS(Cleaned_Futures_Data!$J$2:$J$756,Cleaned_Futures_Data!$B$2:$B$756,A82,Cleaned_Futures_Data!$W$2:$W$756,1)</f>
        <v>69406</v>
      </c>
      <c r="H82" s="43" t="n">
        <f aca="false">SUMIFS(Cleaned_Futures_Data!$L$2:$L$756,Cleaned_Futures_Data!$B$2:$B$756,A82,Cleaned_Futures_Data!$W$2:$W$756,1)</f>
        <v>13347750</v>
      </c>
      <c r="I82" s="43" t="n">
        <f aca="false">SUMIFS(Cleaned_Futures_Data!$J$2:$J$756,Cleaned_Futures_Data!$B$2:$B$756,A82)</f>
        <v>73841</v>
      </c>
    </row>
    <row r="83" customFormat="false" ht="15" hidden="false" customHeight="true" outlineLevel="0" collapsed="false">
      <c r="A83" s="39" t="n">
        <v>45779</v>
      </c>
      <c r="B83" s="39" t="n">
        <f aca="false">_xlfn.MINIFS(Cleaned_Futures_Data!$C$2:$C$756,Cleaned_Futures_Data!$B$2:$B$756,A83)</f>
        <v>45806</v>
      </c>
      <c r="C83" s="40" t="n">
        <f aca="false">B83-A83</f>
        <v>27</v>
      </c>
      <c r="D83" s="41" t="n">
        <f aca="false">IFERROR(AVERAGEIFS(Cleaned_Futures_Data!$G$2:$G$756,Cleaned_Futures_Data!$B$2:$B$756,A83,Cleaned_Futures_Data!$W$2:$W$756,1),"")</f>
        <v>24400.7</v>
      </c>
      <c r="E83" s="41" t="n">
        <f aca="false">IFERROR(AVERAGEIFS(Cleaned_Futures_Data!$N$2:$N$756,Cleaned_Futures_Data!$B$2:$B$756,A83,Cleaned_Futures_Data!$W$2:$W$756,1),"")</f>
        <v>24346.7</v>
      </c>
      <c r="F83" s="42" t="n">
        <f aca="false">IF(AND(ISNUMBER(D83),ISNUMBER(E83)),D83-E83,"")</f>
        <v>54</v>
      </c>
      <c r="G83" s="43" t="n">
        <f aca="false">SUMIFS(Cleaned_Futures_Data!$J$2:$J$756,Cleaned_Futures_Data!$B$2:$B$756,A83,Cleaned_Futures_Data!$W$2:$W$756,1)</f>
        <v>159768</v>
      </c>
      <c r="H83" s="43" t="n">
        <f aca="false">SUMIFS(Cleaned_Futures_Data!$L$2:$L$756,Cleaned_Futures_Data!$B$2:$B$756,A83,Cleaned_Futures_Data!$W$2:$W$756,1)</f>
        <v>12934800</v>
      </c>
      <c r="I83" s="43" t="n">
        <f aca="false">SUMIFS(Cleaned_Futures_Data!$J$2:$J$756,Cleaned_Futures_Data!$B$2:$B$756,A83)</f>
        <v>172438</v>
      </c>
    </row>
    <row r="84" customFormat="false" ht="15" hidden="false" customHeight="true" outlineLevel="0" collapsed="false">
      <c r="A84" s="39" t="n">
        <v>45782</v>
      </c>
      <c r="B84" s="39" t="n">
        <f aca="false">_xlfn.MINIFS(Cleaned_Futures_Data!$C$2:$C$756,Cleaned_Futures_Data!$B$2:$B$756,A84)</f>
        <v>45806</v>
      </c>
      <c r="C84" s="40" t="n">
        <f aca="false">B84-A84</f>
        <v>24</v>
      </c>
      <c r="D84" s="41" t="n">
        <f aca="false">IFERROR(AVERAGEIFS(Cleaned_Futures_Data!$G$2:$G$756,Cleaned_Futures_Data!$B$2:$B$756,A84,Cleaned_Futures_Data!$W$2:$W$756,1),"")</f>
        <v>24553.7</v>
      </c>
      <c r="E84" s="41" t="n">
        <f aca="false">IFERROR(AVERAGEIFS(Cleaned_Futures_Data!$N$2:$N$756,Cleaned_Futures_Data!$B$2:$B$756,A84,Cleaned_Futures_Data!$W$2:$W$756,1),"")</f>
        <v>24461.15</v>
      </c>
      <c r="F84" s="42" t="n">
        <f aca="false">IF(AND(ISNUMBER(D84),ISNUMBER(E84)),D84-E84,"")</f>
        <v>92.5499999999993</v>
      </c>
      <c r="G84" s="43" t="n">
        <f aca="false">SUMIFS(Cleaned_Futures_Data!$J$2:$J$756,Cleaned_Futures_Data!$B$2:$B$756,A84,Cleaned_Futures_Data!$W$2:$W$756,1)</f>
        <v>76211</v>
      </c>
      <c r="H84" s="43" t="n">
        <f aca="false">SUMIFS(Cleaned_Futures_Data!$L$2:$L$756,Cleaned_Futures_Data!$B$2:$B$756,A84,Cleaned_Futures_Data!$W$2:$W$756,1)</f>
        <v>13520250</v>
      </c>
      <c r="I84" s="43" t="n">
        <f aca="false">SUMIFS(Cleaned_Futures_Data!$J$2:$J$756,Cleaned_Futures_Data!$B$2:$B$756,A84)</f>
        <v>82774</v>
      </c>
    </row>
    <row r="85" customFormat="false" ht="15" hidden="false" customHeight="true" outlineLevel="0" collapsed="false">
      <c r="A85" s="39" t="n">
        <v>45783</v>
      </c>
      <c r="B85" s="39" t="n">
        <f aca="false">_xlfn.MINIFS(Cleaned_Futures_Data!$C$2:$C$756,Cleaned_Futures_Data!$B$2:$B$756,A85)</f>
        <v>45806</v>
      </c>
      <c r="C85" s="40" t="n">
        <f aca="false">B85-A85</f>
        <v>23</v>
      </c>
      <c r="D85" s="41" t="n">
        <f aca="false">IFERROR(AVERAGEIFS(Cleaned_Futures_Data!$G$2:$G$756,Cleaned_Futures_Data!$B$2:$B$756,A85,Cleaned_Futures_Data!$W$2:$W$756,1),"")</f>
        <v>24431.4</v>
      </c>
      <c r="E85" s="41" t="n">
        <f aca="false">IFERROR(AVERAGEIFS(Cleaned_Futures_Data!$N$2:$N$756,Cleaned_Futures_Data!$B$2:$B$756,A85,Cleaned_Futures_Data!$W$2:$W$756,1),"")</f>
        <v>24379.6</v>
      </c>
      <c r="F85" s="42" t="n">
        <f aca="false">IF(AND(ISNUMBER(D85),ISNUMBER(E85)),D85-E85,"")</f>
        <v>51.8000000000029</v>
      </c>
      <c r="G85" s="43" t="n">
        <f aca="false">SUMIFS(Cleaned_Futures_Data!$J$2:$J$756,Cleaned_Futures_Data!$B$2:$B$756,A85,Cleaned_Futures_Data!$W$2:$W$756,1)</f>
        <v>65193</v>
      </c>
      <c r="H85" s="43" t="n">
        <f aca="false">SUMIFS(Cleaned_Futures_Data!$L$2:$L$756,Cleaned_Futures_Data!$B$2:$B$756,A85,Cleaned_Futures_Data!$W$2:$W$756,1)</f>
        <v>13527900</v>
      </c>
      <c r="I85" s="43" t="n">
        <f aca="false">SUMIFS(Cleaned_Futures_Data!$J$2:$J$756,Cleaned_Futures_Data!$B$2:$B$756,A85)</f>
        <v>71092</v>
      </c>
    </row>
    <row r="86" customFormat="false" ht="15" hidden="false" customHeight="true" outlineLevel="0" collapsed="false">
      <c r="A86" s="39" t="n">
        <v>45784</v>
      </c>
      <c r="B86" s="39" t="n">
        <f aca="false">_xlfn.MINIFS(Cleaned_Futures_Data!$C$2:$C$756,Cleaned_Futures_Data!$B$2:$B$756,A86)</f>
        <v>45806</v>
      </c>
      <c r="C86" s="40" t="n">
        <f aca="false">B86-A86</f>
        <v>22</v>
      </c>
      <c r="D86" s="41" t="n">
        <f aca="false">IFERROR(AVERAGEIFS(Cleaned_Futures_Data!$G$2:$G$756,Cleaned_Futures_Data!$B$2:$B$756,A86,Cleaned_Futures_Data!$W$2:$W$756,1),"")</f>
        <v>24461.4</v>
      </c>
      <c r="E86" s="41" t="n">
        <f aca="false">IFERROR(AVERAGEIFS(Cleaned_Futures_Data!$N$2:$N$756,Cleaned_Futures_Data!$B$2:$B$756,A86,Cleaned_Futures_Data!$W$2:$W$756,1),"")</f>
        <v>24414.4</v>
      </c>
      <c r="F86" s="42" t="n">
        <f aca="false">IF(AND(ISNUMBER(D86),ISNUMBER(E86)),D86-E86,"")</f>
        <v>47</v>
      </c>
      <c r="G86" s="43" t="n">
        <f aca="false">SUMIFS(Cleaned_Futures_Data!$J$2:$J$756,Cleaned_Futures_Data!$B$2:$B$756,A86,Cleaned_Futures_Data!$W$2:$W$756,1)</f>
        <v>99826</v>
      </c>
      <c r="H86" s="43" t="n">
        <f aca="false">SUMIFS(Cleaned_Futures_Data!$L$2:$L$756,Cleaned_Futures_Data!$B$2:$B$756,A86,Cleaned_Futures_Data!$W$2:$W$756,1)</f>
        <v>13159275</v>
      </c>
      <c r="I86" s="43" t="n">
        <f aca="false">SUMIFS(Cleaned_Futures_Data!$J$2:$J$756,Cleaned_Futures_Data!$B$2:$B$756,A86)</f>
        <v>107331</v>
      </c>
    </row>
    <row r="87" customFormat="false" ht="15" hidden="false" customHeight="true" outlineLevel="0" collapsed="false">
      <c r="A87" s="39" t="n">
        <v>45785</v>
      </c>
      <c r="B87" s="39" t="n">
        <f aca="false">_xlfn.MINIFS(Cleaned_Futures_Data!$C$2:$C$756,Cleaned_Futures_Data!$B$2:$B$756,A87)</f>
        <v>45806</v>
      </c>
      <c r="C87" s="40" t="n">
        <f aca="false">B87-A87</f>
        <v>21</v>
      </c>
      <c r="D87" s="41" t="n">
        <f aca="false">IFERROR(AVERAGEIFS(Cleaned_Futures_Data!$G$2:$G$756,Cleaned_Futures_Data!$B$2:$B$756,A87,Cleaned_Futures_Data!$W$2:$W$756,1),"")</f>
        <v>24271.9</v>
      </c>
      <c r="E87" s="41" t="n">
        <f aca="false">IFERROR(AVERAGEIFS(Cleaned_Futures_Data!$N$2:$N$756,Cleaned_Futures_Data!$B$2:$B$756,A87,Cleaned_Futures_Data!$W$2:$W$756,1),"")</f>
        <v>24273.8</v>
      </c>
      <c r="F87" s="42" t="n">
        <f aca="false">IF(AND(ISNUMBER(D87),ISNUMBER(E87)),D87-E87,"")</f>
        <v>-1.89999999999782</v>
      </c>
      <c r="G87" s="43" t="n">
        <f aca="false">SUMIFS(Cleaned_Futures_Data!$J$2:$J$756,Cleaned_Futures_Data!$B$2:$B$756,A87,Cleaned_Futures_Data!$W$2:$W$756,1)</f>
        <v>113537</v>
      </c>
      <c r="H87" s="43" t="n">
        <f aca="false">SUMIFS(Cleaned_Futures_Data!$L$2:$L$756,Cleaned_Futures_Data!$B$2:$B$756,A87,Cleaned_Futures_Data!$W$2:$W$756,1)</f>
        <v>12776925</v>
      </c>
      <c r="I87" s="43" t="n">
        <f aca="false">SUMIFS(Cleaned_Futures_Data!$J$2:$J$756,Cleaned_Futures_Data!$B$2:$B$756,A87)</f>
        <v>123574</v>
      </c>
    </row>
    <row r="88" customFormat="false" ht="15" hidden="false" customHeight="true" outlineLevel="0" collapsed="false">
      <c r="A88" s="39" t="n">
        <v>45786</v>
      </c>
      <c r="B88" s="39" t="n">
        <f aca="false">_xlfn.MINIFS(Cleaned_Futures_Data!$C$2:$C$756,Cleaned_Futures_Data!$B$2:$B$756,A88)</f>
        <v>45806</v>
      </c>
      <c r="C88" s="40" t="n">
        <f aca="false">B88-A88</f>
        <v>20</v>
      </c>
      <c r="D88" s="41" t="n">
        <f aca="false">IFERROR(AVERAGEIFS(Cleaned_Futures_Data!$G$2:$G$756,Cleaned_Futures_Data!$B$2:$B$756,A88,Cleaned_Futures_Data!$W$2:$W$756,1),"")</f>
        <v>24065.5</v>
      </c>
      <c r="E88" s="41" t="n">
        <f aca="false">IFERROR(AVERAGEIFS(Cleaned_Futures_Data!$N$2:$N$756,Cleaned_Futures_Data!$B$2:$B$756,A88,Cleaned_Futures_Data!$W$2:$W$756,1),"")</f>
        <v>24008</v>
      </c>
      <c r="F88" s="42" t="n">
        <f aca="false">IF(AND(ISNUMBER(D88),ISNUMBER(E88)),D88-E88,"")</f>
        <v>57.5</v>
      </c>
      <c r="G88" s="43" t="n">
        <f aca="false">SUMIFS(Cleaned_Futures_Data!$J$2:$J$756,Cleaned_Futures_Data!$B$2:$B$756,A88,Cleaned_Futures_Data!$W$2:$W$756,1)</f>
        <v>150829</v>
      </c>
      <c r="H88" s="43" t="n">
        <f aca="false">SUMIFS(Cleaned_Futures_Data!$L$2:$L$756,Cleaned_Futures_Data!$B$2:$B$756,A88,Cleaned_Futures_Data!$W$2:$W$756,1)</f>
        <v>12619800</v>
      </c>
      <c r="I88" s="43" t="n">
        <f aca="false">SUMIFS(Cleaned_Futures_Data!$J$2:$J$756,Cleaned_Futures_Data!$B$2:$B$756,A88)</f>
        <v>166520</v>
      </c>
    </row>
    <row r="89" customFormat="false" ht="15" hidden="false" customHeight="true" outlineLevel="0" collapsed="false">
      <c r="A89" s="39" t="n">
        <v>45789</v>
      </c>
      <c r="B89" s="39" t="n">
        <f aca="false">_xlfn.MINIFS(Cleaned_Futures_Data!$C$2:$C$756,Cleaned_Futures_Data!$B$2:$B$756,A89)</f>
        <v>45806</v>
      </c>
      <c r="C89" s="40" t="n">
        <f aca="false">B89-A89</f>
        <v>17</v>
      </c>
      <c r="D89" s="41" t="n">
        <f aca="false">IFERROR(AVERAGEIFS(Cleaned_Futures_Data!$G$2:$G$756,Cleaned_Futures_Data!$B$2:$B$756,A89,Cleaned_Futures_Data!$W$2:$W$756,1),"")</f>
        <v>25044.1</v>
      </c>
      <c r="E89" s="41" t="n">
        <f aca="false">IFERROR(AVERAGEIFS(Cleaned_Futures_Data!$N$2:$N$756,Cleaned_Futures_Data!$B$2:$B$756,A89,Cleaned_Futures_Data!$W$2:$W$756,1),"")</f>
        <v>24924.7</v>
      </c>
      <c r="F89" s="42" t="n">
        <f aca="false">IF(AND(ISNUMBER(D89),ISNUMBER(E89)),D89-E89,"")</f>
        <v>119.399999999998</v>
      </c>
      <c r="G89" s="43" t="n">
        <f aca="false">SUMIFS(Cleaned_Futures_Data!$J$2:$J$756,Cleaned_Futures_Data!$B$2:$B$756,A89,Cleaned_Futures_Data!$W$2:$W$756,1)</f>
        <v>156527</v>
      </c>
      <c r="H89" s="43" t="n">
        <f aca="false">SUMIFS(Cleaned_Futures_Data!$L$2:$L$756,Cleaned_Futures_Data!$B$2:$B$756,A89,Cleaned_Futures_Data!$W$2:$W$756,1)</f>
        <v>12644025</v>
      </c>
      <c r="I89" s="43" t="n">
        <f aca="false">SUMIFS(Cleaned_Futures_Data!$J$2:$J$756,Cleaned_Futures_Data!$B$2:$B$756,A89)</f>
        <v>183387</v>
      </c>
    </row>
    <row r="90" customFormat="false" ht="15" hidden="false" customHeight="true" outlineLevel="0" collapsed="false">
      <c r="A90" s="39" t="n">
        <v>45790</v>
      </c>
      <c r="B90" s="39" t="n">
        <f aca="false">_xlfn.MINIFS(Cleaned_Futures_Data!$C$2:$C$756,Cleaned_Futures_Data!$B$2:$B$756,A90)</f>
        <v>45806</v>
      </c>
      <c r="C90" s="40" t="n">
        <f aca="false">B90-A90</f>
        <v>16</v>
      </c>
      <c r="D90" s="41" t="n">
        <f aca="false">IFERROR(AVERAGEIFS(Cleaned_Futures_Data!$G$2:$G$756,Cleaned_Futures_Data!$B$2:$B$756,A90,Cleaned_Futures_Data!$W$2:$W$756,1),"")</f>
        <v>24640.2</v>
      </c>
      <c r="E90" s="41" t="n">
        <f aca="false">IFERROR(AVERAGEIFS(Cleaned_Futures_Data!$N$2:$N$756,Cleaned_Futures_Data!$B$2:$B$756,A90,Cleaned_Futures_Data!$W$2:$W$756,1),"")</f>
        <v>24578.35</v>
      </c>
      <c r="F90" s="42" t="n">
        <f aca="false">IF(AND(ISNUMBER(D90),ISNUMBER(E90)),D90-E90,"")</f>
        <v>61.8500000000022</v>
      </c>
      <c r="G90" s="43" t="n">
        <f aca="false">SUMIFS(Cleaned_Futures_Data!$J$2:$J$756,Cleaned_Futures_Data!$B$2:$B$756,A90,Cleaned_Futures_Data!$W$2:$W$756,1)</f>
        <v>163428</v>
      </c>
      <c r="H90" s="43" t="n">
        <f aca="false">SUMIFS(Cleaned_Futures_Data!$L$2:$L$756,Cleaned_Futures_Data!$B$2:$B$756,A90,Cleaned_Futures_Data!$W$2:$W$756,1)</f>
        <v>12246525</v>
      </c>
      <c r="I90" s="43" t="n">
        <f aca="false">SUMIFS(Cleaned_Futures_Data!$J$2:$J$756,Cleaned_Futures_Data!$B$2:$B$756,A90)</f>
        <v>183819</v>
      </c>
    </row>
    <row r="91" customFormat="false" ht="15" hidden="false" customHeight="true" outlineLevel="0" collapsed="false">
      <c r="A91" s="39" t="n">
        <v>45791</v>
      </c>
      <c r="B91" s="39" t="n">
        <f aca="false">_xlfn.MINIFS(Cleaned_Futures_Data!$C$2:$C$756,Cleaned_Futures_Data!$B$2:$B$756,A91)</f>
        <v>45806</v>
      </c>
      <c r="C91" s="40" t="n">
        <f aca="false">B91-A91</f>
        <v>15</v>
      </c>
      <c r="D91" s="41" t="n">
        <f aca="false">IFERROR(AVERAGEIFS(Cleaned_Futures_Data!$G$2:$G$756,Cleaned_Futures_Data!$B$2:$B$756,A91,Cleaned_Futures_Data!$W$2:$W$756,1),"")</f>
        <v>24715.9</v>
      </c>
      <c r="E91" s="41" t="n">
        <f aca="false">IFERROR(AVERAGEIFS(Cleaned_Futures_Data!$N$2:$N$756,Cleaned_Futures_Data!$B$2:$B$756,A91,Cleaned_Futures_Data!$W$2:$W$756,1),"")</f>
        <v>24666.9</v>
      </c>
      <c r="F91" s="42" t="n">
        <f aca="false">IF(AND(ISNUMBER(D91),ISNUMBER(E91)),D91-E91,"")</f>
        <v>49</v>
      </c>
      <c r="G91" s="43" t="n">
        <f aca="false">SUMIFS(Cleaned_Futures_Data!$J$2:$J$756,Cleaned_Futures_Data!$B$2:$B$756,A91,Cleaned_Futures_Data!$W$2:$W$756,1)</f>
        <v>87780</v>
      </c>
      <c r="H91" s="43" t="n">
        <f aca="false">SUMIFS(Cleaned_Futures_Data!$L$2:$L$756,Cleaned_Futures_Data!$B$2:$B$756,A91,Cleaned_Futures_Data!$W$2:$W$756,1)</f>
        <v>11632575</v>
      </c>
      <c r="I91" s="43" t="n">
        <f aca="false">SUMIFS(Cleaned_Futures_Data!$J$2:$J$756,Cleaned_Futures_Data!$B$2:$B$756,A91)</f>
        <v>99950</v>
      </c>
    </row>
    <row r="92" customFormat="false" ht="15" hidden="false" customHeight="true" outlineLevel="0" collapsed="false">
      <c r="A92" s="39" t="n">
        <v>45792</v>
      </c>
      <c r="B92" s="39" t="n">
        <f aca="false">_xlfn.MINIFS(Cleaned_Futures_Data!$C$2:$C$756,Cleaned_Futures_Data!$B$2:$B$756,A92)</f>
        <v>45806</v>
      </c>
      <c r="C92" s="40" t="n">
        <f aca="false">B92-A92</f>
        <v>14</v>
      </c>
      <c r="D92" s="41" t="n">
        <f aca="false">IFERROR(AVERAGEIFS(Cleaned_Futures_Data!$G$2:$G$756,Cleaned_Futures_Data!$B$2:$B$756,A92,Cleaned_Futures_Data!$W$2:$W$756,1),"")</f>
        <v>25078.7</v>
      </c>
      <c r="E92" s="41" t="n">
        <f aca="false">IFERROR(AVERAGEIFS(Cleaned_Futures_Data!$N$2:$N$756,Cleaned_Futures_Data!$B$2:$B$756,A92,Cleaned_Futures_Data!$W$2:$W$756,1),"")</f>
        <v>25062.1</v>
      </c>
      <c r="F92" s="42" t="n">
        <f aca="false">IF(AND(ISNUMBER(D92),ISNUMBER(E92)),D92-E92,"")</f>
        <v>16.6000000000022</v>
      </c>
      <c r="G92" s="43" t="n">
        <f aca="false">SUMIFS(Cleaned_Futures_Data!$J$2:$J$756,Cleaned_Futures_Data!$B$2:$B$756,A92,Cleaned_Futures_Data!$W$2:$W$756,1)</f>
        <v>186214</v>
      </c>
      <c r="H92" s="43" t="n">
        <f aca="false">SUMIFS(Cleaned_Futures_Data!$L$2:$L$756,Cleaned_Futures_Data!$B$2:$B$756,A92,Cleaned_Futures_Data!$W$2:$W$756,1)</f>
        <v>12191025</v>
      </c>
      <c r="I92" s="43" t="n">
        <f aca="false">SUMIFS(Cleaned_Futures_Data!$J$2:$J$756,Cleaned_Futures_Data!$B$2:$B$756,A92)</f>
        <v>213764</v>
      </c>
    </row>
    <row r="93" customFormat="false" ht="15" hidden="false" customHeight="true" outlineLevel="0" collapsed="false">
      <c r="A93" s="39" t="n">
        <v>45793</v>
      </c>
      <c r="B93" s="39" t="n">
        <f aca="false">_xlfn.MINIFS(Cleaned_Futures_Data!$C$2:$C$756,Cleaned_Futures_Data!$B$2:$B$756,A93)</f>
        <v>45806</v>
      </c>
      <c r="C93" s="40" t="n">
        <f aca="false">B93-A93</f>
        <v>13</v>
      </c>
      <c r="D93" s="41" t="n">
        <f aca="false">IFERROR(AVERAGEIFS(Cleaned_Futures_Data!$G$2:$G$756,Cleaned_Futures_Data!$B$2:$B$756,A93,Cleaned_Futures_Data!$W$2:$W$756,1),"")</f>
        <v>25078.7</v>
      </c>
      <c r="E93" s="41" t="n">
        <f aca="false">IFERROR(AVERAGEIFS(Cleaned_Futures_Data!$N$2:$N$756,Cleaned_Futures_Data!$B$2:$B$756,A93,Cleaned_Futures_Data!$W$2:$W$756,1),"")</f>
        <v>25019.8</v>
      </c>
      <c r="F93" s="42" t="n">
        <f aca="false">IF(AND(ISNUMBER(D93),ISNUMBER(E93)),D93-E93,"")</f>
        <v>58.9000000000015</v>
      </c>
      <c r="G93" s="43" t="n">
        <f aca="false">SUMIFS(Cleaned_Futures_Data!$J$2:$J$756,Cleaned_Futures_Data!$B$2:$B$756,A93,Cleaned_Futures_Data!$W$2:$W$756,1)</f>
        <v>62198</v>
      </c>
      <c r="H93" s="43" t="n">
        <f aca="false">SUMIFS(Cleaned_Futures_Data!$L$2:$L$756,Cleaned_Futures_Data!$B$2:$B$756,A93,Cleaned_Futures_Data!$W$2:$W$756,1)</f>
        <v>11973975</v>
      </c>
      <c r="I93" s="43" t="n">
        <f aca="false">SUMIFS(Cleaned_Futures_Data!$J$2:$J$756,Cleaned_Futures_Data!$B$2:$B$756,A93)</f>
        <v>75149</v>
      </c>
    </row>
    <row r="94" customFormat="false" ht="15" hidden="false" customHeight="true" outlineLevel="0" collapsed="false">
      <c r="A94" s="39" t="n">
        <v>45796</v>
      </c>
      <c r="B94" s="39" t="n">
        <f aca="false">_xlfn.MINIFS(Cleaned_Futures_Data!$C$2:$C$756,Cleaned_Futures_Data!$B$2:$B$756,A94)</f>
        <v>45806</v>
      </c>
      <c r="C94" s="40" t="n">
        <f aca="false">B94-A94</f>
        <v>10</v>
      </c>
      <c r="D94" s="41" t="n">
        <f aca="false">IFERROR(AVERAGEIFS(Cleaned_Futures_Data!$G$2:$G$756,Cleaned_Futures_Data!$B$2:$B$756,A94,Cleaned_Futures_Data!$W$2:$W$756,1),"")</f>
        <v>24976.4</v>
      </c>
      <c r="E94" s="41" t="n">
        <f aca="false">IFERROR(AVERAGEIFS(Cleaned_Futures_Data!$N$2:$N$756,Cleaned_Futures_Data!$B$2:$B$756,A94,Cleaned_Futures_Data!$W$2:$W$756,1),"")</f>
        <v>24945.45</v>
      </c>
      <c r="F94" s="42" t="n">
        <f aca="false">IF(AND(ISNUMBER(D94),ISNUMBER(E94)),D94-E94,"")</f>
        <v>30.9500000000007</v>
      </c>
      <c r="G94" s="43" t="n">
        <f aca="false">SUMIFS(Cleaned_Futures_Data!$J$2:$J$756,Cleaned_Futures_Data!$B$2:$B$756,A94,Cleaned_Futures_Data!$W$2:$W$756,1)</f>
        <v>52956</v>
      </c>
      <c r="H94" s="43" t="n">
        <f aca="false">SUMIFS(Cleaned_Futures_Data!$L$2:$L$756,Cleaned_Futures_Data!$B$2:$B$756,A94,Cleaned_Futures_Data!$W$2:$W$756,1)</f>
        <v>11775375</v>
      </c>
      <c r="I94" s="43" t="n">
        <f aca="false">SUMIFS(Cleaned_Futures_Data!$J$2:$J$756,Cleaned_Futures_Data!$B$2:$B$756,A94)</f>
        <v>62099</v>
      </c>
    </row>
    <row r="95" customFormat="false" ht="15" hidden="false" customHeight="true" outlineLevel="0" collapsed="false">
      <c r="A95" s="39" t="n">
        <v>45797</v>
      </c>
      <c r="B95" s="39" t="n">
        <f aca="false">_xlfn.MINIFS(Cleaned_Futures_Data!$C$2:$C$756,Cleaned_Futures_Data!$B$2:$B$756,A95)</f>
        <v>45806</v>
      </c>
      <c r="C95" s="40" t="n">
        <f aca="false">B95-A95</f>
        <v>9</v>
      </c>
      <c r="D95" s="41" t="n">
        <f aca="false">IFERROR(AVERAGEIFS(Cleaned_Futures_Data!$G$2:$G$756,Cleaned_Futures_Data!$B$2:$B$756,A95,Cleaned_Futures_Data!$W$2:$W$756,1),"")</f>
        <v>24774.6</v>
      </c>
      <c r="E95" s="41" t="n">
        <f aca="false">IFERROR(AVERAGEIFS(Cleaned_Futures_Data!$N$2:$N$756,Cleaned_Futures_Data!$B$2:$B$756,A95,Cleaned_Futures_Data!$W$2:$W$756,1),"")</f>
        <v>24683.9</v>
      </c>
      <c r="F95" s="42" t="n">
        <f aca="false">IF(AND(ISNUMBER(D95),ISNUMBER(E95)),D95-E95,"")</f>
        <v>90.6999999999971</v>
      </c>
      <c r="G95" s="43" t="n">
        <f aca="false">SUMIFS(Cleaned_Futures_Data!$J$2:$J$756,Cleaned_Futures_Data!$B$2:$B$756,A95,Cleaned_Futures_Data!$W$2:$W$756,1)</f>
        <v>96523</v>
      </c>
      <c r="H95" s="43" t="n">
        <f aca="false">SUMIFS(Cleaned_Futures_Data!$L$2:$L$756,Cleaned_Futures_Data!$B$2:$B$756,A95,Cleaned_Futures_Data!$W$2:$W$756,1)</f>
        <v>11175975</v>
      </c>
      <c r="I95" s="43" t="n">
        <f aca="false">SUMIFS(Cleaned_Futures_Data!$J$2:$J$756,Cleaned_Futures_Data!$B$2:$B$756,A95)</f>
        <v>141929</v>
      </c>
    </row>
    <row r="96" customFormat="false" ht="15" hidden="false" customHeight="true" outlineLevel="0" collapsed="false">
      <c r="A96" s="39" t="n">
        <v>45798</v>
      </c>
      <c r="B96" s="39" t="n">
        <f aca="false">_xlfn.MINIFS(Cleaned_Futures_Data!$C$2:$C$756,Cleaned_Futures_Data!$B$2:$B$756,A96)</f>
        <v>45806</v>
      </c>
      <c r="C96" s="40" t="n">
        <f aca="false">B96-A96</f>
        <v>8</v>
      </c>
      <c r="D96" s="41" t="n">
        <f aca="false">IFERROR(AVERAGEIFS(Cleaned_Futures_Data!$G$2:$G$756,Cleaned_Futures_Data!$B$2:$B$756,A96,Cleaned_Futures_Data!$W$2:$W$756,1),"")</f>
        <v>24832.2</v>
      </c>
      <c r="E96" s="41" t="n">
        <f aca="false">IFERROR(AVERAGEIFS(Cleaned_Futures_Data!$N$2:$N$756,Cleaned_Futures_Data!$B$2:$B$756,A96,Cleaned_Futures_Data!$W$2:$W$756,1),"")</f>
        <v>24813.45</v>
      </c>
      <c r="F96" s="42" t="n">
        <f aca="false">IF(AND(ISNUMBER(D96),ISNUMBER(E96)),D96-E96,"")</f>
        <v>18.75</v>
      </c>
      <c r="G96" s="43" t="n">
        <f aca="false">SUMIFS(Cleaned_Futures_Data!$J$2:$J$756,Cleaned_Futures_Data!$B$2:$B$756,A96,Cleaned_Futures_Data!$W$2:$W$756,1)</f>
        <v>104176</v>
      </c>
      <c r="H96" s="43" t="n">
        <f aca="false">SUMIFS(Cleaned_Futures_Data!$L$2:$L$756,Cleaned_Futures_Data!$B$2:$B$756,A96,Cleaned_Futures_Data!$W$2:$W$756,1)</f>
        <v>10785750</v>
      </c>
      <c r="I96" s="43" t="n">
        <f aca="false">SUMIFS(Cleaned_Futures_Data!$J$2:$J$756,Cleaned_Futures_Data!$B$2:$B$756,A96)</f>
        <v>144297</v>
      </c>
    </row>
    <row r="97" customFormat="false" ht="15" hidden="false" customHeight="true" outlineLevel="0" collapsed="false">
      <c r="A97" s="39" t="n">
        <v>45799</v>
      </c>
      <c r="B97" s="39" t="n">
        <f aca="false">_xlfn.MINIFS(Cleaned_Futures_Data!$C$2:$C$756,Cleaned_Futures_Data!$B$2:$B$756,A97)</f>
        <v>45806</v>
      </c>
      <c r="C97" s="40" t="n">
        <f aca="false">B97-A97</f>
        <v>7</v>
      </c>
      <c r="D97" s="41" t="n">
        <f aca="false">IFERROR(AVERAGEIFS(Cleaned_Futures_Data!$G$2:$G$756,Cleaned_Futures_Data!$B$2:$B$756,A97,Cleaned_Futures_Data!$W$2:$W$756,1),"")</f>
        <v>24652.2</v>
      </c>
      <c r="E97" s="41" t="n">
        <f aca="false">IFERROR(AVERAGEIFS(Cleaned_Futures_Data!$N$2:$N$756,Cleaned_Futures_Data!$B$2:$B$756,A97,Cleaned_Futures_Data!$W$2:$W$756,1),"")</f>
        <v>24609.7</v>
      </c>
      <c r="F97" s="42" t="n">
        <f aca="false">IF(AND(ISNUMBER(D97),ISNUMBER(E97)),D97-E97,"")</f>
        <v>42.5</v>
      </c>
      <c r="G97" s="43" t="n">
        <f aca="false">SUMIFS(Cleaned_Futures_Data!$J$2:$J$756,Cleaned_Futures_Data!$B$2:$B$756,A97,Cleaned_Futures_Data!$W$2:$W$756,1)</f>
        <v>113872</v>
      </c>
      <c r="H97" s="43" t="n">
        <f aca="false">SUMIFS(Cleaned_Futures_Data!$L$2:$L$756,Cleaned_Futures_Data!$B$2:$B$756,A97,Cleaned_Futures_Data!$W$2:$W$756,1)</f>
        <v>10423125</v>
      </c>
      <c r="I97" s="43" t="n">
        <f aca="false">SUMIFS(Cleaned_Futures_Data!$J$2:$J$756,Cleaned_Futures_Data!$B$2:$B$756,A97)</f>
        <v>149441</v>
      </c>
    </row>
    <row r="98" customFormat="false" ht="15" hidden="false" customHeight="true" outlineLevel="0" collapsed="false">
      <c r="A98" s="39" t="n">
        <v>45800</v>
      </c>
      <c r="B98" s="39" t="n">
        <f aca="false">_xlfn.MINIFS(Cleaned_Futures_Data!$C$2:$C$756,Cleaned_Futures_Data!$B$2:$B$756,A98)</f>
        <v>45806</v>
      </c>
      <c r="C98" s="40" t="n">
        <f aca="false">B98-A98</f>
        <v>6</v>
      </c>
      <c r="D98" s="41" t="n">
        <f aca="false">IFERROR(AVERAGEIFS(Cleaned_Futures_Data!$G$2:$G$756,Cleaned_Futures_Data!$B$2:$B$756,A98,Cleaned_Futures_Data!$W$2:$W$756,1),"")</f>
        <v>24879.9</v>
      </c>
      <c r="E98" s="41" t="n">
        <f aca="false">IFERROR(AVERAGEIFS(Cleaned_Futures_Data!$N$2:$N$756,Cleaned_Futures_Data!$B$2:$B$756,A98,Cleaned_Futures_Data!$W$2:$W$756,1),"")</f>
        <v>24853.15</v>
      </c>
      <c r="F98" s="42" t="n">
        <f aca="false">IF(AND(ISNUMBER(D98),ISNUMBER(E98)),D98-E98,"")</f>
        <v>26.75</v>
      </c>
      <c r="G98" s="43" t="n">
        <f aca="false">SUMIFS(Cleaned_Futures_Data!$J$2:$J$756,Cleaned_Futures_Data!$B$2:$B$756,A98,Cleaned_Futures_Data!$W$2:$W$756,1)</f>
        <v>95920</v>
      </c>
      <c r="H98" s="43" t="n">
        <f aca="false">SUMIFS(Cleaned_Futures_Data!$L$2:$L$756,Cleaned_Futures_Data!$B$2:$B$756,A98,Cleaned_Futures_Data!$W$2:$W$756,1)</f>
        <v>10398000</v>
      </c>
      <c r="I98" s="43" t="n">
        <f aca="false">SUMIFS(Cleaned_Futures_Data!$J$2:$J$756,Cleaned_Futures_Data!$B$2:$B$756,A98)</f>
        <v>142364</v>
      </c>
    </row>
    <row r="99" customFormat="false" ht="15" hidden="false" customHeight="true" outlineLevel="0" collapsed="false">
      <c r="A99" s="39" t="n">
        <v>45803</v>
      </c>
      <c r="B99" s="39" t="n">
        <f aca="false">_xlfn.MINIFS(Cleaned_Futures_Data!$C$2:$C$756,Cleaned_Futures_Data!$B$2:$B$756,A99)</f>
        <v>45806</v>
      </c>
      <c r="C99" s="40" t="n">
        <f aca="false">B99-A99</f>
        <v>3</v>
      </c>
      <c r="D99" s="41" t="n">
        <f aca="false">IFERROR(AVERAGEIFS(Cleaned_Futures_Data!$G$2:$G$756,Cleaned_Futures_Data!$B$2:$B$756,A99,Cleaned_Futures_Data!$W$2:$W$756,1),"")</f>
        <v>25035.9</v>
      </c>
      <c r="E99" s="41" t="n">
        <f aca="false">IFERROR(AVERAGEIFS(Cleaned_Futures_Data!$N$2:$N$756,Cleaned_Futures_Data!$B$2:$B$756,A99,Cleaned_Futures_Data!$W$2:$W$756,1),"")</f>
        <v>25001.15</v>
      </c>
      <c r="F99" s="42" t="n">
        <f aca="false">IF(AND(ISNUMBER(D99),ISNUMBER(E99)),D99-E99,"")</f>
        <v>34.75</v>
      </c>
      <c r="G99" s="43" t="n">
        <f aca="false">SUMIFS(Cleaned_Futures_Data!$J$2:$J$756,Cleaned_Futures_Data!$B$2:$B$756,A99,Cleaned_Futures_Data!$W$2:$W$756,1)</f>
        <v>75338</v>
      </c>
      <c r="H99" s="43" t="n">
        <f aca="false">SUMIFS(Cleaned_Futures_Data!$L$2:$L$756,Cleaned_Futures_Data!$B$2:$B$756,A99,Cleaned_Futures_Data!$W$2:$W$756,1)</f>
        <v>9418875</v>
      </c>
      <c r="I99" s="43" t="n">
        <f aca="false">SUMIFS(Cleaned_Futures_Data!$J$2:$J$756,Cleaned_Futures_Data!$B$2:$B$756,A99)</f>
        <v>131080</v>
      </c>
    </row>
    <row r="100" customFormat="false" ht="15" hidden="false" customHeight="true" outlineLevel="0" collapsed="false">
      <c r="A100" s="39" t="n">
        <v>45804</v>
      </c>
      <c r="B100" s="39" t="n">
        <f aca="false">_xlfn.MINIFS(Cleaned_Futures_Data!$C$2:$C$756,Cleaned_Futures_Data!$B$2:$B$756,A100)</f>
        <v>45806</v>
      </c>
      <c r="C100" s="40" t="n">
        <f aca="false">B100-A100</f>
        <v>2</v>
      </c>
      <c r="D100" s="41" t="n">
        <f aca="false">IFERROR(AVERAGEIFS(Cleaned_Futures_Data!$G$2:$G$756,Cleaned_Futures_Data!$B$2:$B$756,A100,Cleaned_Futures_Data!$W$2:$W$756,1),"")</f>
        <v>24862.6</v>
      </c>
      <c r="E100" s="41" t="n">
        <f aca="false">IFERROR(AVERAGEIFS(Cleaned_Futures_Data!$N$2:$N$756,Cleaned_Futures_Data!$B$2:$B$756,A100,Cleaned_Futures_Data!$W$2:$W$756,1),"")</f>
        <v>24826.2</v>
      </c>
      <c r="F100" s="42" t="n">
        <f aca="false">IF(AND(ISNUMBER(D100),ISNUMBER(E100)),D100-E100,"")</f>
        <v>36.3999999999978</v>
      </c>
      <c r="G100" s="43" t="n">
        <f aca="false">SUMIFS(Cleaned_Futures_Data!$J$2:$J$756,Cleaned_Futures_Data!$B$2:$B$756,A100,Cleaned_Futures_Data!$W$2:$W$756,1)</f>
        <v>146382</v>
      </c>
      <c r="H100" s="43" t="n">
        <f aca="false">SUMIFS(Cleaned_Futures_Data!$L$2:$L$756,Cleaned_Futures_Data!$B$2:$B$756,A100,Cleaned_Futures_Data!$W$2:$W$756,1)</f>
        <v>7685625</v>
      </c>
      <c r="I100" s="43" t="n">
        <f aca="false">SUMIFS(Cleaned_Futures_Data!$J$2:$J$756,Cleaned_Futures_Data!$B$2:$B$756,A100)</f>
        <v>261691</v>
      </c>
    </row>
    <row r="101" customFormat="false" ht="15" hidden="false" customHeight="true" outlineLevel="0" collapsed="false">
      <c r="A101" s="39" t="n">
        <v>45805</v>
      </c>
      <c r="B101" s="39" t="n">
        <f aca="false">_xlfn.MINIFS(Cleaned_Futures_Data!$C$2:$C$756,Cleaned_Futures_Data!$B$2:$B$756,A101)</f>
        <v>45806</v>
      </c>
      <c r="C101" s="40" t="n">
        <f aca="false">B101-A101</f>
        <v>1</v>
      </c>
      <c r="D101" s="41" t="n">
        <f aca="false">IFERROR(AVERAGEIFS(Cleaned_Futures_Data!$G$2:$G$756,Cleaned_Futures_Data!$B$2:$B$756,A101,Cleaned_Futures_Data!$W$2:$W$756,1),"")</f>
        <v>24762.5</v>
      </c>
      <c r="E101" s="41" t="n">
        <f aca="false">IFERROR(AVERAGEIFS(Cleaned_Futures_Data!$N$2:$N$756,Cleaned_Futures_Data!$B$2:$B$756,A101,Cleaned_Futures_Data!$W$2:$W$756,1),"")</f>
        <v>24752.45</v>
      </c>
      <c r="F101" s="42" t="n">
        <f aca="false">IF(AND(ISNUMBER(D101),ISNUMBER(E101)),D101-E101,"")</f>
        <v>10.0499999999993</v>
      </c>
      <c r="G101" s="43" t="n">
        <f aca="false">SUMIFS(Cleaned_Futures_Data!$J$2:$J$756,Cleaned_Futures_Data!$B$2:$B$756,A101,Cleaned_Futures_Data!$W$2:$W$756,1)</f>
        <v>78611</v>
      </c>
      <c r="H101" s="43" t="n">
        <f aca="false">SUMIFS(Cleaned_Futures_Data!$L$2:$L$756,Cleaned_Futures_Data!$B$2:$B$756,A101,Cleaned_Futures_Data!$W$2:$W$756,1)</f>
        <v>5931375</v>
      </c>
      <c r="I101" s="43" t="n">
        <f aca="false">SUMIFS(Cleaned_Futures_Data!$J$2:$J$756,Cleaned_Futures_Data!$B$2:$B$756,A101)</f>
        <v>148523</v>
      </c>
    </row>
    <row r="102" customFormat="false" ht="15" hidden="false" customHeight="true" outlineLevel="0" collapsed="false">
      <c r="A102" s="39" t="n">
        <v>45806</v>
      </c>
      <c r="B102" s="39" t="n">
        <f aca="false">_xlfn.MINIFS(Cleaned_Futures_Data!$C$2:$C$756,Cleaned_Futures_Data!$B$2:$B$756,A102)</f>
        <v>45806</v>
      </c>
      <c r="C102" s="40" t="n">
        <f aca="false">B102-A102</f>
        <v>0</v>
      </c>
      <c r="D102" s="41" t="n">
        <f aca="false">IFERROR(AVERAGEIFS(Cleaned_Futures_Data!$G$2:$G$756,Cleaned_Futures_Data!$B$2:$B$756,A102,Cleaned_Futures_Data!$W$2:$W$756,1),"")</f>
        <v>24814.2</v>
      </c>
      <c r="E102" s="41" t="n">
        <f aca="false">IFERROR(AVERAGEIFS(Cleaned_Futures_Data!$N$2:$N$756,Cleaned_Futures_Data!$B$2:$B$756,A102,Cleaned_Futures_Data!$W$2:$W$756,1),"")</f>
        <v>24833.6</v>
      </c>
      <c r="F102" s="42" t="n">
        <f aca="false">IF(AND(ISNUMBER(D102),ISNUMBER(E102)),D102-E102,"")</f>
        <v>-19.3999999999978</v>
      </c>
      <c r="G102" s="43" t="n">
        <f aca="false">SUMIFS(Cleaned_Futures_Data!$J$2:$J$756,Cleaned_Futures_Data!$B$2:$B$756,A102,Cleaned_Futures_Data!$W$2:$W$756,1)</f>
        <v>81101</v>
      </c>
      <c r="H102" s="43" t="n">
        <f aca="false">SUMIFS(Cleaned_Futures_Data!$L$2:$L$756,Cleaned_Futures_Data!$B$2:$B$756,A102,Cleaned_Futures_Data!$W$2:$W$756,1)</f>
        <v>3945300</v>
      </c>
      <c r="I102" s="43" t="n">
        <f aca="false">SUMIFS(Cleaned_Futures_Data!$J$2:$J$756,Cleaned_Futures_Data!$B$2:$B$756,A102)</f>
        <v>232790</v>
      </c>
    </row>
    <row r="103" customFormat="false" ht="15" hidden="false" customHeight="true" outlineLevel="0" collapsed="false">
      <c r="A103" s="39" t="n">
        <v>45807</v>
      </c>
      <c r="B103" s="39" t="n">
        <f aca="false">_xlfn.MINIFS(Cleaned_Futures_Data!$C$2:$C$756,Cleaned_Futures_Data!$B$2:$B$756,A103)</f>
        <v>45834</v>
      </c>
      <c r="C103" s="40" t="n">
        <f aca="false">B103-A103</f>
        <v>27</v>
      </c>
      <c r="D103" s="41" t="n">
        <f aca="false">IFERROR(AVERAGEIFS(Cleaned_Futures_Data!$G$2:$G$756,Cleaned_Futures_Data!$B$2:$B$756,A103,Cleaned_Futures_Data!$W$2:$W$756,1),"")</f>
        <v>24871.2</v>
      </c>
      <c r="E103" s="41" t="str">
        <f aca="false">IFERROR(AVERAGEIFS(Cleaned_Futures_Data!$N$2:$N$756,Cleaned_Futures_Data!$B$2:$B$756,A103,Cleaned_Futures_Data!$W$2:$W$756,1),"")</f>
        <v/>
      </c>
      <c r="F103" s="42" t="str">
        <f aca="false">IF(AND(ISNUMBER(D103),ISNUMBER(E103)),D103-E103,"")</f>
        <v/>
      </c>
      <c r="G103" s="43" t="n">
        <f aca="false">SUMIFS(Cleaned_Futures_Data!$J$2:$J$756,Cleaned_Futures_Data!$B$2:$B$756,A103,Cleaned_Futures_Data!$W$2:$W$756,1)</f>
        <v>69540</v>
      </c>
      <c r="H103" s="43" t="n">
        <f aca="false">SUMIFS(Cleaned_Futures_Data!$L$2:$L$756,Cleaned_Futures_Data!$B$2:$B$756,A103,Cleaned_Futures_Data!$W$2:$W$756,1)</f>
        <v>13020000</v>
      </c>
      <c r="I103" s="43" t="n">
        <f aca="false">SUMIFS(Cleaned_Futures_Data!$J$2:$J$756,Cleaned_Futures_Data!$B$2:$B$756,A103)</f>
        <v>78616</v>
      </c>
    </row>
    <row r="104" customFormat="false" ht="15" hidden="false" customHeight="true" outlineLevel="0" collapsed="false">
      <c r="A104" s="39" t="n">
        <v>45810</v>
      </c>
      <c r="B104" s="39" t="n">
        <f aca="false">_xlfn.MINIFS(Cleaned_Futures_Data!$C$2:$C$756,Cleaned_Futures_Data!$B$2:$B$756,A104)</f>
        <v>45834</v>
      </c>
      <c r="C104" s="40" t="n">
        <f aca="false">B104-A104</f>
        <v>24</v>
      </c>
      <c r="D104" s="41" t="n">
        <f aca="false">IFERROR(AVERAGEIFS(Cleaned_Futures_Data!$G$2:$G$756,Cleaned_Futures_Data!$B$2:$B$756,A104,Cleaned_Futures_Data!$W$2:$W$756,1),"")</f>
        <v>24826.3</v>
      </c>
      <c r="E104" s="41" t="n">
        <f aca="false">IFERROR(AVERAGEIFS(Cleaned_Futures_Data!$N$2:$N$756,Cleaned_Futures_Data!$B$2:$B$756,A104,Cleaned_Futures_Data!$W$2:$W$756,1),"")</f>
        <v>24716.6</v>
      </c>
      <c r="F104" s="42" t="n">
        <f aca="false">IF(AND(ISNUMBER(D104),ISNUMBER(E104)),D104-E104,"")</f>
        <v>109.700000000001</v>
      </c>
      <c r="G104" s="43" t="n">
        <f aca="false">SUMIFS(Cleaned_Futures_Data!$J$2:$J$756,Cleaned_Futures_Data!$B$2:$B$756,A104,Cleaned_Futures_Data!$W$2:$W$756,1)</f>
        <v>93083</v>
      </c>
      <c r="H104" s="43" t="n">
        <f aca="false">SUMIFS(Cleaned_Futures_Data!$L$2:$L$756,Cleaned_Futures_Data!$B$2:$B$756,A104,Cleaned_Futures_Data!$W$2:$W$756,1)</f>
        <v>12674100</v>
      </c>
      <c r="I104" s="43" t="n">
        <f aca="false">SUMIFS(Cleaned_Futures_Data!$J$2:$J$756,Cleaned_Futures_Data!$B$2:$B$756,A104)</f>
        <v>103492</v>
      </c>
    </row>
    <row r="105" customFormat="false" ht="15" hidden="false" customHeight="true" outlineLevel="0" collapsed="false">
      <c r="A105" s="39" t="n">
        <v>45811</v>
      </c>
      <c r="B105" s="39" t="n">
        <f aca="false">_xlfn.MINIFS(Cleaned_Futures_Data!$C$2:$C$756,Cleaned_Futures_Data!$B$2:$B$756,A105)</f>
        <v>45834</v>
      </c>
      <c r="C105" s="40" t="n">
        <f aca="false">B105-A105</f>
        <v>23</v>
      </c>
      <c r="D105" s="41" t="n">
        <f aca="false">IFERROR(AVERAGEIFS(Cleaned_Futures_Data!$G$2:$G$756,Cleaned_Futures_Data!$B$2:$B$756,A105,Cleaned_Futures_Data!$W$2:$W$756,1),"")</f>
        <v>24675.3</v>
      </c>
      <c r="E105" s="41" t="n">
        <f aca="false">IFERROR(AVERAGEIFS(Cleaned_Futures_Data!$N$2:$N$756,Cleaned_Futures_Data!$B$2:$B$756,A105,Cleaned_Futures_Data!$W$2:$W$756,1),"")</f>
        <v>24542.5</v>
      </c>
      <c r="F105" s="42" t="n">
        <f aca="false">IF(AND(ISNUMBER(D105),ISNUMBER(E105)),D105-E105,"")</f>
        <v>132.799999999999</v>
      </c>
      <c r="G105" s="43" t="n">
        <f aca="false">SUMIFS(Cleaned_Futures_Data!$J$2:$J$756,Cleaned_Futures_Data!$B$2:$B$756,A105,Cleaned_Futures_Data!$W$2:$W$756,1)</f>
        <v>105510</v>
      </c>
      <c r="H105" s="43" t="n">
        <f aca="false">SUMIFS(Cleaned_Futures_Data!$L$2:$L$756,Cleaned_Futures_Data!$B$2:$B$756,A105,Cleaned_Futures_Data!$W$2:$W$756,1)</f>
        <v>12731325</v>
      </c>
      <c r="I105" s="43" t="n">
        <f aca="false">SUMIFS(Cleaned_Futures_Data!$J$2:$J$756,Cleaned_Futures_Data!$B$2:$B$756,A105)</f>
        <v>123079</v>
      </c>
    </row>
    <row r="106" customFormat="false" ht="15" hidden="false" customHeight="true" outlineLevel="0" collapsed="false">
      <c r="A106" s="39" t="n">
        <v>45812</v>
      </c>
      <c r="B106" s="39" t="n">
        <f aca="false">_xlfn.MINIFS(Cleaned_Futures_Data!$C$2:$C$756,Cleaned_Futures_Data!$B$2:$B$756,A106)</f>
        <v>45834</v>
      </c>
      <c r="C106" s="40" t="n">
        <f aca="false">B106-A106</f>
        <v>22</v>
      </c>
      <c r="D106" s="41" t="n">
        <f aca="false">IFERROR(AVERAGEIFS(Cleaned_Futures_Data!$G$2:$G$756,Cleaned_Futures_Data!$B$2:$B$756,A106,Cleaned_Futures_Data!$W$2:$W$756,1),"")</f>
        <v>24729.4</v>
      </c>
      <c r="E106" s="41" t="n">
        <f aca="false">IFERROR(AVERAGEIFS(Cleaned_Futures_Data!$N$2:$N$756,Cleaned_Futures_Data!$B$2:$B$756,A106,Cleaned_Futures_Data!$W$2:$W$756,1),"")</f>
        <v>24620.2</v>
      </c>
      <c r="F106" s="42" t="n">
        <f aca="false">IF(AND(ISNUMBER(D106),ISNUMBER(E106)),D106-E106,"")</f>
        <v>109.200000000001</v>
      </c>
      <c r="G106" s="43" t="n">
        <f aca="false">SUMIFS(Cleaned_Futures_Data!$J$2:$J$756,Cleaned_Futures_Data!$B$2:$B$756,A106,Cleaned_Futures_Data!$W$2:$W$756,1)</f>
        <v>50960</v>
      </c>
      <c r="H106" s="43" t="n">
        <f aca="false">SUMIFS(Cleaned_Futures_Data!$L$2:$L$756,Cleaned_Futures_Data!$B$2:$B$756,A106,Cleaned_Futures_Data!$W$2:$W$756,1)</f>
        <v>12494550</v>
      </c>
      <c r="I106" s="43" t="n">
        <f aca="false">SUMIFS(Cleaned_Futures_Data!$J$2:$J$756,Cleaned_Futures_Data!$B$2:$B$756,A106)</f>
        <v>61267</v>
      </c>
    </row>
    <row r="107" customFormat="false" ht="15" hidden="false" customHeight="true" outlineLevel="0" collapsed="false">
      <c r="A107" s="39" t="n">
        <v>45813</v>
      </c>
      <c r="B107" s="39" t="n">
        <f aca="false">_xlfn.MINIFS(Cleaned_Futures_Data!$C$2:$C$756,Cleaned_Futures_Data!$B$2:$B$756,A107)</f>
        <v>45834</v>
      </c>
      <c r="C107" s="40" t="n">
        <f aca="false">B107-A107</f>
        <v>21</v>
      </c>
      <c r="D107" s="41" t="n">
        <f aca="false">IFERROR(AVERAGEIFS(Cleaned_Futures_Data!$G$2:$G$756,Cleaned_Futures_Data!$B$2:$B$756,A107,Cleaned_Futures_Data!$W$2:$W$756,1),"")</f>
        <v>24861.4</v>
      </c>
      <c r="E107" s="41" t="n">
        <f aca="false">IFERROR(AVERAGEIFS(Cleaned_Futures_Data!$N$2:$N$756,Cleaned_Futures_Data!$B$2:$B$756,A107,Cleaned_Futures_Data!$W$2:$W$756,1),"")</f>
        <v>24750.9</v>
      </c>
      <c r="F107" s="42" t="n">
        <f aca="false">IF(AND(ISNUMBER(D107),ISNUMBER(E107)),D107-E107,"")</f>
        <v>110.5</v>
      </c>
      <c r="G107" s="43" t="n">
        <f aca="false">SUMIFS(Cleaned_Futures_Data!$J$2:$J$756,Cleaned_Futures_Data!$B$2:$B$756,A107,Cleaned_Futures_Data!$W$2:$W$756,1)</f>
        <v>106451</v>
      </c>
      <c r="H107" s="43" t="n">
        <f aca="false">SUMIFS(Cleaned_Futures_Data!$L$2:$L$756,Cleaned_Futures_Data!$B$2:$B$756,A107,Cleaned_Futures_Data!$W$2:$W$756,1)</f>
        <v>12317325</v>
      </c>
      <c r="I107" s="43" t="n">
        <f aca="false">SUMIFS(Cleaned_Futures_Data!$J$2:$J$756,Cleaned_Futures_Data!$B$2:$B$756,A107)</f>
        <v>126308</v>
      </c>
    </row>
    <row r="108" customFormat="false" ht="15" hidden="false" customHeight="true" outlineLevel="0" collapsed="false">
      <c r="A108" s="39" t="n">
        <v>45814</v>
      </c>
      <c r="B108" s="39" t="n">
        <f aca="false">_xlfn.MINIFS(Cleaned_Futures_Data!$C$2:$C$756,Cleaned_Futures_Data!$B$2:$B$756,A108)</f>
        <v>45834</v>
      </c>
      <c r="C108" s="40" t="n">
        <f aca="false">B108-A108</f>
        <v>20</v>
      </c>
      <c r="D108" s="41" t="n">
        <f aca="false">IFERROR(AVERAGEIFS(Cleaned_Futures_Data!$G$2:$G$756,Cleaned_Futures_Data!$B$2:$B$756,A108,Cleaned_Futures_Data!$W$2:$W$756,1),"")</f>
        <v>25096.3</v>
      </c>
      <c r="E108" s="41" t="n">
        <f aca="false">IFERROR(AVERAGEIFS(Cleaned_Futures_Data!$N$2:$N$756,Cleaned_Futures_Data!$B$2:$B$756,A108,Cleaned_Futures_Data!$W$2:$W$756,1),"")</f>
        <v>25003.05</v>
      </c>
      <c r="F108" s="42" t="n">
        <f aca="false">IF(AND(ISNUMBER(D108),ISNUMBER(E108)),D108-E108,"")</f>
        <v>93.25</v>
      </c>
      <c r="G108" s="43" t="n">
        <f aca="false">SUMIFS(Cleaned_Futures_Data!$J$2:$J$756,Cleaned_Futures_Data!$B$2:$B$756,A108,Cleaned_Futures_Data!$W$2:$W$756,1)</f>
        <v>109889</v>
      </c>
      <c r="H108" s="43" t="n">
        <f aca="false">SUMIFS(Cleaned_Futures_Data!$L$2:$L$756,Cleaned_Futures_Data!$B$2:$B$756,A108,Cleaned_Futures_Data!$W$2:$W$756,1)</f>
        <v>12180600</v>
      </c>
      <c r="I108" s="43" t="n">
        <f aca="false">SUMIFS(Cleaned_Futures_Data!$J$2:$J$756,Cleaned_Futures_Data!$B$2:$B$756,A108)</f>
        <v>123697</v>
      </c>
    </row>
    <row r="109" customFormat="false" ht="15" hidden="false" customHeight="true" outlineLevel="0" collapsed="false">
      <c r="A109" s="39" t="n">
        <v>45817</v>
      </c>
      <c r="B109" s="39" t="n">
        <f aca="false">_xlfn.MINIFS(Cleaned_Futures_Data!$C$2:$C$756,Cleaned_Futures_Data!$B$2:$B$756,A109)</f>
        <v>45834</v>
      </c>
      <c r="C109" s="40" t="n">
        <f aca="false">B109-A109</f>
        <v>17</v>
      </c>
      <c r="D109" s="41" t="n">
        <f aca="false">IFERROR(AVERAGEIFS(Cleaned_Futures_Data!$G$2:$G$756,Cleaned_Futures_Data!$B$2:$B$756,A109,Cleaned_Futures_Data!$W$2:$W$756,1),"")</f>
        <v>25181.8</v>
      </c>
      <c r="E109" s="41" t="n">
        <f aca="false">IFERROR(AVERAGEIFS(Cleaned_Futures_Data!$N$2:$N$756,Cleaned_Futures_Data!$B$2:$B$756,A109,Cleaned_Futures_Data!$W$2:$W$756,1),"")</f>
        <v>25103.2</v>
      </c>
      <c r="F109" s="42" t="n">
        <f aca="false">IF(AND(ISNUMBER(D109),ISNUMBER(E109)),D109-E109,"")</f>
        <v>78.5999999999985</v>
      </c>
      <c r="G109" s="43" t="n">
        <f aca="false">SUMIFS(Cleaned_Futures_Data!$J$2:$J$756,Cleaned_Futures_Data!$B$2:$B$756,A109,Cleaned_Futures_Data!$W$2:$W$756,1)</f>
        <v>45853</v>
      </c>
      <c r="H109" s="43" t="n">
        <f aca="false">SUMIFS(Cleaned_Futures_Data!$L$2:$L$756,Cleaned_Futures_Data!$B$2:$B$756,A109,Cleaned_Futures_Data!$W$2:$W$756,1)</f>
        <v>11925600</v>
      </c>
      <c r="I109" s="43" t="n">
        <f aca="false">SUMIFS(Cleaned_Futures_Data!$J$2:$J$756,Cleaned_Futures_Data!$B$2:$B$756,A109)</f>
        <v>53999</v>
      </c>
    </row>
    <row r="110" customFormat="false" ht="15" hidden="false" customHeight="true" outlineLevel="0" collapsed="false">
      <c r="A110" s="39" t="n">
        <v>45818</v>
      </c>
      <c r="B110" s="39" t="n">
        <f aca="false">_xlfn.MINIFS(Cleaned_Futures_Data!$C$2:$C$756,Cleaned_Futures_Data!$B$2:$B$756,A110)</f>
        <v>45834</v>
      </c>
      <c r="C110" s="40" t="n">
        <f aca="false">B110-A110</f>
        <v>16</v>
      </c>
      <c r="D110" s="41" t="n">
        <f aca="false">IFERROR(AVERAGEIFS(Cleaned_Futures_Data!$G$2:$G$756,Cleaned_Futures_Data!$B$2:$B$756,A110,Cleaned_Futures_Data!$W$2:$W$756,1),"")</f>
        <v>25160.6</v>
      </c>
      <c r="E110" s="41" t="n">
        <f aca="false">IFERROR(AVERAGEIFS(Cleaned_Futures_Data!$N$2:$N$756,Cleaned_Futures_Data!$B$2:$B$756,A110,Cleaned_Futures_Data!$W$2:$W$756,1),"")</f>
        <v>25104.25</v>
      </c>
      <c r="F110" s="42" t="n">
        <f aca="false">IF(AND(ISNUMBER(D110),ISNUMBER(E110)),D110-E110,"")</f>
        <v>56.3499999999985</v>
      </c>
      <c r="G110" s="43" t="n">
        <f aca="false">SUMIFS(Cleaned_Futures_Data!$J$2:$J$756,Cleaned_Futures_Data!$B$2:$B$756,A110,Cleaned_Futures_Data!$W$2:$W$756,1)</f>
        <v>47136</v>
      </c>
      <c r="H110" s="43" t="n">
        <f aca="false">SUMIFS(Cleaned_Futures_Data!$L$2:$L$756,Cleaned_Futures_Data!$B$2:$B$756,A110,Cleaned_Futures_Data!$W$2:$W$756,1)</f>
        <v>11487600</v>
      </c>
      <c r="I110" s="43" t="n">
        <f aca="false">SUMIFS(Cleaned_Futures_Data!$J$2:$J$756,Cleaned_Futures_Data!$B$2:$B$756,A110)</f>
        <v>53036</v>
      </c>
    </row>
    <row r="111" customFormat="false" ht="15" hidden="false" customHeight="true" outlineLevel="0" collapsed="false">
      <c r="A111" s="39" t="n">
        <v>45819</v>
      </c>
      <c r="B111" s="39" t="n">
        <f aca="false">_xlfn.MINIFS(Cleaned_Futures_Data!$C$2:$C$756,Cleaned_Futures_Data!$B$2:$B$756,A111)</f>
        <v>45834</v>
      </c>
      <c r="C111" s="40" t="n">
        <f aca="false">B111-A111</f>
        <v>15</v>
      </c>
      <c r="D111" s="41" t="n">
        <f aca="false">IFERROR(AVERAGEIFS(Cleaned_Futures_Data!$G$2:$G$756,Cleaned_Futures_Data!$B$2:$B$756,A111,Cleaned_Futures_Data!$W$2:$W$756,1),"")</f>
        <v>25211.7</v>
      </c>
      <c r="E111" s="41" t="n">
        <f aca="false">IFERROR(AVERAGEIFS(Cleaned_Futures_Data!$N$2:$N$756,Cleaned_Futures_Data!$B$2:$B$756,A111,Cleaned_Futures_Data!$W$2:$W$756,1),"")</f>
        <v>25141.4</v>
      </c>
      <c r="F111" s="42" t="n">
        <f aca="false">IF(AND(ISNUMBER(D111),ISNUMBER(E111)),D111-E111,"")</f>
        <v>70.2999999999993</v>
      </c>
      <c r="G111" s="43" t="n">
        <f aca="false">SUMIFS(Cleaned_Futures_Data!$J$2:$J$756,Cleaned_Futures_Data!$B$2:$B$756,A111,Cleaned_Futures_Data!$W$2:$W$756,1)</f>
        <v>62340</v>
      </c>
      <c r="H111" s="43" t="n">
        <f aca="false">SUMIFS(Cleaned_Futures_Data!$L$2:$L$756,Cleaned_Futures_Data!$B$2:$B$756,A111,Cleaned_Futures_Data!$W$2:$W$756,1)</f>
        <v>11403000</v>
      </c>
      <c r="I111" s="43" t="n">
        <f aca="false">SUMIFS(Cleaned_Futures_Data!$J$2:$J$756,Cleaned_Futures_Data!$B$2:$B$756,A111)</f>
        <v>70087</v>
      </c>
    </row>
    <row r="112" customFormat="false" ht="15" hidden="false" customHeight="true" outlineLevel="0" collapsed="false">
      <c r="A112" s="39" t="n">
        <v>45820</v>
      </c>
      <c r="B112" s="39" t="n">
        <f aca="false">_xlfn.MINIFS(Cleaned_Futures_Data!$C$2:$C$756,Cleaned_Futures_Data!$B$2:$B$756,A112)</f>
        <v>45834</v>
      </c>
      <c r="C112" s="40" t="n">
        <f aca="false">B112-A112</f>
        <v>14</v>
      </c>
      <c r="D112" s="41" t="n">
        <f aca="false">IFERROR(AVERAGEIFS(Cleaned_Futures_Data!$G$2:$G$756,Cleaned_Futures_Data!$B$2:$B$756,A112,Cleaned_Futures_Data!$W$2:$W$756,1),"")</f>
        <v>24937.4</v>
      </c>
      <c r="E112" s="41" t="n">
        <f aca="false">IFERROR(AVERAGEIFS(Cleaned_Futures_Data!$N$2:$N$756,Cleaned_Futures_Data!$B$2:$B$756,A112,Cleaned_Futures_Data!$W$2:$W$756,1),"")</f>
        <v>24888.2</v>
      </c>
      <c r="F112" s="42" t="n">
        <f aca="false">IF(AND(ISNUMBER(D112),ISNUMBER(E112)),D112-E112,"")</f>
        <v>49.2000000000007</v>
      </c>
      <c r="G112" s="43" t="n">
        <f aca="false">SUMIFS(Cleaned_Futures_Data!$J$2:$J$756,Cleaned_Futures_Data!$B$2:$B$756,A112,Cleaned_Futures_Data!$W$2:$W$756,1)</f>
        <v>119427</v>
      </c>
      <c r="H112" s="43" t="n">
        <f aca="false">SUMIFS(Cleaned_Futures_Data!$L$2:$L$756,Cleaned_Futures_Data!$B$2:$B$756,A112,Cleaned_Futures_Data!$W$2:$W$756,1)</f>
        <v>11388075</v>
      </c>
      <c r="I112" s="43" t="n">
        <f aca="false">SUMIFS(Cleaned_Futures_Data!$J$2:$J$756,Cleaned_Futures_Data!$B$2:$B$756,A112)</f>
        <v>137723</v>
      </c>
    </row>
    <row r="113" customFormat="false" ht="15" hidden="false" customHeight="true" outlineLevel="0" collapsed="false">
      <c r="A113" s="39" t="n">
        <v>45821</v>
      </c>
      <c r="B113" s="39" t="n">
        <f aca="false">_xlfn.MINIFS(Cleaned_Futures_Data!$C$2:$C$756,Cleaned_Futures_Data!$B$2:$B$756,A113)</f>
        <v>45834</v>
      </c>
      <c r="C113" s="40" t="n">
        <f aca="false">B113-A113</f>
        <v>13</v>
      </c>
      <c r="D113" s="41" t="n">
        <f aca="false">IFERROR(AVERAGEIFS(Cleaned_Futures_Data!$G$2:$G$756,Cleaned_Futures_Data!$B$2:$B$756,A113,Cleaned_Futures_Data!$W$2:$W$756,1),"")</f>
        <v>24727.4</v>
      </c>
      <c r="E113" s="41" t="n">
        <f aca="false">IFERROR(AVERAGEIFS(Cleaned_Futures_Data!$N$2:$N$756,Cleaned_Futures_Data!$B$2:$B$756,A113,Cleaned_Futures_Data!$W$2:$W$756,1),"")</f>
        <v>24718.6</v>
      </c>
      <c r="F113" s="42" t="n">
        <f aca="false">IF(AND(ISNUMBER(D113),ISNUMBER(E113)),D113-E113,"")</f>
        <v>8.80000000000291</v>
      </c>
      <c r="G113" s="43" t="n">
        <f aca="false">SUMIFS(Cleaned_Futures_Data!$J$2:$J$756,Cleaned_Futures_Data!$B$2:$B$756,A113,Cleaned_Futures_Data!$W$2:$W$756,1)</f>
        <v>89998</v>
      </c>
      <c r="H113" s="43" t="n">
        <f aca="false">SUMIFS(Cleaned_Futures_Data!$L$2:$L$756,Cleaned_Futures_Data!$B$2:$B$756,A113,Cleaned_Futures_Data!$W$2:$W$756,1)</f>
        <v>11825400</v>
      </c>
      <c r="I113" s="43" t="n">
        <f aca="false">SUMIFS(Cleaned_Futures_Data!$J$2:$J$756,Cleaned_Futures_Data!$B$2:$B$756,A113)</f>
        <v>102772</v>
      </c>
    </row>
    <row r="114" customFormat="false" ht="15" hidden="false" customHeight="true" outlineLevel="0" collapsed="false">
      <c r="A114" s="39" t="n">
        <v>45824</v>
      </c>
      <c r="B114" s="39" t="n">
        <f aca="false">_xlfn.MINIFS(Cleaned_Futures_Data!$C$2:$C$756,Cleaned_Futures_Data!$B$2:$B$756,A114)</f>
        <v>45834</v>
      </c>
      <c r="C114" s="40" t="n">
        <f aca="false">B114-A114</f>
        <v>10</v>
      </c>
      <c r="D114" s="41" t="n">
        <f aca="false">IFERROR(AVERAGEIFS(Cleaned_Futures_Data!$G$2:$G$756,Cleaned_Futures_Data!$B$2:$B$756,A114,Cleaned_Futures_Data!$W$2:$W$756,1),"")</f>
        <v>24996.2</v>
      </c>
      <c r="E114" s="41" t="n">
        <f aca="false">IFERROR(AVERAGEIFS(Cleaned_Futures_Data!$N$2:$N$756,Cleaned_Futures_Data!$B$2:$B$756,A114,Cleaned_Futures_Data!$W$2:$W$756,1),"")</f>
        <v>24946.5</v>
      </c>
      <c r="F114" s="42" t="n">
        <f aca="false">IF(AND(ISNUMBER(D114),ISNUMBER(E114)),D114-E114,"")</f>
        <v>49.7000000000007</v>
      </c>
      <c r="G114" s="43" t="n">
        <f aca="false">SUMIFS(Cleaned_Futures_Data!$J$2:$J$756,Cleaned_Futures_Data!$B$2:$B$756,A114,Cleaned_Futures_Data!$W$2:$W$756,1)</f>
        <v>88980</v>
      </c>
      <c r="H114" s="43" t="n">
        <f aca="false">SUMIFS(Cleaned_Futures_Data!$L$2:$L$756,Cleaned_Futures_Data!$B$2:$B$756,A114,Cleaned_Futures_Data!$W$2:$W$756,1)</f>
        <v>11748900</v>
      </c>
      <c r="I114" s="43" t="n">
        <f aca="false">SUMIFS(Cleaned_Futures_Data!$J$2:$J$756,Cleaned_Futures_Data!$B$2:$B$756,A114)</f>
        <v>108451</v>
      </c>
    </row>
    <row r="115" customFormat="false" ht="15" hidden="false" customHeight="true" outlineLevel="0" collapsed="false">
      <c r="A115" s="39" t="n">
        <v>45825</v>
      </c>
      <c r="B115" s="39" t="n">
        <f aca="false">_xlfn.MINIFS(Cleaned_Futures_Data!$C$2:$C$756,Cleaned_Futures_Data!$B$2:$B$756,A115)</f>
        <v>45834</v>
      </c>
      <c r="C115" s="40" t="n">
        <f aca="false">B115-A115</f>
        <v>9</v>
      </c>
      <c r="D115" s="41" t="n">
        <f aca="false">IFERROR(AVERAGEIFS(Cleaned_Futures_Data!$G$2:$G$756,Cleaned_Futures_Data!$B$2:$B$756,A115,Cleaned_Futures_Data!$W$2:$W$756,1),"")</f>
        <v>24868.8</v>
      </c>
      <c r="E115" s="41" t="n">
        <f aca="false">IFERROR(AVERAGEIFS(Cleaned_Futures_Data!$N$2:$N$756,Cleaned_Futures_Data!$B$2:$B$756,A115,Cleaned_Futures_Data!$W$2:$W$756,1),"")</f>
        <v>24853.4</v>
      </c>
      <c r="F115" s="42" t="n">
        <f aca="false">IF(AND(ISNUMBER(D115),ISNUMBER(E115)),D115-E115,"")</f>
        <v>15.3999999999978</v>
      </c>
      <c r="G115" s="43" t="n">
        <f aca="false">SUMIFS(Cleaned_Futures_Data!$J$2:$J$756,Cleaned_Futures_Data!$B$2:$B$756,A115,Cleaned_Futures_Data!$W$2:$W$756,1)</f>
        <v>60973</v>
      </c>
      <c r="H115" s="43" t="n">
        <f aca="false">SUMIFS(Cleaned_Futures_Data!$L$2:$L$756,Cleaned_Futures_Data!$B$2:$B$756,A115,Cleaned_Futures_Data!$W$2:$W$756,1)</f>
        <v>11568075</v>
      </c>
      <c r="I115" s="43" t="n">
        <f aca="false">SUMIFS(Cleaned_Futures_Data!$J$2:$J$756,Cleaned_Futures_Data!$B$2:$B$756,A115)</f>
        <v>72169</v>
      </c>
    </row>
    <row r="116" customFormat="false" ht="15" hidden="false" customHeight="true" outlineLevel="0" collapsed="false">
      <c r="A116" s="39" t="n">
        <v>45826</v>
      </c>
      <c r="B116" s="39" t="n">
        <f aca="false">_xlfn.MINIFS(Cleaned_Futures_Data!$C$2:$C$756,Cleaned_Futures_Data!$B$2:$B$756,A116)</f>
        <v>45834</v>
      </c>
      <c r="C116" s="40" t="n">
        <f aca="false">B116-A116</f>
        <v>8</v>
      </c>
      <c r="D116" s="41" t="n">
        <f aca="false">IFERROR(AVERAGEIFS(Cleaned_Futures_Data!$G$2:$G$756,Cleaned_Futures_Data!$B$2:$B$756,A116,Cleaned_Futures_Data!$W$2:$W$756,1),"")</f>
        <v>24826.9</v>
      </c>
      <c r="E116" s="41" t="n">
        <f aca="false">IFERROR(AVERAGEIFS(Cleaned_Futures_Data!$N$2:$N$756,Cleaned_Futures_Data!$B$2:$B$756,A116,Cleaned_Futures_Data!$W$2:$W$756,1),"")</f>
        <v>24812.05</v>
      </c>
      <c r="F116" s="42" t="n">
        <f aca="false">IF(AND(ISNUMBER(D116),ISNUMBER(E116)),D116-E116,"")</f>
        <v>14.8500000000022</v>
      </c>
      <c r="G116" s="43" t="n">
        <f aca="false">SUMIFS(Cleaned_Futures_Data!$J$2:$J$756,Cleaned_Futures_Data!$B$2:$B$756,A116,Cleaned_Futures_Data!$W$2:$W$756,1)</f>
        <v>73489</v>
      </c>
      <c r="H116" s="43" t="n">
        <f aca="false">SUMIFS(Cleaned_Futures_Data!$L$2:$L$756,Cleaned_Futures_Data!$B$2:$B$756,A116,Cleaned_Futures_Data!$W$2:$W$756,1)</f>
        <v>11174250</v>
      </c>
      <c r="I116" s="43" t="n">
        <f aca="false">SUMIFS(Cleaned_Futures_Data!$J$2:$J$756,Cleaned_Futures_Data!$B$2:$B$756,A116)</f>
        <v>86501</v>
      </c>
    </row>
    <row r="117" customFormat="false" ht="15" hidden="false" customHeight="true" outlineLevel="0" collapsed="false">
      <c r="A117" s="39" t="n">
        <v>45827</v>
      </c>
      <c r="B117" s="39" t="n">
        <f aca="false">_xlfn.MINIFS(Cleaned_Futures_Data!$C$2:$C$756,Cleaned_Futures_Data!$B$2:$B$756,A117)</f>
        <v>45834</v>
      </c>
      <c r="C117" s="40" t="n">
        <f aca="false">B117-A117</f>
        <v>7</v>
      </c>
      <c r="D117" s="41" t="n">
        <f aca="false">IFERROR(AVERAGEIFS(Cleaned_Futures_Data!$G$2:$G$756,Cleaned_Futures_Data!$B$2:$B$756,A117,Cleaned_Futures_Data!$W$2:$W$756,1),"")</f>
        <v>24803.1</v>
      </c>
      <c r="E117" s="41" t="n">
        <f aca="false">IFERROR(AVERAGEIFS(Cleaned_Futures_Data!$N$2:$N$756,Cleaned_Futures_Data!$B$2:$B$756,A117,Cleaned_Futures_Data!$W$2:$W$756,1),"")</f>
        <v>24793.25</v>
      </c>
      <c r="F117" s="42" t="n">
        <f aca="false">IF(AND(ISNUMBER(D117),ISNUMBER(E117)),D117-E117,"")</f>
        <v>9.84999999999855</v>
      </c>
      <c r="G117" s="43" t="n">
        <f aca="false">SUMIFS(Cleaned_Futures_Data!$J$2:$J$756,Cleaned_Futures_Data!$B$2:$B$756,A117,Cleaned_Futures_Data!$W$2:$W$756,1)</f>
        <v>55670</v>
      </c>
      <c r="H117" s="43" t="n">
        <f aca="false">SUMIFS(Cleaned_Futures_Data!$L$2:$L$756,Cleaned_Futures_Data!$B$2:$B$756,A117,Cleaned_Futures_Data!$W$2:$W$756,1)</f>
        <v>11068050</v>
      </c>
      <c r="I117" s="43" t="n">
        <f aca="false">SUMIFS(Cleaned_Futures_Data!$J$2:$J$756,Cleaned_Futures_Data!$B$2:$B$756,A117)</f>
        <v>67459</v>
      </c>
    </row>
    <row r="118" customFormat="false" ht="15" hidden="false" customHeight="true" outlineLevel="0" collapsed="false">
      <c r="A118" s="39" t="n">
        <v>45828</v>
      </c>
      <c r="B118" s="39" t="n">
        <f aca="false">_xlfn.MINIFS(Cleaned_Futures_Data!$C$2:$C$756,Cleaned_Futures_Data!$B$2:$B$756,A118)</f>
        <v>45834</v>
      </c>
      <c r="C118" s="40" t="n">
        <f aca="false">B118-A118</f>
        <v>6</v>
      </c>
      <c r="D118" s="41" t="n">
        <f aca="false">IFERROR(AVERAGEIFS(Cleaned_Futures_Data!$G$2:$G$756,Cleaned_Futures_Data!$B$2:$B$756,A118,Cleaned_Futures_Data!$W$2:$W$756,1),"")</f>
        <v>25111.7</v>
      </c>
      <c r="E118" s="41" t="n">
        <f aca="false">IFERROR(AVERAGEIFS(Cleaned_Futures_Data!$N$2:$N$756,Cleaned_Futures_Data!$B$2:$B$756,A118,Cleaned_Futures_Data!$W$2:$W$756,1),"")</f>
        <v>25112.4</v>
      </c>
      <c r="F118" s="42" t="n">
        <f aca="false">IF(AND(ISNUMBER(D118),ISNUMBER(E118)),D118-E118,"")</f>
        <v>-0.700000000000728</v>
      </c>
      <c r="G118" s="43" t="n">
        <f aca="false">SUMIFS(Cleaned_Futures_Data!$J$2:$J$756,Cleaned_Futures_Data!$B$2:$B$756,A118,Cleaned_Futures_Data!$W$2:$W$756,1)</f>
        <v>105046</v>
      </c>
      <c r="H118" s="43" t="n">
        <f aca="false">SUMIFS(Cleaned_Futures_Data!$L$2:$L$756,Cleaned_Futures_Data!$B$2:$B$756,A118,Cleaned_Futures_Data!$W$2:$W$756,1)</f>
        <v>10854000</v>
      </c>
      <c r="I118" s="43" t="n">
        <f aca="false">SUMIFS(Cleaned_Futures_Data!$J$2:$J$756,Cleaned_Futures_Data!$B$2:$B$756,A118)</f>
        <v>147706</v>
      </c>
    </row>
    <row r="119" customFormat="false" ht="15" hidden="false" customHeight="true" outlineLevel="0" collapsed="false">
      <c r="A119" s="39" t="n">
        <v>45831</v>
      </c>
      <c r="B119" s="39" t="n">
        <f aca="false">_xlfn.MINIFS(Cleaned_Futures_Data!$C$2:$C$756,Cleaned_Futures_Data!$B$2:$B$756,A119)</f>
        <v>45834</v>
      </c>
      <c r="C119" s="40" t="n">
        <f aca="false">B119-A119</f>
        <v>3</v>
      </c>
      <c r="D119" s="41" t="n">
        <f aca="false">IFERROR(AVERAGEIFS(Cleaned_Futures_Data!$G$2:$G$756,Cleaned_Futures_Data!$B$2:$B$756,A119,Cleaned_Futures_Data!$W$2:$W$756,1),"")</f>
        <v>24993.3</v>
      </c>
      <c r="E119" s="41" t="n">
        <f aca="false">IFERROR(AVERAGEIFS(Cleaned_Futures_Data!$N$2:$N$756,Cleaned_Futures_Data!$B$2:$B$756,A119,Cleaned_Futures_Data!$W$2:$W$756,1),"")</f>
        <v>24971.9</v>
      </c>
      <c r="F119" s="42" t="n">
        <f aca="false">IF(AND(ISNUMBER(D119),ISNUMBER(E119)),D119-E119,"")</f>
        <v>21.3999999999978</v>
      </c>
      <c r="G119" s="43" t="n">
        <f aca="false">SUMIFS(Cleaned_Futures_Data!$J$2:$J$756,Cleaned_Futures_Data!$B$2:$B$756,A119,Cleaned_Futures_Data!$W$2:$W$756,1)</f>
        <v>110836</v>
      </c>
      <c r="H119" s="43" t="n">
        <f aca="false">SUMIFS(Cleaned_Futures_Data!$L$2:$L$756,Cleaned_Futures_Data!$B$2:$B$756,A119,Cleaned_Futures_Data!$W$2:$W$756,1)</f>
        <v>9159975</v>
      </c>
      <c r="I119" s="43" t="n">
        <f aca="false">SUMIFS(Cleaned_Futures_Data!$J$2:$J$756,Cleaned_Futures_Data!$B$2:$B$756,A119)</f>
        <v>170935</v>
      </c>
    </row>
    <row r="120" customFormat="false" ht="15" hidden="false" customHeight="true" outlineLevel="0" collapsed="false">
      <c r="A120" s="39" t="n">
        <v>45832</v>
      </c>
      <c r="B120" s="39" t="n">
        <f aca="false">_xlfn.MINIFS(Cleaned_Futures_Data!$C$2:$C$756,Cleaned_Futures_Data!$B$2:$B$756,A120)</f>
        <v>45834</v>
      </c>
      <c r="C120" s="40" t="n">
        <f aca="false">B120-A120</f>
        <v>2</v>
      </c>
      <c r="D120" s="41" t="n">
        <f aca="false">IFERROR(AVERAGEIFS(Cleaned_Futures_Data!$G$2:$G$756,Cleaned_Futures_Data!$B$2:$B$756,A120,Cleaned_Futures_Data!$W$2:$W$756,1),"")</f>
        <v>25071.7</v>
      </c>
      <c r="E120" s="41" t="n">
        <f aca="false">IFERROR(AVERAGEIFS(Cleaned_Futures_Data!$N$2:$N$756,Cleaned_Futures_Data!$B$2:$B$756,A120,Cleaned_Futures_Data!$W$2:$W$756,1),"")</f>
        <v>25044.35</v>
      </c>
      <c r="F120" s="42" t="n">
        <f aca="false">IF(AND(ISNUMBER(D120),ISNUMBER(E120)),D120-E120,"")</f>
        <v>27.3500000000022</v>
      </c>
      <c r="G120" s="43" t="n">
        <f aca="false">SUMIFS(Cleaned_Futures_Data!$J$2:$J$756,Cleaned_Futures_Data!$B$2:$B$756,A120,Cleaned_Futures_Data!$W$2:$W$756,1)</f>
        <v>141676</v>
      </c>
      <c r="H120" s="43" t="n">
        <f aca="false">SUMIFS(Cleaned_Futures_Data!$L$2:$L$756,Cleaned_Futures_Data!$B$2:$B$756,A120,Cleaned_Futures_Data!$W$2:$W$756,1)</f>
        <v>7305300</v>
      </c>
      <c r="I120" s="43" t="n">
        <f aca="false">SUMIFS(Cleaned_Futures_Data!$J$2:$J$756,Cleaned_Futures_Data!$B$2:$B$756,A120)</f>
        <v>251849</v>
      </c>
    </row>
    <row r="121" customFormat="false" ht="15" hidden="false" customHeight="true" outlineLevel="0" collapsed="false">
      <c r="A121" s="39" t="n">
        <v>45833</v>
      </c>
      <c r="B121" s="39" t="n">
        <f aca="false">_xlfn.MINIFS(Cleaned_Futures_Data!$C$2:$C$756,Cleaned_Futures_Data!$B$2:$B$756,A121)</f>
        <v>45834</v>
      </c>
      <c r="C121" s="40" t="n">
        <f aca="false">B121-A121</f>
        <v>1</v>
      </c>
      <c r="D121" s="41" t="n">
        <f aca="false">IFERROR(AVERAGEIFS(Cleaned_Futures_Data!$G$2:$G$756,Cleaned_Futures_Data!$B$2:$B$756,A121,Cleaned_Futures_Data!$W$2:$W$756,1),"")</f>
        <v>25252.2</v>
      </c>
      <c r="E121" s="41" t="n">
        <f aca="false">IFERROR(AVERAGEIFS(Cleaned_Futures_Data!$N$2:$N$756,Cleaned_Futures_Data!$B$2:$B$756,A121,Cleaned_Futures_Data!$W$2:$W$756,1),"")</f>
        <v>25244.75</v>
      </c>
      <c r="F121" s="42" t="n">
        <f aca="false">IF(AND(ISNUMBER(D121),ISNUMBER(E121)),D121-E121,"")</f>
        <v>7.45000000000073</v>
      </c>
      <c r="G121" s="43" t="n">
        <f aca="false">SUMIFS(Cleaned_Futures_Data!$J$2:$J$756,Cleaned_Futures_Data!$B$2:$B$756,A121,Cleaned_Futures_Data!$W$2:$W$756,1)</f>
        <v>72287</v>
      </c>
      <c r="H121" s="43" t="n">
        <f aca="false">SUMIFS(Cleaned_Futures_Data!$L$2:$L$756,Cleaned_Futures_Data!$B$2:$B$756,A121,Cleaned_Futures_Data!$W$2:$W$756,1)</f>
        <v>5420850</v>
      </c>
      <c r="I121" s="43" t="n">
        <f aca="false">SUMIFS(Cleaned_Futures_Data!$J$2:$J$756,Cleaned_Futures_Data!$B$2:$B$756,A121)</f>
        <v>149085</v>
      </c>
    </row>
    <row r="122" customFormat="false" ht="15" hidden="false" customHeight="true" outlineLevel="0" collapsed="false">
      <c r="A122" s="39" t="n">
        <v>45834</v>
      </c>
      <c r="B122" s="39" t="n">
        <f aca="false">_xlfn.MINIFS(Cleaned_Futures_Data!$C$2:$C$756,Cleaned_Futures_Data!$B$2:$B$756,A122)</f>
        <v>45834</v>
      </c>
      <c r="C122" s="40" t="n">
        <f aca="false">B122-A122</f>
        <v>0</v>
      </c>
      <c r="D122" s="41" t="n">
        <f aca="false">IFERROR(AVERAGEIFS(Cleaned_Futures_Data!$G$2:$G$756,Cleaned_Futures_Data!$B$2:$B$756,A122,Cleaned_Futures_Data!$W$2:$W$756,1),"")</f>
        <v>25551</v>
      </c>
      <c r="E122" s="41" t="n">
        <f aca="false">IFERROR(AVERAGEIFS(Cleaned_Futures_Data!$N$2:$N$756,Cleaned_Futures_Data!$B$2:$B$756,A122,Cleaned_Futures_Data!$W$2:$W$756,1),"")</f>
        <v>25549</v>
      </c>
      <c r="F122" s="42" t="n">
        <f aca="false">IF(AND(ISNUMBER(D122),ISNUMBER(E122)),D122-E122,"")</f>
        <v>2</v>
      </c>
      <c r="G122" s="43" t="n">
        <f aca="false">SUMIFS(Cleaned_Futures_Data!$J$2:$J$756,Cleaned_Futures_Data!$B$2:$B$756,A122,Cleaned_Futures_Data!$W$2:$W$756,1)</f>
        <v>75945</v>
      </c>
      <c r="H122" s="43" t="n">
        <f aca="false">SUMIFS(Cleaned_Futures_Data!$L$2:$L$756,Cleaned_Futures_Data!$B$2:$B$756,A122,Cleaned_Futures_Data!$W$2:$W$756,1)</f>
        <v>4190625</v>
      </c>
      <c r="I122" s="43" t="n">
        <f aca="false">SUMIFS(Cleaned_Futures_Data!$J$2:$J$756,Cleaned_Futures_Data!$B$2:$B$756,A122)</f>
        <v>210828</v>
      </c>
    </row>
    <row r="123" customFormat="false" ht="15" hidden="false" customHeight="true" outlineLevel="0" collapsed="false">
      <c r="A123" s="39" t="n">
        <v>45835</v>
      </c>
      <c r="B123" s="39" t="n">
        <f aca="false">_xlfn.MINIFS(Cleaned_Futures_Data!$C$2:$C$756,Cleaned_Futures_Data!$B$2:$B$756,A123)</f>
        <v>45869</v>
      </c>
      <c r="C123" s="40" t="n">
        <f aca="false">B123-A123</f>
        <v>34</v>
      </c>
      <c r="D123" s="41" t="n">
        <f aca="false">IFERROR(AVERAGEIFS(Cleaned_Futures_Data!$G$2:$G$756,Cleaned_Futures_Data!$B$2:$B$756,A123,Cleaned_Futures_Data!$W$2:$W$756,1),"")</f>
        <v>25750.2</v>
      </c>
      <c r="E123" s="41" t="n">
        <f aca="false">IFERROR(AVERAGEIFS(Cleaned_Futures_Data!$N$2:$N$756,Cleaned_Futures_Data!$B$2:$B$756,A123,Cleaned_Futures_Data!$W$2:$W$756,1),"")</f>
        <v>25637.8</v>
      </c>
      <c r="F123" s="42" t="n">
        <f aca="false">IF(AND(ISNUMBER(D123),ISNUMBER(E123)),D123-E123,"")</f>
        <v>112.400000000001</v>
      </c>
      <c r="G123" s="43" t="n">
        <f aca="false">SUMIFS(Cleaned_Futures_Data!$J$2:$J$756,Cleaned_Futures_Data!$B$2:$B$756,A123,Cleaned_Futures_Data!$W$2:$W$756,1)</f>
        <v>61012</v>
      </c>
      <c r="H123" s="43" t="n">
        <f aca="false">SUMIFS(Cleaned_Futures_Data!$L$2:$L$756,Cleaned_Futures_Data!$B$2:$B$756,A123,Cleaned_Futures_Data!$W$2:$W$756,1)</f>
        <v>14899275</v>
      </c>
      <c r="I123" s="43" t="n">
        <f aca="false">SUMIFS(Cleaned_Futures_Data!$J$2:$J$756,Cleaned_Futures_Data!$B$2:$B$756,A123)</f>
        <v>68448</v>
      </c>
    </row>
    <row r="124" customFormat="false" ht="15" hidden="false" customHeight="true" outlineLevel="0" collapsed="false">
      <c r="A124" s="39" t="n">
        <v>45838</v>
      </c>
      <c r="B124" s="39" t="n">
        <f aca="false">_xlfn.MINIFS(Cleaned_Futures_Data!$C$2:$C$756,Cleaned_Futures_Data!$B$2:$B$756,A124)</f>
        <v>45869</v>
      </c>
      <c r="C124" s="40" t="n">
        <f aca="false">B124-A124</f>
        <v>31</v>
      </c>
      <c r="D124" s="41" t="n">
        <f aca="false">IFERROR(AVERAGEIFS(Cleaned_Futures_Data!$G$2:$G$756,Cleaned_Futures_Data!$B$2:$B$756,A124,Cleaned_Futures_Data!$W$2:$W$756,1),"")</f>
        <v>25614.2</v>
      </c>
      <c r="E124" s="41" t="n">
        <f aca="false">IFERROR(AVERAGEIFS(Cleaned_Futures_Data!$N$2:$N$756,Cleaned_Futures_Data!$B$2:$B$756,A124,Cleaned_Futures_Data!$W$2:$W$756,1),"")</f>
        <v>25517.05</v>
      </c>
      <c r="F124" s="42" t="n">
        <f aca="false">IF(AND(ISNUMBER(D124),ISNUMBER(E124)),D124-E124,"")</f>
        <v>97.1500000000015</v>
      </c>
      <c r="G124" s="43" t="n">
        <f aca="false">SUMIFS(Cleaned_Futures_Data!$J$2:$J$756,Cleaned_Futures_Data!$B$2:$B$756,A124,Cleaned_Futures_Data!$W$2:$W$756,1)</f>
        <v>95102</v>
      </c>
      <c r="H124" s="43" t="n">
        <f aca="false">SUMIFS(Cleaned_Futures_Data!$L$2:$L$756,Cleaned_Futures_Data!$B$2:$B$756,A124,Cleaned_Futures_Data!$W$2:$W$756,1)</f>
        <v>14414550</v>
      </c>
      <c r="I124" s="43" t="n">
        <f aca="false">SUMIFS(Cleaned_Futures_Data!$J$2:$J$756,Cleaned_Futures_Data!$B$2:$B$756,A124)</f>
        <v>102040</v>
      </c>
    </row>
    <row r="125" customFormat="false" ht="15" hidden="false" customHeight="true" outlineLevel="0" collapsed="false">
      <c r="A125" s="39" t="n">
        <v>45839</v>
      </c>
      <c r="B125" s="39" t="n">
        <f aca="false">_xlfn.MINIFS(Cleaned_Futures_Data!$C$2:$C$756,Cleaned_Futures_Data!$B$2:$B$756,A125)</f>
        <v>45869</v>
      </c>
      <c r="C125" s="40" t="n">
        <f aca="false">B125-A125</f>
        <v>30</v>
      </c>
      <c r="D125" s="41" t="n">
        <f aca="false">IFERROR(AVERAGEIFS(Cleaned_Futures_Data!$G$2:$G$756,Cleaned_Futures_Data!$B$2:$B$756,A125,Cleaned_Futures_Data!$W$2:$W$756,1),"")</f>
        <v>25643.3</v>
      </c>
      <c r="E125" s="41" t="n">
        <f aca="false">IFERROR(AVERAGEIFS(Cleaned_Futures_Data!$N$2:$N$756,Cleaned_Futures_Data!$B$2:$B$756,A125,Cleaned_Futures_Data!$W$2:$W$756,1),"")</f>
        <v>25541.8</v>
      </c>
      <c r="F125" s="42" t="n">
        <f aca="false">IF(AND(ISNUMBER(D125),ISNUMBER(E125)),D125-E125,"")</f>
        <v>101.5</v>
      </c>
      <c r="G125" s="43" t="n">
        <f aca="false">SUMIFS(Cleaned_Futures_Data!$J$2:$J$756,Cleaned_Futures_Data!$B$2:$B$756,A125,Cleaned_Futures_Data!$W$2:$W$756,1)</f>
        <v>45334</v>
      </c>
      <c r="H125" s="43" t="n">
        <f aca="false">SUMIFS(Cleaned_Futures_Data!$L$2:$L$756,Cleaned_Futures_Data!$B$2:$B$756,A125,Cleaned_Futures_Data!$W$2:$W$756,1)</f>
        <v>14546325</v>
      </c>
      <c r="I125" s="43" t="n">
        <f aca="false">SUMIFS(Cleaned_Futures_Data!$J$2:$J$756,Cleaned_Futures_Data!$B$2:$B$756,A125)</f>
        <v>48426</v>
      </c>
    </row>
    <row r="126" customFormat="false" ht="15" hidden="false" customHeight="true" outlineLevel="0" collapsed="false">
      <c r="A126" s="39" t="n">
        <v>45840</v>
      </c>
      <c r="B126" s="39" t="n">
        <f aca="false">_xlfn.MINIFS(Cleaned_Futures_Data!$C$2:$C$756,Cleaned_Futures_Data!$B$2:$B$756,A126)</f>
        <v>45869</v>
      </c>
      <c r="C126" s="40" t="n">
        <f aca="false">B126-A126</f>
        <v>29</v>
      </c>
      <c r="D126" s="41" t="n">
        <f aca="false">IFERROR(AVERAGEIFS(Cleaned_Futures_Data!$G$2:$G$756,Cleaned_Futures_Data!$B$2:$B$756,A126,Cleaned_Futures_Data!$W$2:$W$756,1),"")</f>
        <v>25546.1</v>
      </c>
      <c r="E126" s="41" t="n">
        <f aca="false">IFERROR(AVERAGEIFS(Cleaned_Futures_Data!$N$2:$N$756,Cleaned_Futures_Data!$B$2:$B$756,A126,Cleaned_Futures_Data!$W$2:$W$756,1),"")</f>
        <v>25453.4</v>
      </c>
      <c r="F126" s="42" t="n">
        <f aca="false">IF(AND(ISNUMBER(D126),ISNUMBER(E126)),D126-E126,"")</f>
        <v>92.6999999999971</v>
      </c>
      <c r="G126" s="43" t="n">
        <f aca="false">SUMIFS(Cleaned_Futures_Data!$J$2:$J$756,Cleaned_Futures_Data!$B$2:$B$756,A126,Cleaned_Futures_Data!$W$2:$W$756,1)</f>
        <v>76242</v>
      </c>
      <c r="H126" s="43" t="n">
        <f aca="false">SUMIFS(Cleaned_Futures_Data!$L$2:$L$756,Cleaned_Futures_Data!$B$2:$B$756,A126,Cleaned_Futures_Data!$W$2:$W$756,1)</f>
        <v>14085450</v>
      </c>
      <c r="I126" s="43" t="n">
        <f aca="false">SUMIFS(Cleaned_Futures_Data!$J$2:$J$756,Cleaned_Futures_Data!$B$2:$B$756,A126)</f>
        <v>81578</v>
      </c>
    </row>
    <row r="127" customFormat="false" ht="15" hidden="false" customHeight="true" outlineLevel="0" collapsed="false">
      <c r="A127" s="39" t="n">
        <v>45841</v>
      </c>
      <c r="B127" s="39" t="n">
        <f aca="false">_xlfn.MINIFS(Cleaned_Futures_Data!$C$2:$C$756,Cleaned_Futures_Data!$B$2:$B$756,A127)</f>
        <v>45869</v>
      </c>
      <c r="C127" s="40" t="n">
        <f aca="false">B127-A127</f>
        <v>28</v>
      </c>
      <c r="D127" s="41" t="n">
        <f aca="false">IFERROR(AVERAGEIFS(Cleaned_Futures_Data!$G$2:$G$756,Cleaned_Futures_Data!$B$2:$B$756,A127,Cleaned_Futures_Data!$W$2:$W$756,1),"")</f>
        <v>25508.6</v>
      </c>
      <c r="E127" s="41" t="n">
        <f aca="false">IFERROR(AVERAGEIFS(Cleaned_Futures_Data!$N$2:$N$756,Cleaned_Futures_Data!$B$2:$B$756,A127,Cleaned_Futures_Data!$W$2:$W$756,1),"")</f>
        <v>25405.3</v>
      </c>
      <c r="F127" s="42" t="n">
        <f aca="false">IF(AND(ISNUMBER(D127),ISNUMBER(E127)),D127-E127,"")</f>
        <v>103.299999999999</v>
      </c>
      <c r="G127" s="43" t="n">
        <f aca="false">SUMIFS(Cleaned_Futures_Data!$J$2:$J$756,Cleaned_Futures_Data!$B$2:$B$756,A127,Cleaned_Futures_Data!$W$2:$W$756,1)</f>
        <v>89520</v>
      </c>
      <c r="H127" s="43" t="n">
        <f aca="false">SUMIFS(Cleaned_Futures_Data!$L$2:$L$756,Cleaned_Futures_Data!$B$2:$B$756,A127,Cleaned_Futures_Data!$W$2:$W$756,1)</f>
        <v>13701525</v>
      </c>
      <c r="I127" s="43" t="n">
        <f aca="false">SUMIFS(Cleaned_Futures_Data!$J$2:$J$756,Cleaned_Futures_Data!$B$2:$B$756,A127)</f>
        <v>97240</v>
      </c>
    </row>
    <row r="128" customFormat="false" ht="15" hidden="false" customHeight="true" outlineLevel="0" collapsed="false">
      <c r="A128" s="39" t="n">
        <v>45842</v>
      </c>
      <c r="B128" s="39" t="n">
        <f aca="false">_xlfn.MINIFS(Cleaned_Futures_Data!$C$2:$C$756,Cleaned_Futures_Data!$B$2:$B$756,A128)</f>
        <v>45869</v>
      </c>
      <c r="C128" s="40" t="n">
        <f aca="false">B128-A128</f>
        <v>27</v>
      </c>
      <c r="D128" s="41" t="n">
        <f aca="false">IFERROR(AVERAGEIFS(Cleaned_Futures_Data!$G$2:$G$756,Cleaned_Futures_Data!$B$2:$B$756,A128,Cleaned_Futures_Data!$W$2:$W$756,1),"")</f>
        <v>25540.1</v>
      </c>
      <c r="E128" s="41" t="n">
        <f aca="false">IFERROR(AVERAGEIFS(Cleaned_Futures_Data!$N$2:$N$756,Cleaned_Futures_Data!$B$2:$B$756,A128,Cleaned_Futures_Data!$W$2:$W$756,1),"")</f>
        <v>25461</v>
      </c>
      <c r="F128" s="42" t="n">
        <f aca="false">IF(AND(ISNUMBER(D128),ISNUMBER(E128)),D128-E128,"")</f>
        <v>79.0999999999985</v>
      </c>
      <c r="G128" s="43" t="n">
        <f aca="false">SUMIFS(Cleaned_Futures_Data!$J$2:$J$756,Cleaned_Futures_Data!$B$2:$B$756,A128,Cleaned_Futures_Data!$W$2:$W$756,1)</f>
        <v>59309</v>
      </c>
      <c r="H128" s="43" t="n">
        <f aca="false">SUMIFS(Cleaned_Futures_Data!$L$2:$L$756,Cleaned_Futures_Data!$B$2:$B$756,A128,Cleaned_Futures_Data!$W$2:$W$756,1)</f>
        <v>13464600</v>
      </c>
      <c r="I128" s="43" t="n">
        <f aca="false">SUMIFS(Cleaned_Futures_Data!$J$2:$J$756,Cleaned_Futures_Data!$B$2:$B$756,A128)</f>
        <v>66766</v>
      </c>
    </row>
    <row r="129" customFormat="false" ht="15" hidden="false" customHeight="true" outlineLevel="0" collapsed="false">
      <c r="A129" s="39" t="n">
        <v>45845</v>
      </c>
      <c r="B129" s="39" t="n">
        <f aca="false">_xlfn.MINIFS(Cleaned_Futures_Data!$C$2:$C$756,Cleaned_Futures_Data!$B$2:$B$756,A129)</f>
        <v>45869</v>
      </c>
      <c r="C129" s="40" t="n">
        <f aca="false">B129-A129</f>
        <v>24</v>
      </c>
      <c r="D129" s="41" t="n">
        <f aca="false">IFERROR(AVERAGEIFS(Cleaned_Futures_Data!$G$2:$G$756,Cleaned_Futures_Data!$B$2:$B$756,A129,Cleaned_Futures_Data!$W$2:$W$756,1),"")</f>
        <v>25538.9</v>
      </c>
      <c r="E129" s="41" t="n">
        <f aca="false">IFERROR(AVERAGEIFS(Cleaned_Futures_Data!$N$2:$N$756,Cleaned_Futures_Data!$B$2:$B$756,A129,Cleaned_Futures_Data!$W$2:$W$756,1),"")</f>
        <v>25461.3</v>
      </c>
      <c r="F129" s="42" t="n">
        <f aca="false">IF(AND(ISNUMBER(D129),ISNUMBER(E129)),D129-E129,"")</f>
        <v>77.6000000000022</v>
      </c>
      <c r="G129" s="43" t="n">
        <f aca="false">SUMIFS(Cleaned_Futures_Data!$J$2:$J$756,Cleaned_Futures_Data!$B$2:$B$756,A129,Cleaned_Futures_Data!$W$2:$W$756,1)</f>
        <v>41703</v>
      </c>
      <c r="H129" s="43" t="n">
        <f aca="false">SUMIFS(Cleaned_Futures_Data!$L$2:$L$756,Cleaned_Futures_Data!$B$2:$B$756,A129,Cleaned_Futures_Data!$W$2:$W$756,1)</f>
        <v>13276800</v>
      </c>
      <c r="I129" s="43" t="n">
        <f aca="false">SUMIFS(Cleaned_Futures_Data!$J$2:$J$756,Cleaned_Futures_Data!$B$2:$B$756,A129)</f>
        <v>50050</v>
      </c>
    </row>
    <row r="130" customFormat="false" ht="15" hidden="false" customHeight="true" outlineLevel="0" collapsed="false">
      <c r="A130" s="39" t="n">
        <v>45846</v>
      </c>
      <c r="B130" s="39" t="n">
        <f aca="false">_xlfn.MINIFS(Cleaned_Futures_Data!$C$2:$C$756,Cleaned_Futures_Data!$B$2:$B$756,A130)</f>
        <v>45869</v>
      </c>
      <c r="C130" s="40" t="n">
        <f aca="false">B130-A130</f>
        <v>23</v>
      </c>
      <c r="D130" s="41" t="n">
        <f aca="false">IFERROR(AVERAGEIFS(Cleaned_Futures_Data!$G$2:$G$756,Cleaned_Futures_Data!$B$2:$B$756,A130,Cleaned_Futures_Data!$W$2:$W$756,1),"")</f>
        <v>25611.9</v>
      </c>
      <c r="E130" s="41" t="n">
        <f aca="false">IFERROR(AVERAGEIFS(Cleaned_Futures_Data!$N$2:$N$756,Cleaned_Futures_Data!$B$2:$B$756,A130,Cleaned_Futures_Data!$W$2:$W$756,1),"")</f>
        <v>25522.5</v>
      </c>
      <c r="F130" s="42" t="n">
        <f aca="false">IF(AND(ISNUMBER(D130),ISNUMBER(E130)),D130-E130,"")</f>
        <v>89.4000000000015</v>
      </c>
      <c r="G130" s="43" t="n">
        <f aca="false">SUMIFS(Cleaned_Futures_Data!$J$2:$J$756,Cleaned_Futures_Data!$B$2:$B$756,A130,Cleaned_Futures_Data!$W$2:$W$756,1)</f>
        <v>40247</v>
      </c>
      <c r="H130" s="43" t="n">
        <f aca="false">SUMIFS(Cleaned_Futures_Data!$L$2:$L$756,Cleaned_Futures_Data!$B$2:$B$756,A130,Cleaned_Futures_Data!$W$2:$W$756,1)</f>
        <v>13341975</v>
      </c>
      <c r="I130" s="43" t="n">
        <f aca="false">SUMIFS(Cleaned_Futures_Data!$J$2:$J$756,Cleaned_Futures_Data!$B$2:$B$756,A130)</f>
        <v>50616</v>
      </c>
    </row>
    <row r="131" customFormat="false" ht="15" hidden="false" customHeight="true" outlineLevel="0" collapsed="false">
      <c r="A131" s="39" t="n">
        <v>45847</v>
      </c>
      <c r="B131" s="39" t="n">
        <f aca="false">_xlfn.MINIFS(Cleaned_Futures_Data!$C$2:$C$756,Cleaned_Futures_Data!$B$2:$B$756,A131)</f>
        <v>45869</v>
      </c>
      <c r="C131" s="40" t="n">
        <f aca="false">B131-A131</f>
        <v>22</v>
      </c>
      <c r="D131" s="41" t="n">
        <f aca="false">IFERROR(AVERAGEIFS(Cleaned_Futures_Data!$G$2:$G$756,Cleaned_Futures_Data!$B$2:$B$756,A131,Cleaned_Futures_Data!$W$2:$W$756,1),"")</f>
        <v>25558.8</v>
      </c>
      <c r="E131" s="41" t="n">
        <f aca="false">IFERROR(AVERAGEIFS(Cleaned_Futures_Data!$N$2:$N$756,Cleaned_Futures_Data!$B$2:$B$756,A131,Cleaned_Futures_Data!$W$2:$W$756,1),"")</f>
        <v>25476.1</v>
      </c>
      <c r="F131" s="42" t="n">
        <f aca="false">IF(AND(ISNUMBER(D131),ISNUMBER(E131)),D131-E131,"")</f>
        <v>82.7000000000007</v>
      </c>
      <c r="G131" s="43" t="n">
        <f aca="false">SUMIFS(Cleaned_Futures_Data!$J$2:$J$756,Cleaned_Futures_Data!$B$2:$B$756,A131,Cleaned_Futures_Data!$W$2:$W$756,1)</f>
        <v>46447</v>
      </c>
      <c r="H131" s="43" t="n">
        <f aca="false">SUMIFS(Cleaned_Futures_Data!$L$2:$L$756,Cleaned_Futures_Data!$B$2:$B$756,A131,Cleaned_Futures_Data!$W$2:$W$756,1)</f>
        <v>13456800</v>
      </c>
      <c r="I131" s="43" t="n">
        <f aca="false">SUMIFS(Cleaned_Futures_Data!$J$2:$J$756,Cleaned_Futures_Data!$B$2:$B$756,A131)</f>
        <v>54535</v>
      </c>
    </row>
    <row r="132" customFormat="false" ht="15" hidden="false" customHeight="true" outlineLevel="0" collapsed="false">
      <c r="A132" s="39" t="n">
        <v>45848</v>
      </c>
      <c r="B132" s="39" t="n">
        <f aca="false">_xlfn.MINIFS(Cleaned_Futures_Data!$C$2:$C$756,Cleaned_Futures_Data!$B$2:$B$756,A132)</f>
        <v>45869</v>
      </c>
      <c r="C132" s="40" t="n">
        <f aca="false">B132-A132</f>
        <v>21</v>
      </c>
      <c r="D132" s="41" t="n">
        <f aca="false">IFERROR(AVERAGEIFS(Cleaned_Futures_Data!$G$2:$G$756,Cleaned_Futures_Data!$B$2:$B$756,A132,Cleaned_Futures_Data!$W$2:$W$756,1),"")</f>
        <v>25421.9</v>
      </c>
      <c r="E132" s="41" t="n">
        <f aca="false">IFERROR(AVERAGEIFS(Cleaned_Futures_Data!$N$2:$N$756,Cleaned_Futures_Data!$B$2:$B$756,A132,Cleaned_Futures_Data!$W$2:$W$756,1),"")</f>
        <v>25355.25</v>
      </c>
      <c r="F132" s="42" t="n">
        <f aca="false">IF(AND(ISNUMBER(D132),ISNUMBER(E132)),D132-E132,"")</f>
        <v>66.6500000000015</v>
      </c>
      <c r="G132" s="43" t="n">
        <f aca="false">SUMIFS(Cleaned_Futures_Data!$J$2:$J$756,Cleaned_Futures_Data!$B$2:$B$756,A132,Cleaned_Futures_Data!$W$2:$W$756,1)</f>
        <v>66223</v>
      </c>
      <c r="H132" s="43" t="n">
        <f aca="false">SUMIFS(Cleaned_Futures_Data!$L$2:$L$756,Cleaned_Futures_Data!$B$2:$B$756,A132,Cleaned_Futures_Data!$W$2:$W$756,1)</f>
        <v>13465950</v>
      </c>
      <c r="I132" s="43" t="n">
        <f aca="false">SUMIFS(Cleaned_Futures_Data!$J$2:$J$756,Cleaned_Futures_Data!$B$2:$B$756,A132)</f>
        <v>72984</v>
      </c>
    </row>
    <row r="133" customFormat="false" ht="15" hidden="false" customHeight="true" outlineLevel="0" collapsed="false">
      <c r="A133" s="39" t="n">
        <v>45849</v>
      </c>
      <c r="B133" s="39" t="n">
        <f aca="false">_xlfn.MINIFS(Cleaned_Futures_Data!$C$2:$C$756,Cleaned_Futures_Data!$B$2:$B$756,A133)</f>
        <v>45869</v>
      </c>
      <c r="C133" s="40" t="n">
        <f aca="false">B133-A133</f>
        <v>20</v>
      </c>
      <c r="D133" s="41" t="n">
        <f aca="false">IFERROR(AVERAGEIFS(Cleaned_Futures_Data!$G$2:$G$756,Cleaned_Futures_Data!$B$2:$B$756,A133,Cleaned_Futures_Data!$W$2:$W$756,1),"")</f>
        <v>25223.4</v>
      </c>
      <c r="E133" s="41" t="n">
        <f aca="false">IFERROR(AVERAGEIFS(Cleaned_Futures_Data!$N$2:$N$756,Cleaned_Futures_Data!$B$2:$B$756,A133,Cleaned_Futures_Data!$W$2:$W$756,1),"")</f>
        <v>25149.85</v>
      </c>
      <c r="F133" s="42" t="n">
        <f aca="false">IF(AND(ISNUMBER(D133),ISNUMBER(E133)),D133-E133,"")</f>
        <v>73.5500000000029</v>
      </c>
      <c r="G133" s="43" t="n">
        <f aca="false">SUMIFS(Cleaned_Futures_Data!$J$2:$J$756,Cleaned_Futures_Data!$B$2:$B$756,A133,Cleaned_Futures_Data!$W$2:$W$756,1)</f>
        <v>73945</v>
      </c>
      <c r="H133" s="43" t="n">
        <f aca="false">SUMIFS(Cleaned_Futures_Data!$L$2:$L$756,Cleaned_Futures_Data!$B$2:$B$756,A133,Cleaned_Futures_Data!$W$2:$W$756,1)</f>
        <v>13451400</v>
      </c>
      <c r="I133" s="43" t="n">
        <f aca="false">SUMIFS(Cleaned_Futures_Data!$J$2:$J$756,Cleaned_Futures_Data!$B$2:$B$756,A133)</f>
        <v>83286</v>
      </c>
    </row>
    <row r="134" customFormat="false" ht="15" hidden="false" customHeight="true" outlineLevel="0" collapsed="false">
      <c r="A134" s="39" t="n">
        <v>45852</v>
      </c>
      <c r="B134" s="39" t="n">
        <f aca="false">_xlfn.MINIFS(Cleaned_Futures_Data!$C$2:$C$756,Cleaned_Futures_Data!$B$2:$B$756,A134)</f>
        <v>45869</v>
      </c>
      <c r="C134" s="40" t="n">
        <f aca="false">B134-A134</f>
        <v>17</v>
      </c>
      <c r="D134" s="41" t="n">
        <f aca="false">IFERROR(AVERAGEIFS(Cleaned_Futures_Data!$G$2:$G$756,Cleaned_Futures_Data!$B$2:$B$756,A134,Cleaned_Futures_Data!$W$2:$W$756,1),"")</f>
        <v>25167.5</v>
      </c>
      <c r="E134" s="41" t="n">
        <f aca="false">IFERROR(AVERAGEIFS(Cleaned_Futures_Data!$N$2:$N$756,Cleaned_Futures_Data!$B$2:$B$756,A134,Cleaned_Futures_Data!$W$2:$W$756,1),"")</f>
        <v>25082.3</v>
      </c>
      <c r="F134" s="42" t="n">
        <f aca="false">IF(AND(ISNUMBER(D134),ISNUMBER(E134)),D134-E134,"")</f>
        <v>85.2000000000007</v>
      </c>
      <c r="G134" s="43" t="n">
        <f aca="false">SUMIFS(Cleaned_Futures_Data!$J$2:$J$756,Cleaned_Futures_Data!$B$2:$B$756,A134,Cleaned_Futures_Data!$W$2:$W$756,1)</f>
        <v>66379</v>
      </c>
      <c r="H134" s="43" t="n">
        <f aca="false">SUMIFS(Cleaned_Futures_Data!$L$2:$L$756,Cleaned_Futures_Data!$B$2:$B$756,A134,Cleaned_Futures_Data!$W$2:$W$756,1)</f>
        <v>13697325</v>
      </c>
      <c r="I134" s="43" t="n">
        <f aca="false">SUMIFS(Cleaned_Futures_Data!$J$2:$J$756,Cleaned_Futures_Data!$B$2:$B$756,A134)</f>
        <v>79413</v>
      </c>
    </row>
    <row r="135" customFormat="false" ht="15" hidden="false" customHeight="true" outlineLevel="0" collapsed="false">
      <c r="A135" s="39" t="n">
        <v>45853</v>
      </c>
      <c r="B135" s="39" t="n">
        <f aca="false">_xlfn.MINIFS(Cleaned_Futures_Data!$C$2:$C$756,Cleaned_Futures_Data!$B$2:$B$756,A135)</f>
        <v>45869</v>
      </c>
      <c r="C135" s="40" t="n">
        <f aca="false">B135-A135</f>
        <v>16</v>
      </c>
      <c r="D135" s="41" t="n">
        <f aca="false">IFERROR(AVERAGEIFS(Cleaned_Futures_Data!$G$2:$G$756,Cleaned_Futures_Data!$B$2:$B$756,A135,Cleaned_Futures_Data!$W$2:$W$756,1),"")</f>
        <v>25265.6</v>
      </c>
      <c r="E135" s="41" t="n">
        <f aca="false">IFERROR(AVERAGEIFS(Cleaned_Futures_Data!$N$2:$N$756,Cleaned_Futures_Data!$B$2:$B$756,A135,Cleaned_Futures_Data!$W$2:$W$756,1),"")</f>
        <v>25195.8</v>
      </c>
      <c r="F135" s="42" t="n">
        <f aca="false">IF(AND(ISNUMBER(D135),ISNUMBER(E135)),D135-E135,"")</f>
        <v>69.7999999999993</v>
      </c>
      <c r="G135" s="43" t="n">
        <f aca="false">SUMIFS(Cleaned_Futures_Data!$J$2:$J$756,Cleaned_Futures_Data!$B$2:$B$756,A135,Cleaned_Futures_Data!$W$2:$W$756,1)</f>
        <v>54449</v>
      </c>
      <c r="H135" s="43" t="n">
        <f aca="false">SUMIFS(Cleaned_Futures_Data!$L$2:$L$756,Cleaned_Futures_Data!$B$2:$B$756,A135,Cleaned_Futures_Data!$W$2:$W$756,1)</f>
        <v>13659150</v>
      </c>
      <c r="I135" s="43" t="n">
        <f aca="false">SUMIFS(Cleaned_Futures_Data!$J$2:$J$756,Cleaned_Futures_Data!$B$2:$B$756,A135)</f>
        <v>60314</v>
      </c>
    </row>
    <row r="136" customFormat="false" ht="15" hidden="false" customHeight="true" outlineLevel="0" collapsed="false">
      <c r="A136" s="39" t="n">
        <v>45854</v>
      </c>
      <c r="B136" s="39" t="n">
        <f aca="false">_xlfn.MINIFS(Cleaned_Futures_Data!$C$2:$C$756,Cleaned_Futures_Data!$B$2:$B$756,A136)</f>
        <v>45869</v>
      </c>
      <c r="C136" s="40" t="n">
        <f aca="false">B136-A136</f>
        <v>15</v>
      </c>
      <c r="D136" s="41" t="n">
        <f aca="false">IFERROR(AVERAGEIFS(Cleaned_Futures_Data!$G$2:$G$756,Cleaned_Futures_Data!$B$2:$B$756,A136,Cleaned_Futures_Data!$W$2:$W$756,1),"")</f>
        <v>25245.8</v>
      </c>
      <c r="E136" s="41" t="n">
        <f aca="false">IFERROR(AVERAGEIFS(Cleaned_Futures_Data!$N$2:$N$756,Cleaned_Futures_Data!$B$2:$B$756,A136,Cleaned_Futures_Data!$W$2:$W$756,1),"")</f>
        <v>25212.05</v>
      </c>
      <c r="F136" s="42" t="n">
        <f aca="false">IF(AND(ISNUMBER(D136),ISNUMBER(E136)),D136-E136,"")</f>
        <v>33.75</v>
      </c>
      <c r="G136" s="43" t="n">
        <f aca="false">SUMIFS(Cleaned_Futures_Data!$J$2:$J$756,Cleaned_Futures_Data!$B$2:$B$756,A136,Cleaned_Futures_Data!$W$2:$W$756,1)</f>
        <v>45817</v>
      </c>
      <c r="H136" s="43" t="n">
        <f aca="false">SUMIFS(Cleaned_Futures_Data!$L$2:$L$756,Cleaned_Futures_Data!$B$2:$B$756,A136,Cleaned_Futures_Data!$W$2:$W$756,1)</f>
        <v>13731975</v>
      </c>
      <c r="I136" s="43" t="n">
        <f aca="false">SUMIFS(Cleaned_Futures_Data!$J$2:$J$756,Cleaned_Futures_Data!$B$2:$B$756,A136)</f>
        <v>50866</v>
      </c>
    </row>
    <row r="137" customFormat="false" ht="15" hidden="false" customHeight="true" outlineLevel="0" collapsed="false">
      <c r="A137" s="39" t="n">
        <v>45855</v>
      </c>
      <c r="B137" s="39" t="n">
        <f aca="false">_xlfn.MINIFS(Cleaned_Futures_Data!$C$2:$C$756,Cleaned_Futures_Data!$B$2:$B$756,A137)</f>
        <v>45869</v>
      </c>
      <c r="C137" s="40" t="n">
        <f aca="false">B137-A137</f>
        <v>14</v>
      </c>
      <c r="D137" s="41" t="n">
        <f aca="false">IFERROR(AVERAGEIFS(Cleaned_Futures_Data!$G$2:$G$756,Cleaned_Futures_Data!$B$2:$B$756,A137,Cleaned_Futures_Data!$W$2:$W$756,1),"")</f>
        <v>25174.6</v>
      </c>
      <c r="E137" s="41" t="n">
        <f aca="false">IFERROR(AVERAGEIFS(Cleaned_Futures_Data!$N$2:$N$756,Cleaned_Futures_Data!$B$2:$B$756,A137,Cleaned_Futures_Data!$W$2:$W$756,1),"")</f>
        <v>25111.45</v>
      </c>
      <c r="F137" s="42" t="n">
        <f aca="false">IF(AND(ISNUMBER(D137),ISNUMBER(E137)),D137-E137,"")</f>
        <v>63.1499999999978</v>
      </c>
      <c r="G137" s="43" t="n">
        <f aca="false">SUMIFS(Cleaned_Futures_Data!$J$2:$J$756,Cleaned_Futures_Data!$B$2:$B$756,A137,Cleaned_Futures_Data!$W$2:$W$756,1)</f>
        <v>53027</v>
      </c>
      <c r="H137" s="43" t="n">
        <f aca="false">SUMIFS(Cleaned_Futures_Data!$L$2:$L$756,Cleaned_Futures_Data!$B$2:$B$756,A137,Cleaned_Futures_Data!$W$2:$W$756,1)</f>
        <v>13825575</v>
      </c>
      <c r="I137" s="43" t="n">
        <f aca="false">SUMIFS(Cleaned_Futures_Data!$J$2:$J$756,Cleaned_Futures_Data!$B$2:$B$756,A137)</f>
        <v>58477</v>
      </c>
    </row>
    <row r="138" customFormat="false" ht="15" hidden="false" customHeight="true" outlineLevel="0" collapsed="false">
      <c r="A138" s="39" t="n">
        <v>45856</v>
      </c>
      <c r="B138" s="39" t="n">
        <f aca="false">_xlfn.MINIFS(Cleaned_Futures_Data!$C$2:$C$756,Cleaned_Futures_Data!$B$2:$B$756,A138)</f>
        <v>45869</v>
      </c>
      <c r="C138" s="40" t="n">
        <f aca="false">B138-A138</f>
        <v>13</v>
      </c>
      <c r="D138" s="41" t="n">
        <f aca="false">IFERROR(AVERAGEIFS(Cleaned_Futures_Data!$G$2:$G$756,Cleaned_Futures_Data!$B$2:$B$756,A138,Cleaned_Futures_Data!$W$2:$W$756,1),"")</f>
        <v>25032.3</v>
      </c>
      <c r="E138" s="41" t="n">
        <f aca="false">IFERROR(AVERAGEIFS(Cleaned_Futures_Data!$N$2:$N$756,Cleaned_Futures_Data!$B$2:$B$756,A138,Cleaned_Futures_Data!$W$2:$W$756,1),"")</f>
        <v>24968.4</v>
      </c>
      <c r="F138" s="42" t="n">
        <f aca="false">IF(AND(ISNUMBER(D138),ISNUMBER(E138)),D138-E138,"")</f>
        <v>63.8999999999978</v>
      </c>
      <c r="G138" s="43" t="n">
        <f aca="false">SUMIFS(Cleaned_Futures_Data!$J$2:$J$756,Cleaned_Futures_Data!$B$2:$B$756,A138,Cleaned_Futures_Data!$W$2:$W$756,1)</f>
        <v>69868</v>
      </c>
      <c r="H138" s="43" t="n">
        <f aca="false">SUMIFS(Cleaned_Futures_Data!$L$2:$L$756,Cleaned_Futures_Data!$B$2:$B$756,A138,Cleaned_Futures_Data!$W$2:$W$756,1)</f>
        <v>13738800</v>
      </c>
      <c r="I138" s="43" t="n">
        <f aca="false">SUMIFS(Cleaned_Futures_Data!$J$2:$J$756,Cleaned_Futures_Data!$B$2:$B$756,A138)</f>
        <v>81219</v>
      </c>
    </row>
    <row r="139" customFormat="false" ht="15" hidden="false" customHeight="true" outlineLevel="0" collapsed="false">
      <c r="A139" s="39" t="n">
        <v>45859</v>
      </c>
      <c r="B139" s="39" t="n">
        <f aca="false">_xlfn.MINIFS(Cleaned_Futures_Data!$C$2:$C$756,Cleaned_Futures_Data!$B$2:$B$756,A139)</f>
        <v>45869</v>
      </c>
      <c r="C139" s="40" t="n">
        <f aca="false">B139-A139</f>
        <v>10</v>
      </c>
      <c r="D139" s="41" t="n">
        <f aca="false">IFERROR(AVERAGEIFS(Cleaned_Futures_Data!$G$2:$G$756,Cleaned_Futures_Data!$B$2:$B$756,A139,Cleaned_Futures_Data!$W$2:$W$756,1),"")</f>
        <v>25127.6</v>
      </c>
      <c r="E139" s="41" t="n">
        <f aca="false">IFERROR(AVERAGEIFS(Cleaned_Futures_Data!$N$2:$N$756,Cleaned_Futures_Data!$B$2:$B$756,A139,Cleaned_Futures_Data!$W$2:$W$756,1),"")</f>
        <v>25090.7</v>
      </c>
      <c r="F139" s="42" t="n">
        <f aca="false">IF(AND(ISNUMBER(D139),ISNUMBER(E139)),D139-E139,"")</f>
        <v>36.8999999999978</v>
      </c>
      <c r="G139" s="43" t="n">
        <f aca="false">SUMIFS(Cleaned_Futures_Data!$J$2:$J$756,Cleaned_Futures_Data!$B$2:$B$756,A139,Cleaned_Futures_Data!$W$2:$W$756,1)</f>
        <v>56976</v>
      </c>
      <c r="H139" s="43" t="n">
        <f aca="false">SUMIFS(Cleaned_Futures_Data!$L$2:$L$756,Cleaned_Futures_Data!$B$2:$B$756,A139,Cleaned_Futures_Data!$W$2:$W$756,1)</f>
        <v>13284525</v>
      </c>
      <c r="I139" s="43" t="n">
        <f aca="false">SUMIFS(Cleaned_Futures_Data!$J$2:$J$756,Cleaned_Futures_Data!$B$2:$B$756,A139)</f>
        <v>66610</v>
      </c>
    </row>
    <row r="140" customFormat="false" ht="15" hidden="false" customHeight="true" outlineLevel="0" collapsed="false">
      <c r="A140" s="39" t="n">
        <v>45860</v>
      </c>
      <c r="B140" s="39" t="n">
        <f aca="false">_xlfn.MINIFS(Cleaned_Futures_Data!$C$2:$C$756,Cleaned_Futures_Data!$B$2:$B$756,A140)</f>
        <v>45869</v>
      </c>
      <c r="C140" s="40" t="n">
        <f aca="false">B140-A140</f>
        <v>9</v>
      </c>
      <c r="D140" s="41" t="n">
        <f aca="false">IFERROR(AVERAGEIFS(Cleaned_Futures_Data!$G$2:$G$756,Cleaned_Futures_Data!$B$2:$B$756,A140,Cleaned_Futures_Data!$W$2:$W$756,1),"")</f>
        <v>25093.9</v>
      </c>
      <c r="E140" s="41" t="n">
        <f aca="false">IFERROR(AVERAGEIFS(Cleaned_Futures_Data!$N$2:$N$756,Cleaned_Futures_Data!$B$2:$B$756,A140,Cleaned_Futures_Data!$W$2:$W$756,1),"")</f>
        <v>25060.9</v>
      </c>
      <c r="F140" s="42" t="n">
        <f aca="false">IF(AND(ISNUMBER(D140),ISNUMBER(E140)),D140-E140,"")</f>
        <v>33</v>
      </c>
      <c r="G140" s="43" t="n">
        <f aca="false">SUMIFS(Cleaned_Futures_Data!$J$2:$J$756,Cleaned_Futures_Data!$B$2:$B$756,A140,Cleaned_Futures_Data!$W$2:$W$756,1)</f>
        <v>41323</v>
      </c>
      <c r="H140" s="43" t="n">
        <f aca="false">SUMIFS(Cleaned_Futures_Data!$L$2:$L$756,Cleaned_Futures_Data!$B$2:$B$756,A140,Cleaned_Futures_Data!$W$2:$W$756,1)</f>
        <v>13220850</v>
      </c>
      <c r="I140" s="43" t="n">
        <f aca="false">SUMIFS(Cleaned_Futures_Data!$J$2:$J$756,Cleaned_Futures_Data!$B$2:$B$756,A140)</f>
        <v>47561</v>
      </c>
    </row>
    <row r="141" customFormat="false" ht="15" hidden="false" customHeight="true" outlineLevel="0" collapsed="false">
      <c r="A141" s="39" t="n">
        <v>45861</v>
      </c>
      <c r="B141" s="39" t="n">
        <f aca="false">_xlfn.MINIFS(Cleaned_Futures_Data!$C$2:$C$756,Cleaned_Futures_Data!$B$2:$B$756,A141)</f>
        <v>45869</v>
      </c>
      <c r="C141" s="40" t="n">
        <f aca="false">B141-A141</f>
        <v>8</v>
      </c>
      <c r="D141" s="41" t="n">
        <f aca="false">IFERROR(AVERAGEIFS(Cleaned_Futures_Data!$G$2:$G$756,Cleaned_Futures_Data!$B$2:$B$756,A141,Cleaned_Futures_Data!$W$2:$W$756,1),"")</f>
        <v>25252.8</v>
      </c>
      <c r="E141" s="41" t="n">
        <f aca="false">IFERROR(AVERAGEIFS(Cleaned_Futures_Data!$N$2:$N$756,Cleaned_Futures_Data!$B$2:$B$756,A141,Cleaned_Futures_Data!$W$2:$W$756,1),"")</f>
        <v>25219.9</v>
      </c>
      <c r="F141" s="42" t="n">
        <f aca="false">IF(AND(ISNUMBER(D141),ISNUMBER(E141)),D141-E141,"")</f>
        <v>32.8999999999978</v>
      </c>
      <c r="G141" s="43" t="n">
        <f aca="false">SUMIFS(Cleaned_Futures_Data!$J$2:$J$756,Cleaned_Futures_Data!$B$2:$B$756,A141,Cleaned_Futures_Data!$W$2:$W$756,1)</f>
        <v>51484</v>
      </c>
      <c r="H141" s="43" t="n">
        <f aca="false">SUMIFS(Cleaned_Futures_Data!$L$2:$L$756,Cleaned_Futures_Data!$B$2:$B$756,A141,Cleaned_Futures_Data!$W$2:$W$756,1)</f>
        <v>12754875</v>
      </c>
      <c r="I141" s="43" t="n">
        <f aca="false">SUMIFS(Cleaned_Futures_Data!$J$2:$J$756,Cleaned_Futures_Data!$B$2:$B$756,A141)</f>
        <v>61505</v>
      </c>
    </row>
    <row r="142" customFormat="false" ht="15" hidden="false" customHeight="true" outlineLevel="0" collapsed="false">
      <c r="A142" s="39" t="n">
        <v>45862</v>
      </c>
      <c r="B142" s="39" t="n">
        <f aca="false">_xlfn.MINIFS(Cleaned_Futures_Data!$C$2:$C$756,Cleaned_Futures_Data!$B$2:$B$756,A142)</f>
        <v>45869</v>
      </c>
      <c r="C142" s="40" t="n">
        <f aca="false">B142-A142</f>
        <v>7</v>
      </c>
      <c r="D142" s="41" t="n">
        <f aca="false">IFERROR(AVERAGEIFS(Cleaned_Futures_Data!$G$2:$G$756,Cleaned_Futures_Data!$B$2:$B$756,A142,Cleaned_Futures_Data!$W$2:$W$756,1),"")</f>
        <v>25095.4</v>
      </c>
      <c r="E142" s="41" t="n">
        <f aca="false">IFERROR(AVERAGEIFS(Cleaned_Futures_Data!$N$2:$N$756,Cleaned_Futures_Data!$B$2:$B$756,A142,Cleaned_Futures_Data!$W$2:$W$756,1),"")</f>
        <v>25062.1</v>
      </c>
      <c r="F142" s="42" t="n">
        <f aca="false">IF(AND(ISNUMBER(D142),ISNUMBER(E142)),D142-E142,"")</f>
        <v>33.3000000000029</v>
      </c>
      <c r="G142" s="43" t="n">
        <f aca="false">SUMIFS(Cleaned_Futures_Data!$J$2:$J$756,Cleaned_Futures_Data!$B$2:$B$756,A142,Cleaned_Futures_Data!$W$2:$W$756,1)</f>
        <v>63223</v>
      </c>
      <c r="H142" s="43" t="n">
        <f aca="false">SUMIFS(Cleaned_Futures_Data!$L$2:$L$756,Cleaned_Futures_Data!$B$2:$B$756,A142,Cleaned_Futures_Data!$W$2:$W$756,1)</f>
        <v>12360525</v>
      </c>
      <c r="I142" s="43" t="n">
        <f aca="false">SUMIFS(Cleaned_Futures_Data!$J$2:$J$756,Cleaned_Futures_Data!$B$2:$B$756,A142)</f>
        <v>85530</v>
      </c>
    </row>
    <row r="143" customFormat="false" ht="15" hidden="false" customHeight="true" outlineLevel="0" collapsed="false">
      <c r="A143" s="39" t="n">
        <v>45863</v>
      </c>
      <c r="B143" s="39" t="n">
        <f aca="false">_xlfn.MINIFS(Cleaned_Futures_Data!$C$2:$C$756,Cleaned_Futures_Data!$B$2:$B$756,A143)</f>
        <v>45869</v>
      </c>
      <c r="C143" s="40" t="n">
        <f aca="false">B143-A143</f>
        <v>6</v>
      </c>
      <c r="D143" s="41" t="n">
        <f aca="false">IFERROR(AVERAGEIFS(Cleaned_Futures_Data!$G$2:$G$756,Cleaned_Futures_Data!$B$2:$B$756,A143,Cleaned_Futures_Data!$W$2:$W$756,1),"")</f>
        <v>24850.4</v>
      </c>
      <c r="E143" s="41" t="n">
        <f aca="false">IFERROR(AVERAGEIFS(Cleaned_Futures_Data!$N$2:$N$756,Cleaned_Futures_Data!$B$2:$B$756,A143,Cleaned_Futures_Data!$W$2:$W$756,1),"")</f>
        <v>24837</v>
      </c>
      <c r="F143" s="42" t="n">
        <f aca="false">IF(AND(ISNUMBER(D143),ISNUMBER(E143)),D143-E143,"")</f>
        <v>13.4000000000015</v>
      </c>
      <c r="G143" s="43" t="n">
        <f aca="false">SUMIFS(Cleaned_Futures_Data!$J$2:$J$756,Cleaned_Futures_Data!$B$2:$B$756,A143,Cleaned_Futures_Data!$W$2:$W$756,1)</f>
        <v>69729</v>
      </c>
      <c r="H143" s="43" t="n">
        <f aca="false">SUMIFS(Cleaned_Futures_Data!$L$2:$L$756,Cleaned_Futures_Data!$B$2:$B$756,A143,Cleaned_Futures_Data!$W$2:$W$756,1)</f>
        <v>12162000</v>
      </c>
      <c r="I143" s="43" t="n">
        <f aca="false">SUMIFS(Cleaned_Futures_Data!$J$2:$J$756,Cleaned_Futures_Data!$B$2:$B$756,A143)</f>
        <v>99622</v>
      </c>
    </row>
    <row r="144" customFormat="false" ht="15" hidden="false" customHeight="true" outlineLevel="0" collapsed="false">
      <c r="A144" s="39" t="n">
        <v>45866</v>
      </c>
      <c r="B144" s="39" t="n">
        <f aca="false">_xlfn.MINIFS(Cleaned_Futures_Data!$C$2:$C$756,Cleaned_Futures_Data!$B$2:$B$756,A144)</f>
        <v>45869</v>
      </c>
      <c r="C144" s="40" t="n">
        <f aca="false">B144-A144</f>
        <v>3</v>
      </c>
      <c r="D144" s="41" t="n">
        <f aca="false">IFERROR(AVERAGEIFS(Cleaned_Futures_Data!$G$2:$G$756,Cleaned_Futures_Data!$B$2:$B$756,A144,Cleaned_Futures_Data!$W$2:$W$756,1),"")</f>
        <v>24710.2</v>
      </c>
      <c r="E144" s="41" t="n">
        <f aca="false">IFERROR(AVERAGEIFS(Cleaned_Futures_Data!$N$2:$N$756,Cleaned_Futures_Data!$B$2:$B$756,A144,Cleaned_Futures_Data!$W$2:$W$756,1),"")</f>
        <v>24680.9</v>
      </c>
      <c r="F144" s="42" t="n">
        <f aca="false">IF(AND(ISNUMBER(D144),ISNUMBER(E144)),D144-E144,"")</f>
        <v>29.2999999999993</v>
      </c>
      <c r="G144" s="43" t="n">
        <f aca="false">SUMIFS(Cleaned_Futures_Data!$J$2:$J$756,Cleaned_Futures_Data!$B$2:$B$756,A144,Cleaned_Futures_Data!$W$2:$W$756,1)</f>
        <v>71260</v>
      </c>
      <c r="H144" s="43" t="n">
        <f aca="false">SUMIFS(Cleaned_Futures_Data!$L$2:$L$756,Cleaned_Futures_Data!$B$2:$B$756,A144,Cleaned_Futures_Data!$W$2:$W$756,1)</f>
        <v>11209875</v>
      </c>
      <c r="I144" s="43" t="n">
        <f aca="false">SUMIFS(Cleaned_Futures_Data!$J$2:$J$756,Cleaned_Futures_Data!$B$2:$B$756,A144)</f>
        <v>110743</v>
      </c>
    </row>
    <row r="145" customFormat="false" ht="15" hidden="false" customHeight="true" outlineLevel="0" collapsed="false">
      <c r="A145" s="39" t="n">
        <v>45867</v>
      </c>
      <c r="B145" s="39" t="n">
        <f aca="false">_xlfn.MINIFS(Cleaned_Futures_Data!$C$2:$C$756,Cleaned_Futures_Data!$B$2:$B$756,A145)</f>
        <v>45869</v>
      </c>
      <c r="C145" s="40" t="n">
        <f aca="false">B145-A145</f>
        <v>2</v>
      </c>
      <c r="D145" s="41" t="n">
        <f aca="false">IFERROR(AVERAGEIFS(Cleaned_Futures_Data!$G$2:$G$756,Cleaned_Futures_Data!$B$2:$B$756,A145,Cleaned_Futures_Data!$W$2:$W$756,1),"")</f>
        <v>24838.8</v>
      </c>
      <c r="E145" s="41" t="n">
        <f aca="false">IFERROR(AVERAGEIFS(Cleaned_Futures_Data!$N$2:$N$756,Cleaned_Futures_Data!$B$2:$B$756,A145,Cleaned_Futures_Data!$W$2:$W$756,1),"")</f>
        <v>24821.1</v>
      </c>
      <c r="F145" s="42" t="n">
        <f aca="false">IF(AND(ISNUMBER(D145),ISNUMBER(E145)),D145-E145,"")</f>
        <v>17.7000000000007</v>
      </c>
      <c r="G145" s="43" t="n">
        <f aca="false">SUMIFS(Cleaned_Futures_Data!$J$2:$J$756,Cleaned_Futures_Data!$B$2:$B$756,A145,Cleaned_Futures_Data!$W$2:$W$756,1)</f>
        <v>84506</v>
      </c>
      <c r="H145" s="43" t="n">
        <f aca="false">SUMIFS(Cleaned_Futures_Data!$L$2:$L$756,Cleaned_Futures_Data!$B$2:$B$756,A145,Cleaned_Futures_Data!$W$2:$W$756,1)</f>
        <v>9140775</v>
      </c>
      <c r="I145" s="43" t="n">
        <f aca="false">SUMIFS(Cleaned_Futures_Data!$J$2:$J$756,Cleaned_Futures_Data!$B$2:$B$756,A145)</f>
        <v>151816</v>
      </c>
    </row>
    <row r="146" customFormat="false" ht="15" hidden="false" customHeight="true" outlineLevel="0" collapsed="false">
      <c r="A146" s="39" t="n">
        <v>45868</v>
      </c>
      <c r="B146" s="39" t="n">
        <f aca="false">_xlfn.MINIFS(Cleaned_Futures_Data!$C$2:$C$756,Cleaned_Futures_Data!$B$2:$B$756,A146)</f>
        <v>45869</v>
      </c>
      <c r="C146" s="40" t="n">
        <f aca="false">B146-A146</f>
        <v>1</v>
      </c>
      <c r="D146" s="41" t="n">
        <f aca="false">IFERROR(AVERAGEIFS(Cleaned_Futures_Data!$G$2:$G$756,Cleaned_Futures_Data!$B$2:$B$756,A146,Cleaned_Futures_Data!$W$2:$W$756,1),"")</f>
        <v>24869.3</v>
      </c>
      <c r="E146" s="41" t="n">
        <f aca="false">IFERROR(AVERAGEIFS(Cleaned_Futures_Data!$N$2:$N$756,Cleaned_Futures_Data!$B$2:$B$756,A146,Cleaned_Futures_Data!$W$2:$W$756,1),"")</f>
        <v>24855.05</v>
      </c>
      <c r="F146" s="42" t="n">
        <f aca="false">IF(AND(ISNUMBER(D146),ISNUMBER(E146)),D146-E146,"")</f>
        <v>14.25</v>
      </c>
      <c r="G146" s="43" t="n">
        <f aca="false">SUMIFS(Cleaned_Futures_Data!$J$2:$J$756,Cleaned_Futures_Data!$B$2:$B$756,A146,Cleaned_Futures_Data!$W$2:$W$756,1)</f>
        <v>69353</v>
      </c>
      <c r="H146" s="43" t="n">
        <f aca="false">SUMIFS(Cleaned_Futures_Data!$L$2:$L$756,Cleaned_Futures_Data!$B$2:$B$756,A146,Cleaned_Futures_Data!$W$2:$W$756,1)</f>
        <v>6997125</v>
      </c>
      <c r="I146" s="43" t="n">
        <f aca="false">SUMIFS(Cleaned_Futures_Data!$J$2:$J$756,Cleaned_Futures_Data!$B$2:$B$756,A146)</f>
        <v>134553</v>
      </c>
    </row>
    <row r="147" customFormat="false" ht="15" hidden="false" customHeight="true" outlineLevel="0" collapsed="false">
      <c r="A147" s="39" t="n">
        <v>45869</v>
      </c>
      <c r="B147" s="39" t="n">
        <f aca="false">_xlfn.MINIFS(Cleaned_Futures_Data!$C$2:$C$756,Cleaned_Futures_Data!$B$2:$B$756,A147)</f>
        <v>45869</v>
      </c>
      <c r="C147" s="40" t="n">
        <f aca="false">B147-A147</f>
        <v>0</v>
      </c>
      <c r="D147" s="41" t="n">
        <f aca="false">IFERROR(AVERAGEIFS(Cleaned_Futures_Data!$G$2:$G$756,Cleaned_Futures_Data!$B$2:$B$756,A147,Cleaned_Futures_Data!$W$2:$W$756,1),"")</f>
        <v>24771.9</v>
      </c>
      <c r="E147" s="41" t="n">
        <f aca="false">IFERROR(AVERAGEIFS(Cleaned_Futures_Data!$N$2:$N$756,Cleaned_Futures_Data!$B$2:$B$756,A147,Cleaned_Futures_Data!$W$2:$W$756,1),"")</f>
        <v>24768.35</v>
      </c>
      <c r="F147" s="42" t="n">
        <f aca="false">IF(AND(ISNUMBER(D147),ISNUMBER(E147)),D147-E147,"")</f>
        <v>3.55000000000291</v>
      </c>
      <c r="G147" s="43" t="n">
        <f aca="false">SUMIFS(Cleaned_Futures_Data!$J$2:$J$756,Cleaned_Futures_Data!$B$2:$B$756,A147,Cleaned_Futures_Data!$W$2:$W$756,1)</f>
        <v>81205</v>
      </c>
      <c r="H147" s="43" t="n">
        <f aca="false">SUMIFS(Cleaned_Futures_Data!$L$2:$L$756,Cleaned_Futures_Data!$B$2:$B$756,A147,Cleaned_Futures_Data!$W$2:$W$756,1)</f>
        <v>5278950</v>
      </c>
      <c r="I147" s="43" t="n">
        <f aca="false">SUMIFS(Cleaned_Futures_Data!$J$2:$J$756,Cleaned_Futures_Data!$B$2:$B$756,A147)</f>
        <v>215769</v>
      </c>
    </row>
    <row r="148" customFormat="false" ht="15" hidden="false" customHeight="true" outlineLevel="0" collapsed="false">
      <c r="A148" s="39" t="n">
        <v>45870</v>
      </c>
      <c r="B148" s="39" t="n">
        <f aca="false">_xlfn.MINIFS(Cleaned_Futures_Data!$C$2:$C$756,Cleaned_Futures_Data!$B$2:$B$756,A148)</f>
        <v>45897</v>
      </c>
      <c r="C148" s="40" t="n">
        <f aca="false">B148-A148</f>
        <v>27</v>
      </c>
      <c r="D148" s="41" t="n">
        <f aca="false">IFERROR(AVERAGEIFS(Cleaned_Futures_Data!$G$2:$G$756,Cleaned_Futures_Data!$B$2:$B$756,A148,Cleaned_Futures_Data!$W$2:$W$756,1),"")</f>
        <v>24627.2</v>
      </c>
      <c r="E148" s="41" t="n">
        <f aca="false">IFERROR(AVERAGEIFS(Cleaned_Futures_Data!$N$2:$N$756,Cleaned_Futures_Data!$B$2:$B$756,A148,Cleaned_Futures_Data!$W$2:$W$756,1),"")</f>
        <v>24565.35</v>
      </c>
      <c r="F148" s="42" t="n">
        <f aca="false">IF(AND(ISNUMBER(D148),ISNUMBER(E148)),D148-E148,"")</f>
        <v>61.8500000000022</v>
      </c>
      <c r="G148" s="43" t="n">
        <f aca="false">SUMIFS(Cleaned_Futures_Data!$J$2:$J$756,Cleaned_Futures_Data!$B$2:$B$756,A148,Cleaned_Futures_Data!$W$2:$W$756,1)</f>
        <v>83419</v>
      </c>
      <c r="H148" s="43" t="n">
        <f aca="false">SUMIFS(Cleaned_Futures_Data!$L$2:$L$756,Cleaned_Futures_Data!$B$2:$B$756,A148,Cleaned_Futures_Data!$W$2:$W$756,1)</f>
        <v>16890450</v>
      </c>
      <c r="I148" s="43" t="n">
        <f aca="false">SUMIFS(Cleaned_Futures_Data!$J$2:$J$756,Cleaned_Futures_Data!$B$2:$B$756,A148)</f>
        <v>90654</v>
      </c>
    </row>
    <row r="149" customFormat="false" ht="15" hidden="false" customHeight="true" outlineLevel="0" collapsed="false">
      <c r="A149" s="39" t="n">
        <v>45873</v>
      </c>
      <c r="B149" s="39" t="n">
        <f aca="false">_xlfn.MINIFS(Cleaned_Futures_Data!$C$2:$C$756,Cleaned_Futures_Data!$B$2:$B$756,A149)</f>
        <v>45897</v>
      </c>
      <c r="C149" s="40" t="n">
        <f aca="false">B149-A149</f>
        <v>24</v>
      </c>
      <c r="D149" s="41" t="n">
        <f aca="false">IFERROR(AVERAGEIFS(Cleaned_Futures_Data!$G$2:$G$756,Cleaned_Futures_Data!$B$2:$B$756,A149,Cleaned_Futures_Data!$W$2:$W$756,1),"")</f>
        <v>24793.1</v>
      </c>
      <c r="E149" s="41" t="n">
        <f aca="false">IFERROR(AVERAGEIFS(Cleaned_Futures_Data!$N$2:$N$756,Cleaned_Futures_Data!$B$2:$B$756,A149,Cleaned_Futures_Data!$W$2:$W$756,1),"")</f>
        <v>24722.75</v>
      </c>
      <c r="F149" s="42" t="n">
        <f aca="false">IF(AND(ISNUMBER(D149),ISNUMBER(E149)),D149-E149,"")</f>
        <v>70.3499999999985</v>
      </c>
      <c r="G149" s="43" t="n">
        <f aca="false">SUMIFS(Cleaned_Futures_Data!$J$2:$J$756,Cleaned_Futures_Data!$B$2:$B$756,A149,Cleaned_Futures_Data!$W$2:$W$756,1)</f>
        <v>57820</v>
      </c>
      <c r="H149" s="43" t="n">
        <f aca="false">SUMIFS(Cleaned_Futures_Data!$L$2:$L$756,Cleaned_Futures_Data!$B$2:$B$756,A149,Cleaned_Futures_Data!$W$2:$W$756,1)</f>
        <v>16496700</v>
      </c>
      <c r="I149" s="43" t="n">
        <f aca="false">SUMIFS(Cleaned_Futures_Data!$J$2:$J$756,Cleaned_Futures_Data!$B$2:$B$756,A149)</f>
        <v>62517</v>
      </c>
    </row>
    <row r="150" customFormat="false" ht="15" hidden="false" customHeight="true" outlineLevel="0" collapsed="false">
      <c r="A150" s="39" t="n">
        <v>45874</v>
      </c>
      <c r="B150" s="39" t="n">
        <f aca="false">_xlfn.MINIFS(Cleaned_Futures_Data!$C$2:$C$756,Cleaned_Futures_Data!$B$2:$B$756,A150)</f>
        <v>45897</v>
      </c>
      <c r="C150" s="40" t="n">
        <f aca="false">B150-A150</f>
        <v>23</v>
      </c>
      <c r="D150" s="41" t="n">
        <f aca="false">IFERROR(AVERAGEIFS(Cleaned_Futures_Data!$G$2:$G$756,Cleaned_Futures_Data!$B$2:$B$756,A150,Cleaned_Futures_Data!$W$2:$W$756,1),"")</f>
        <v>24707.8</v>
      </c>
      <c r="E150" s="41" t="n">
        <f aca="false">IFERROR(AVERAGEIFS(Cleaned_Futures_Data!$N$2:$N$756,Cleaned_Futures_Data!$B$2:$B$756,A150,Cleaned_Futures_Data!$W$2:$W$756,1),"")</f>
        <v>24649.55</v>
      </c>
      <c r="F150" s="42" t="n">
        <f aca="false">IF(AND(ISNUMBER(D150),ISNUMBER(E150)),D150-E150,"")</f>
        <v>58.25</v>
      </c>
      <c r="G150" s="43" t="n">
        <f aca="false">SUMIFS(Cleaned_Futures_Data!$J$2:$J$756,Cleaned_Futures_Data!$B$2:$B$756,A150,Cleaned_Futures_Data!$W$2:$W$756,1)</f>
        <v>54138</v>
      </c>
      <c r="H150" s="43" t="n">
        <f aca="false">SUMIFS(Cleaned_Futures_Data!$L$2:$L$756,Cleaned_Futures_Data!$B$2:$B$756,A150,Cleaned_Futures_Data!$W$2:$W$756,1)</f>
        <v>16602675</v>
      </c>
      <c r="I150" s="43" t="n">
        <f aca="false">SUMIFS(Cleaned_Futures_Data!$J$2:$J$756,Cleaned_Futures_Data!$B$2:$B$756,A150)</f>
        <v>58367</v>
      </c>
    </row>
    <row r="151" customFormat="false" ht="15" hidden="false" customHeight="true" outlineLevel="0" collapsed="false">
      <c r="A151" s="39" t="n">
        <v>45875</v>
      </c>
      <c r="B151" s="39" t="n">
        <f aca="false">_xlfn.MINIFS(Cleaned_Futures_Data!$C$2:$C$756,Cleaned_Futures_Data!$B$2:$B$756,A151)</f>
        <v>45897</v>
      </c>
      <c r="C151" s="40" t="n">
        <f aca="false">B151-A151</f>
        <v>22</v>
      </c>
      <c r="D151" s="41" t="n">
        <f aca="false">IFERROR(AVERAGEIFS(Cleaned_Futures_Data!$G$2:$G$756,Cleaned_Futures_Data!$B$2:$B$756,A151,Cleaned_Futures_Data!$W$2:$W$756,1),"")</f>
        <v>24634.9</v>
      </c>
      <c r="E151" s="41" t="n">
        <f aca="false">IFERROR(AVERAGEIFS(Cleaned_Futures_Data!$N$2:$N$756,Cleaned_Futures_Data!$B$2:$B$756,A151,Cleaned_Futures_Data!$W$2:$W$756,1),"")</f>
        <v>24574.2</v>
      </c>
      <c r="F151" s="42" t="n">
        <f aca="false">IF(AND(ISNUMBER(D151),ISNUMBER(E151)),D151-E151,"")</f>
        <v>60.7000000000007</v>
      </c>
      <c r="G151" s="43" t="n">
        <f aca="false">SUMIFS(Cleaned_Futures_Data!$J$2:$J$756,Cleaned_Futures_Data!$B$2:$B$756,A151,Cleaned_Futures_Data!$W$2:$W$756,1)</f>
        <v>52800</v>
      </c>
      <c r="H151" s="43" t="n">
        <f aca="false">SUMIFS(Cleaned_Futures_Data!$L$2:$L$756,Cleaned_Futures_Data!$B$2:$B$756,A151,Cleaned_Futures_Data!$W$2:$W$756,1)</f>
        <v>16681725</v>
      </c>
      <c r="I151" s="43" t="n">
        <f aca="false">SUMIFS(Cleaned_Futures_Data!$J$2:$J$756,Cleaned_Futures_Data!$B$2:$B$756,A151)</f>
        <v>57110</v>
      </c>
    </row>
    <row r="152" customFormat="false" ht="15" hidden="false" customHeight="true" outlineLevel="0" collapsed="false">
      <c r="A152" s="39" t="n">
        <v>45876</v>
      </c>
      <c r="B152" s="39" t="n">
        <f aca="false">_xlfn.MINIFS(Cleaned_Futures_Data!$C$2:$C$756,Cleaned_Futures_Data!$B$2:$B$756,A152)</f>
        <v>45897</v>
      </c>
      <c r="C152" s="40" t="n">
        <f aca="false">B152-A152</f>
        <v>21</v>
      </c>
      <c r="D152" s="41" t="n">
        <f aca="false">IFERROR(AVERAGEIFS(Cleaned_Futures_Data!$G$2:$G$756,Cleaned_Futures_Data!$B$2:$B$756,A152,Cleaned_Futures_Data!$W$2:$W$756,1),"")</f>
        <v>24673.4</v>
      </c>
      <c r="E152" s="41" t="n">
        <f aca="false">IFERROR(AVERAGEIFS(Cleaned_Futures_Data!$N$2:$N$756,Cleaned_Futures_Data!$B$2:$B$756,A152,Cleaned_Futures_Data!$W$2:$W$756,1),"")</f>
        <v>24596.15</v>
      </c>
      <c r="F152" s="42" t="n">
        <f aca="false">IF(AND(ISNUMBER(D152),ISNUMBER(E152)),D152-E152,"")</f>
        <v>77.25</v>
      </c>
      <c r="G152" s="43" t="n">
        <f aca="false">SUMIFS(Cleaned_Futures_Data!$J$2:$J$756,Cleaned_Futures_Data!$B$2:$B$756,A152,Cleaned_Futures_Data!$W$2:$W$756,1)</f>
        <v>97916</v>
      </c>
      <c r="H152" s="43" t="n">
        <f aca="false">SUMIFS(Cleaned_Futures_Data!$L$2:$L$756,Cleaned_Futures_Data!$B$2:$B$756,A152,Cleaned_Futures_Data!$W$2:$W$756,1)</f>
        <v>16752675</v>
      </c>
      <c r="I152" s="43" t="n">
        <f aca="false">SUMIFS(Cleaned_Futures_Data!$J$2:$J$756,Cleaned_Futures_Data!$B$2:$B$756,A152)</f>
        <v>107785</v>
      </c>
    </row>
    <row r="153" customFormat="false" ht="15" hidden="false" customHeight="true" outlineLevel="0" collapsed="false">
      <c r="A153" s="39" t="n">
        <v>45877</v>
      </c>
      <c r="B153" s="39" t="n">
        <f aca="false">_xlfn.MINIFS(Cleaned_Futures_Data!$C$2:$C$756,Cleaned_Futures_Data!$B$2:$B$756,A153)</f>
        <v>45897</v>
      </c>
      <c r="C153" s="40" t="n">
        <f aca="false">B153-A153</f>
        <v>20</v>
      </c>
      <c r="D153" s="41" t="n">
        <f aca="false">IFERROR(AVERAGEIFS(Cleaned_Futures_Data!$G$2:$G$756,Cleaned_Futures_Data!$B$2:$B$756,A153,Cleaned_Futures_Data!$W$2:$W$756,1),"")</f>
        <v>24441.1</v>
      </c>
      <c r="E153" s="41" t="n">
        <f aca="false">IFERROR(AVERAGEIFS(Cleaned_Futures_Data!$N$2:$N$756,Cleaned_Futures_Data!$B$2:$B$756,A153,Cleaned_Futures_Data!$W$2:$W$756,1),"")</f>
        <v>24363.3</v>
      </c>
      <c r="F153" s="42" t="n">
        <f aca="false">IF(AND(ISNUMBER(D153),ISNUMBER(E153)),D153-E153,"")</f>
        <v>77.7999999999993</v>
      </c>
      <c r="G153" s="43" t="n">
        <f aca="false">SUMIFS(Cleaned_Futures_Data!$J$2:$J$756,Cleaned_Futures_Data!$B$2:$B$756,A153,Cleaned_Futures_Data!$W$2:$W$756,1)</f>
        <v>79655</v>
      </c>
      <c r="H153" s="43" t="n">
        <f aca="false">SUMIFS(Cleaned_Futures_Data!$L$2:$L$756,Cleaned_Futures_Data!$B$2:$B$756,A153,Cleaned_Futures_Data!$W$2:$W$756,1)</f>
        <v>17244675</v>
      </c>
      <c r="I153" s="43" t="n">
        <f aca="false">SUMIFS(Cleaned_Futures_Data!$J$2:$J$756,Cleaned_Futures_Data!$B$2:$B$756,A153)</f>
        <v>86441</v>
      </c>
    </row>
    <row r="154" customFormat="false" ht="15" hidden="false" customHeight="true" outlineLevel="0" collapsed="false">
      <c r="A154" s="39" t="n">
        <v>45880</v>
      </c>
      <c r="B154" s="39" t="n">
        <f aca="false">_xlfn.MINIFS(Cleaned_Futures_Data!$C$2:$C$756,Cleaned_Futures_Data!$B$2:$B$756,A154)</f>
        <v>45897</v>
      </c>
      <c r="C154" s="40" t="n">
        <f aca="false">B154-A154</f>
        <v>17</v>
      </c>
      <c r="D154" s="41" t="n">
        <f aca="false">IFERROR(AVERAGEIFS(Cleaned_Futures_Data!$G$2:$G$756,Cleaned_Futures_Data!$B$2:$B$756,A154,Cleaned_Futures_Data!$W$2:$W$756,1),"")</f>
        <v>24627.9</v>
      </c>
      <c r="E154" s="41" t="n">
        <f aca="false">IFERROR(AVERAGEIFS(Cleaned_Futures_Data!$N$2:$N$756,Cleaned_Futures_Data!$B$2:$B$756,A154,Cleaned_Futures_Data!$W$2:$W$756,1),"")</f>
        <v>24585.05</v>
      </c>
      <c r="F154" s="42" t="n">
        <f aca="false">IF(AND(ISNUMBER(D154),ISNUMBER(E154)),D154-E154,"")</f>
        <v>42.8500000000022</v>
      </c>
      <c r="G154" s="43" t="n">
        <f aca="false">SUMIFS(Cleaned_Futures_Data!$J$2:$J$756,Cleaned_Futures_Data!$B$2:$B$756,A154,Cleaned_Futures_Data!$W$2:$W$756,1)</f>
        <v>63544</v>
      </c>
      <c r="H154" s="43" t="n">
        <f aca="false">SUMIFS(Cleaned_Futures_Data!$L$2:$L$756,Cleaned_Futures_Data!$B$2:$B$756,A154,Cleaned_Futures_Data!$W$2:$W$756,1)</f>
        <v>16920750</v>
      </c>
      <c r="I154" s="43" t="n">
        <f aca="false">SUMIFS(Cleaned_Futures_Data!$J$2:$J$756,Cleaned_Futures_Data!$B$2:$B$756,A154)</f>
        <v>69870</v>
      </c>
    </row>
    <row r="155" customFormat="false" ht="15" hidden="false" customHeight="true" outlineLevel="0" collapsed="false">
      <c r="A155" s="39" t="n">
        <v>45881</v>
      </c>
      <c r="B155" s="39" t="n">
        <f aca="false">_xlfn.MINIFS(Cleaned_Futures_Data!$C$2:$C$756,Cleaned_Futures_Data!$B$2:$B$756,A155)</f>
        <v>45897</v>
      </c>
      <c r="C155" s="40" t="n">
        <f aca="false">B155-A155</f>
        <v>16</v>
      </c>
      <c r="D155" s="41" t="n">
        <f aca="false">IFERROR(AVERAGEIFS(Cleaned_Futures_Data!$G$2:$G$756,Cleaned_Futures_Data!$B$2:$B$756,A155,Cleaned_Futures_Data!$W$2:$W$756,1),"")</f>
        <v>24554.9</v>
      </c>
      <c r="E155" s="41" t="n">
        <f aca="false">IFERROR(AVERAGEIFS(Cleaned_Futures_Data!$N$2:$N$756,Cleaned_Futures_Data!$B$2:$B$756,A155,Cleaned_Futures_Data!$W$2:$W$756,1),"")</f>
        <v>24487.4</v>
      </c>
      <c r="F155" s="42" t="n">
        <f aca="false">IF(AND(ISNUMBER(D155),ISNUMBER(E155)),D155-E155,"")</f>
        <v>67.5</v>
      </c>
      <c r="G155" s="43" t="n">
        <f aca="false">SUMIFS(Cleaned_Futures_Data!$J$2:$J$756,Cleaned_Futures_Data!$B$2:$B$756,A155,Cleaned_Futures_Data!$W$2:$W$756,1)</f>
        <v>83389</v>
      </c>
      <c r="H155" s="43" t="n">
        <f aca="false">SUMIFS(Cleaned_Futures_Data!$L$2:$L$756,Cleaned_Futures_Data!$B$2:$B$756,A155,Cleaned_Futures_Data!$W$2:$W$756,1)</f>
        <v>17018250</v>
      </c>
      <c r="I155" s="43" t="n">
        <f aca="false">SUMIFS(Cleaned_Futures_Data!$J$2:$J$756,Cleaned_Futures_Data!$B$2:$B$756,A155)</f>
        <v>90678</v>
      </c>
    </row>
    <row r="156" customFormat="false" ht="15" hidden="false" customHeight="true" outlineLevel="0" collapsed="false">
      <c r="A156" s="39" t="n">
        <v>45882</v>
      </c>
      <c r="B156" s="39" t="n">
        <f aca="false">_xlfn.MINIFS(Cleaned_Futures_Data!$C$2:$C$756,Cleaned_Futures_Data!$B$2:$B$756,A156)</f>
        <v>45897</v>
      </c>
      <c r="C156" s="40" t="n">
        <f aca="false">B156-A156</f>
        <v>15</v>
      </c>
      <c r="D156" s="41" t="n">
        <f aca="false">IFERROR(AVERAGEIFS(Cleaned_Futures_Data!$G$2:$G$756,Cleaned_Futures_Data!$B$2:$B$756,A156,Cleaned_Futures_Data!$W$2:$W$756,1),"")</f>
        <v>24712.2</v>
      </c>
      <c r="E156" s="41" t="n">
        <f aca="false">IFERROR(AVERAGEIFS(Cleaned_Futures_Data!$N$2:$N$756,Cleaned_Futures_Data!$B$2:$B$756,A156,Cleaned_Futures_Data!$W$2:$W$756,1),"")</f>
        <v>24619.35</v>
      </c>
      <c r="F156" s="42" t="n">
        <f aca="false">IF(AND(ISNUMBER(D156),ISNUMBER(E156)),D156-E156,"")</f>
        <v>92.8500000000022</v>
      </c>
      <c r="G156" s="43" t="n">
        <f aca="false">SUMIFS(Cleaned_Futures_Data!$J$2:$J$756,Cleaned_Futures_Data!$B$2:$B$756,A156,Cleaned_Futures_Data!$W$2:$W$756,1)</f>
        <v>58314</v>
      </c>
      <c r="H156" s="43" t="n">
        <f aca="false">SUMIFS(Cleaned_Futures_Data!$L$2:$L$756,Cleaned_Futures_Data!$B$2:$B$756,A156,Cleaned_Futures_Data!$W$2:$W$756,1)</f>
        <v>16845375</v>
      </c>
      <c r="I156" s="43" t="n">
        <f aca="false">SUMIFS(Cleaned_Futures_Data!$J$2:$J$756,Cleaned_Futures_Data!$B$2:$B$756,A156)</f>
        <v>64653</v>
      </c>
    </row>
    <row r="157" customFormat="false" ht="15" hidden="false" customHeight="true" outlineLevel="0" collapsed="false">
      <c r="A157" s="39" t="n">
        <v>45883</v>
      </c>
      <c r="B157" s="39" t="n">
        <f aca="false">_xlfn.MINIFS(Cleaned_Futures_Data!$C$2:$C$756,Cleaned_Futures_Data!$B$2:$B$756,A157)</f>
        <v>45897</v>
      </c>
      <c r="C157" s="40" t="n">
        <f aca="false">B157-A157</f>
        <v>14</v>
      </c>
      <c r="D157" s="41" t="n">
        <f aca="false">IFERROR(AVERAGEIFS(Cleaned_Futures_Data!$G$2:$G$756,Cleaned_Futures_Data!$B$2:$B$756,A157,Cleaned_Futures_Data!$W$2:$W$756,1),"")</f>
        <v>24684.7</v>
      </c>
      <c r="E157" s="41" t="n">
        <f aca="false">IFERROR(AVERAGEIFS(Cleaned_Futures_Data!$N$2:$N$756,Cleaned_Futures_Data!$B$2:$B$756,A157,Cleaned_Futures_Data!$W$2:$W$756,1),"")</f>
        <v>24631.3</v>
      </c>
      <c r="F157" s="42" t="n">
        <f aca="false">IF(AND(ISNUMBER(D157),ISNUMBER(E157)),D157-E157,"")</f>
        <v>53.4000000000015</v>
      </c>
      <c r="G157" s="43" t="n">
        <f aca="false">SUMIFS(Cleaned_Futures_Data!$J$2:$J$756,Cleaned_Futures_Data!$B$2:$B$756,A157,Cleaned_Futures_Data!$W$2:$W$756,1)</f>
        <v>50699</v>
      </c>
      <c r="H157" s="43" t="n">
        <f aca="false">SUMIFS(Cleaned_Futures_Data!$L$2:$L$756,Cleaned_Futures_Data!$B$2:$B$756,A157,Cleaned_Futures_Data!$W$2:$W$756,1)</f>
        <v>16733775</v>
      </c>
      <c r="I157" s="43" t="n">
        <f aca="false">SUMIFS(Cleaned_Futures_Data!$J$2:$J$756,Cleaned_Futures_Data!$B$2:$B$756,A157)</f>
        <v>53933</v>
      </c>
    </row>
    <row r="158" customFormat="false" ht="15" hidden="false" customHeight="true" outlineLevel="0" collapsed="false">
      <c r="A158" s="39" t="n">
        <v>45887</v>
      </c>
      <c r="B158" s="39" t="n">
        <f aca="false">_xlfn.MINIFS(Cleaned_Futures_Data!$C$2:$C$756,Cleaned_Futures_Data!$B$2:$B$756,A158)</f>
        <v>45897</v>
      </c>
      <c r="C158" s="40" t="n">
        <f aca="false">B158-A158</f>
        <v>10</v>
      </c>
      <c r="D158" s="41" t="n">
        <f aca="false">IFERROR(AVERAGEIFS(Cleaned_Futures_Data!$G$2:$G$756,Cleaned_Futures_Data!$B$2:$B$756,A158,Cleaned_Futures_Data!$W$2:$W$756,1),"")</f>
        <v>24966.8</v>
      </c>
      <c r="E158" s="41" t="n">
        <f aca="false">IFERROR(AVERAGEIFS(Cleaned_Futures_Data!$N$2:$N$756,Cleaned_Futures_Data!$B$2:$B$756,A158,Cleaned_Futures_Data!$W$2:$W$756,1),"")</f>
        <v>24876.95</v>
      </c>
      <c r="F158" s="42" t="n">
        <f aca="false">IF(AND(ISNUMBER(D158),ISNUMBER(E158)),D158-E158,"")</f>
        <v>89.8499999999985</v>
      </c>
      <c r="G158" s="43" t="n">
        <f aca="false">SUMIFS(Cleaned_Futures_Data!$J$2:$J$756,Cleaned_Futures_Data!$B$2:$B$756,A158,Cleaned_Futures_Data!$W$2:$W$756,1)</f>
        <v>89126</v>
      </c>
      <c r="H158" s="43" t="n">
        <f aca="false">SUMIFS(Cleaned_Futures_Data!$L$2:$L$756,Cleaned_Futures_Data!$B$2:$B$756,A158,Cleaned_Futures_Data!$W$2:$W$756,1)</f>
        <v>16437225</v>
      </c>
      <c r="I158" s="43" t="n">
        <f aca="false">SUMIFS(Cleaned_Futures_Data!$J$2:$J$756,Cleaned_Futures_Data!$B$2:$B$756,A158)</f>
        <v>104711</v>
      </c>
    </row>
    <row r="159" customFormat="false" ht="15" hidden="false" customHeight="true" outlineLevel="0" collapsed="false">
      <c r="A159" s="39" t="n">
        <v>45888</v>
      </c>
      <c r="B159" s="39" t="n">
        <f aca="false">_xlfn.MINIFS(Cleaned_Futures_Data!$C$2:$C$756,Cleaned_Futures_Data!$B$2:$B$756,A159)</f>
        <v>45897</v>
      </c>
      <c r="C159" s="40" t="n">
        <f aca="false">B159-A159</f>
        <v>9</v>
      </c>
      <c r="D159" s="41" t="n">
        <f aca="false">IFERROR(AVERAGEIFS(Cleaned_Futures_Data!$G$2:$G$756,Cleaned_Futures_Data!$B$2:$B$756,A159,Cleaned_Futures_Data!$W$2:$W$756,1),"")</f>
        <v>25033.5</v>
      </c>
      <c r="E159" s="41" t="n">
        <f aca="false">IFERROR(AVERAGEIFS(Cleaned_Futures_Data!$N$2:$N$756,Cleaned_Futures_Data!$B$2:$B$756,A159,Cleaned_Futures_Data!$W$2:$W$756,1),"")</f>
        <v>24980.65</v>
      </c>
      <c r="F159" s="42" t="n">
        <f aca="false">IF(AND(ISNUMBER(D159),ISNUMBER(E159)),D159-E159,"")</f>
        <v>52.8499999999985</v>
      </c>
      <c r="G159" s="43" t="n">
        <f aca="false">SUMIFS(Cleaned_Futures_Data!$J$2:$J$756,Cleaned_Futures_Data!$B$2:$B$756,A159,Cleaned_Futures_Data!$W$2:$W$756,1)</f>
        <v>47372</v>
      </c>
      <c r="H159" s="43" t="n">
        <f aca="false">SUMIFS(Cleaned_Futures_Data!$L$2:$L$756,Cleaned_Futures_Data!$B$2:$B$756,A159,Cleaned_Futures_Data!$W$2:$W$756,1)</f>
        <v>16231575</v>
      </c>
      <c r="I159" s="43" t="n">
        <f aca="false">SUMIFS(Cleaned_Futures_Data!$J$2:$J$756,Cleaned_Futures_Data!$B$2:$B$756,A159)</f>
        <v>54747</v>
      </c>
    </row>
    <row r="160" customFormat="false" ht="15" hidden="false" customHeight="true" outlineLevel="0" collapsed="false">
      <c r="A160" s="39" t="n">
        <v>45889</v>
      </c>
      <c r="B160" s="39" t="n">
        <f aca="false">_xlfn.MINIFS(Cleaned_Futures_Data!$C$2:$C$756,Cleaned_Futures_Data!$B$2:$B$756,A160)</f>
        <v>45897</v>
      </c>
      <c r="C160" s="40" t="n">
        <f aca="false">B160-A160</f>
        <v>8</v>
      </c>
      <c r="D160" s="41" t="n">
        <f aca="false">IFERROR(AVERAGEIFS(Cleaned_Futures_Data!$G$2:$G$756,Cleaned_Futures_Data!$B$2:$B$756,A160,Cleaned_Futures_Data!$W$2:$W$756,1),"")</f>
        <v>25083.3</v>
      </c>
      <c r="E160" s="41" t="n">
        <f aca="false">IFERROR(AVERAGEIFS(Cleaned_Futures_Data!$N$2:$N$756,Cleaned_Futures_Data!$B$2:$B$756,A160,Cleaned_Futures_Data!$W$2:$W$756,1),"")</f>
        <v>25050.55</v>
      </c>
      <c r="F160" s="42" t="n">
        <f aca="false">IF(AND(ISNUMBER(D160),ISNUMBER(E160)),D160-E160,"")</f>
        <v>32.75</v>
      </c>
      <c r="G160" s="43" t="n">
        <f aca="false">SUMIFS(Cleaned_Futures_Data!$J$2:$J$756,Cleaned_Futures_Data!$B$2:$B$756,A160,Cleaned_Futures_Data!$W$2:$W$756,1)</f>
        <v>54455</v>
      </c>
      <c r="H160" s="43" t="n">
        <f aca="false">SUMIFS(Cleaned_Futures_Data!$L$2:$L$756,Cleaned_Futures_Data!$B$2:$B$756,A160,Cleaned_Futures_Data!$W$2:$W$756,1)</f>
        <v>15889275</v>
      </c>
      <c r="I160" s="43" t="n">
        <f aca="false">SUMIFS(Cleaned_Futures_Data!$J$2:$J$756,Cleaned_Futures_Data!$B$2:$B$756,A160)</f>
        <v>65697</v>
      </c>
    </row>
    <row r="161" customFormat="false" ht="15" hidden="false" customHeight="true" outlineLevel="0" collapsed="false">
      <c r="A161" s="39" t="n">
        <v>45890</v>
      </c>
      <c r="B161" s="39" t="n">
        <f aca="false">_xlfn.MINIFS(Cleaned_Futures_Data!$C$2:$C$756,Cleaned_Futures_Data!$B$2:$B$756,A161)</f>
        <v>45897</v>
      </c>
      <c r="C161" s="40" t="n">
        <f aca="false">B161-A161</f>
        <v>7</v>
      </c>
      <c r="D161" s="41" t="n">
        <f aca="false">IFERROR(AVERAGEIFS(Cleaned_Futures_Data!$G$2:$G$756,Cleaned_Futures_Data!$B$2:$B$756,A161,Cleaned_Futures_Data!$W$2:$W$756,1),"")</f>
        <v>25122.5</v>
      </c>
      <c r="E161" s="41" t="n">
        <f aca="false">IFERROR(AVERAGEIFS(Cleaned_Futures_Data!$N$2:$N$756,Cleaned_Futures_Data!$B$2:$B$756,A161,Cleaned_Futures_Data!$W$2:$W$756,1),"")</f>
        <v>25083.75</v>
      </c>
      <c r="F161" s="42" t="n">
        <f aca="false">IF(AND(ISNUMBER(D161),ISNUMBER(E161)),D161-E161,"")</f>
        <v>38.75</v>
      </c>
      <c r="G161" s="43" t="n">
        <f aca="false">SUMIFS(Cleaned_Futures_Data!$J$2:$J$756,Cleaned_Futures_Data!$B$2:$B$756,A161,Cleaned_Futures_Data!$W$2:$W$756,1)</f>
        <v>55136</v>
      </c>
      <c r="H161" s="43" t="n">
        <f aca="false">SUMIFS(Cleaned_Futures_Data!$L$2:$L$756,Cleaned_Futures_Data!$B$2:$B$756,A161,Cleaned_Futures_Data!$W$2:$W$756,1)</f>
        <v>14993325</v>
      </c>
      <c r="I161" s="43" t="n">
        <f aca="false">SUMIFS(Cleaned_Futures_Data!$J$2:$J$756,Cleaned_Futures_Data!$B$2:$B$756,A161)</f>
        <v>71689</v>
      </c>
    </row>
    <row r="162" customFormat="false" ht="15" hidden="false" customHeight="true" outlineLevel="0" collapsed="false">
      <c r="A162" s="39" t="n">
        <v>45891</v>
      </c>
      <c r="B162" s="39" t="n">
        <f aca="false">_xlfn.MINIFS(Cleaned_Futures_Data!$C$2:$C$756,Cleaned_Futures_Data!$B$2:$B$756,A162)</f>
        <v>45897</v>
      </c>
      <c r="C162" s="40" t="n">
        <f aca="false">B162-A162</f>
        <v>6</v>
      </c>
      <c r="D162" s="41" t="n">
        <f aca="false">IFERROR(AVERAGEIFS(Cleaned_Futures_Data!$G$2:$G$756,Cleaned_Futures_Data!$B$2:$B$756,A162,Cleaned_Futures_Data!$W$2:$W$756,1),"")</f>
        <v>24898.2</v>
      </c>
      <c r="E162" s="41" t="n">
        <f aca="false">IFERROR(AVERAGEIFS(Cleaned_Futures_Data!$N$2:$N$756,Cleaned_Futures_Data!$B$2:$B$756,A162,Cleaned_Futures_Data!$W$2:$W$756,1),"")</f>
        <v>24870.1</v>
      </c>
      <c r="F162" s="42" t="n">
        <f aca="false">IF(AND(ISNUMBER(D162),ISNUMBER(E162)),D162-E162,"")</f>
        <v>28.1000000000022</v>
      </c>
      <c r="G162" s="43" t="n">
        <f aca="false">SUMIFS(Cleaned_Futures_Data!$J$2:$J$756,Cleaned_Futures_Data!$B$2:$B$756,A162,Cleaned_Futures_Data!$W$2:$W$756,1)</f>
        <v>71849</v>
      </c>
      <c r="H162" s="43" t="n">
        <f aca="false">SUMIFS(Cleaned_Futures_Data!$L$2:$L$756,Cleaned_Futures_Data!$B$2:$B$756,A162,Cleaned_Futures_Data!$W$2:$W$756,1)</f>
        <v>14147475</v>
      </c>
      <c r="I162" s="43" t="n">
        <f aca="false">SUMIFS(Cleaned_Futures_Data!$J$2:$J$756,Cleaned_Futures_Data!$B$2:$B$756,A162)</f>
        <v>95549</v>
      </c>
    </row>
    <row r="163" customFormat="false" ht="15" hidden="false" customHeight="true" outlineLevel="0" collapsed="false">
      <c r="A163" s="39" t="n">
        <v>45894</v>
      </c>
      <c r="B163" s="39" t="n">
        <f aca="false">_xlfn.MINIFS(Cleaned_Futures_Data!$C$2:$C$756,Cleaned_Futures_Data!$B$2:$B$756,A163)</f>
        <v>45897</v>
      </c>
      <c r="C163" s="40" t="n">
        <f aca="false">B163-A163</f>
        <v>3</v>
      </c>
      <c r="D163" s="41" t="n">
        <f aca="false">IFERROR(AVERAGEIFS(Cleaned_Futures_Data!$G$2:$G$756,Cleaned_Futures_Data!$B$2:$B$756,A163,Cleaned_Futures_Data!$W$2:$W$756,1),"")</f>
        <v>24989.7</v>
      </c>
      <c r="E163" s="41" t="n">
        <f aca="false">IFERROR(AVERAGEIFS(Cleaned_Futures_Data!$N$2:$N$756,Cleaned_Futures_Data!$B$2:$B$756,A163,Cleaned_Futures_Data!$W$2:$W$756,1),"")</f>
        <v>24967.75</v>
      </c>
      <c r="F163" s="42" t="n">
        <f aca="false">IF(AND(ISNUMBER(D163),ISNUMBER(E163)),D163-E163,"")</f>
        <v>21.9500000000007</v>
      </c>
      <c r="G163" s="43" t="n">
        <f aca="false">SUMIFS(Cleaned_Futures_Data!$J$2:$J$756,Cleaned_Futures_Data!$B$2:$B$756,A163,Cleaned_Futures_Data!$W$2:$W$756,1)</f>
        <v>97029</v>
      </c>
      <c r="H163" s="43" t="n">
        <f aca="false">SUMIFS(Cleaned_Futures_Data!$L$2:$L$756,Cleaned_Futures_Data!$B$2:$B$756,A163,Cleaned_Futures_Data!$W$2:$W$756,1)</f>
        <v>11033400</v>
      </c>
      <c r="I163" s="43" t="n">
        <f aca="false">SUMIFS(Cleaned_Futures_Data!$J$2:$J$756,Cleaned_Futures_Data!$B$2:$B$756,A163)</f>
        <v>160158</v>
      </c>
    </row>
    <row r="164" customFormat="false" ht="15" hidden="false" customHeight="true" outlineLevel="0" collapsed="false">
      <c r="A164" s="39" t="n">
        <v>45895</v>
      </c>
      <c r="B164" s="39" t="n">
        <f aca="false">_xlfn.MINIFS(Cleaned_Futures_Data!$C$2:$C$756,Cleaned_Futures_Data!$B$2:$B$756,A164)</f>
        <v>45897</v>
      </c>
      <c r="C164" s="40" t="n">
        <f aca="false">B164-A164</f>
        <v>2</v>
      </c>
      <c r="D164" s="41" t="n">
        <f aca="false">IFERROR(AVERAGEIFS(Cleaned_Futures_Data!$G$2:$G$756,Cleaned_Futures_Data!$B$2:$B$756,A164,Cleaned_Futures_Data!$W$2:$W$756,1),"")</f>
        <v>24731.5</v>
      </c>
      <c r="E164" s="41" t="n">
        <f aca="false">IFERROR(AVERAGEIFS(Cleaned_Futures_Data!$N$2:$N$756,Cleaned_Futures_Data!$B$2:$B$756,A164,Cleaned_Futures_Data!$W$2:$W$756,1),"")</f>
        <v>24712.05</v>
      </c>
      <c r="F164" s="42" t="n">
        <f aca="false">IF(AND(ISNUMBER(D164),ISNUMBER(E164)),D164-E164,"")</f>
        <v>19.4500000000007</v>
      </c>
      <c r="G164" s="43" t="n">
        <f aca="false">SUMIFS(Cleaned_Futures_Data!$J$2:$J$756,Cleaned_Futures_Data!$B$2:$B$756,A164,Cleaned_Futures_Data!$W$2:$W$756,1)</f>
        <v>109864</v>
      </c>
      <c r="H164" s="43" t="n">
        <f aca="false">SUMIFS(Cleaned_Futures_Data!$L$2:$L$756,Cleaned_Futures_Data!$B$2:$B$756,A164,Cleaned_Futures_Data!$W$2:$W$756,1)</f>
        <v>6923325</v>
      </c>
      <c r="I164" s="43" t="n">
        <f aca="false">SUMIFS(Cleaned_Futures_Data!$J$2:$J$756,Cleaned_Futures_Data!$B$2:$B$756,A164)</f>
        <v>220520</v>
      </c>
    </row>
    <row r="165" customFormat="false" ht="15" hidden="false" customHeight="true" outlineLevel="0" collapsed="false">
      <c r="A165" s="39" t="n">
        <v>45897</v>
      </c>
      <c r="B165" s="39" t="n">
        <f aca="false">_xlfn.MINIFS(Cleaned_Futures_Data!$C$2:$C$756,Cleaned_Futures_Data!$B$2:$B$756,A165)</f>
        <v>45897</v>
      </c>
      <c r="C165" s="40" t="n">
        <f aca="false">B165-A165</f>
        <v>0</v>
      </c>
      <c r="D165" s="41" t="n">
        <f aca="false">IFERROR(AVERAGEIFS(Cleaned_Futures_Data!$G$2:$G$756,Cleaned_Futures_Data!$B$2:$B$756,A165,Cleaned_Futures_Data!$W$2:$W$756,1),"")</f>
        <v>24496.3</v>
      </c>
      <c r="E165" s="41" t="n">
        <f aca="false">IFERROR(AVERAGEIFS(Cleaned_Futures_Data!$N$2:$N$756,Cleaned_Futures_Data!$B$2:$B$756,A165,Cleaned_Futures_Data!$W$2:$W$756,1),"")</f>
        <v>24500.9</v>
      </c>
      <c r="F165" s="42" t="n">
        <f aca="false">IF(AND(ISNUMBER(D165),ISNUMBER(E165)),D165-E165,"")</f>
        <v>-4.60000000000218</v>
      </c>
      <c r="G165" s="43" t="n">
        <f aca="false">SUMIFS(Cleaned_Futures_Data!$J$2:$J$756,Cleaned_Futures_Data!$B$2:$B$756,A165,Cleaned_Futures_Data!$W$2:$W$756,1)</f>
        <v>93734</v>
      </c>
      <c r="H165" s="43" t="n">
        <f aca="false">SUMIFS(Cleaned_Futures_Data!$L$2:$L$756,Cleaned_Futures_Data!$B$2:$B$756,A165,Cleaned_Futures_Data!$W$2:$W$756,1)</f>
        <v>3311925</v>
      </c>
      <c r="I165" s="43" t="n">
        <f aca="false">SUMIFS(Cleaned_Futures_Data!$J$2:$J$756,Cleaned_Futures_Data!$B$2:$B$756,A165)</f>
        <v>221969</v>
      </c>
    </row>
    <row r="166" customFormat="false" ht="15" hidden="false" customHeight="true" outlineLevel="0" collapsed="false">
      <c r="A166" s="39" t="n">
        <v>45898</v>
      </c>
      <c r="B166" s="39" t="n">
        <f aca="false">_xlfn.MINIFS(Cleaned_Futures_Data!$C$2:$C$756,Cleaned_Futures_Data!$B$2:$B$756,A166)</f>
        <v>45930</v>
      </c>
      <c r="C166" s="40" t="n">
        <f aca="false">B166-A166</f>
        <v>32</v>
      </c>
      <c r="D166" s="41" t="n">
        <f aca="false">IFERROR(AVERAGEIFS(Cleaned_Futures_Data!$G$2:$G$756,Cleaned_Futures_Data!$B$2:$B$756,A166,Cleaned_Futures_Data!$W$2:$W$756,1),"")</f>
        <v>24568.5</v>
      </c>
      <c r="E166" s="41" t="n">
        <f aca="false">IFERROR(AVERAGEIFS(Cleaned_Futures_Data!$N$2:$N$756,Cleaned_Futures_Data!$B$2:$B$756,A166,Cleaned_Futures_Data!$W$2:$W$756,1),"")</f>
        <v>24426.85</v>
      </c>
      <c r="F166" s="42" t="n">
        <f aca="false">IF(AND(ISNUMBER(D166),ISNUMBER(E166)),D166-E166,"")</f>
        <v>141.650000000001</v>
      </c>
      <c r="G166" s="43" t="n">
        <f aca="false">SUMIFS(Cleaned_Futures_Data!$J$2:$J$756,Cleaned_Futures_Data!$B$2:$B$756,A166,Cleaned_Futures_Data!$W$2:$W$756,1)</f>
        <v>68731</v>
      </c>
      <c r="H166" s="43" t="n">
        <f aca="false">SUMIFS(Cleaned_Futures_Data!$L$2:$L$756,Cleaned_Futures_Data!$B$2:$B$756,A166,Cleaned_Futures_Data!$W$2:$W$756,1)</f>
        <v>16610100</v>
      </c>
      <c r="I166" s="43" t="n">
        <f aca="false">SUMIFS(Cleaned_Futures_Data!$J$2:$J$756,Cleaned_Futures_Data!$B$2:$B$756,A166)</f>
        <v>75374</v>
      </c>
    </row>
    <row r="167" customFormat="false" ht="15" hidden="false" customHeight="true" outlineLevel="0" collapsed="false">
      <c r="A167" s="39" t="n">
        <v>45901</v>
      </c>
      <c r="B167" s="39" t="n">
        <f aca="false">_xlfn.MINIFS(Cleaned_Futures_Data!$C$2:$C$756,Cleaned_Futures_Data!$B$2:$B$756,A167)</f>
        <v>45930</v>
      </c>
      <c r="C167" s="40" t="n">
        <f aca="false">B167-A167</f>
        <v>29</v>
      </c>
      <c r="D167" s="41" t="n">
        <f aca="false">IFERROR(AVERAGEIFS(Cleaned_Futures_Data!$G$2:$G$756,Cleaned_Futures_Data!$B$2:$B$756,A167,Cleaned_Futures_Data!$W$2:$W$756,1),"")</f>
        <v>24748</v>
      </c>
      <c r="E167" s="41" t="n">
        <f aca="false">IFERROR(AVERAGEIFS(Cleaned_Futures_Data!$N$2:$N$756,Cleaned_Futures_Data!$B$2:$B$756,A167,Cleaned_Futures_Data!$W$2:$W$756,1),"")</f>
        <v>24625.05</v>
      </c>
      <c r="F167" s="42" t="n">
        <f aca="false">IF(AND(ISNUMBER(D167),ISNUMBER(E167)),D167-E167,"")</f>
        <v>122.950000000001</v>
      </c>
      <c r="G167" s="43" t="n">
        <f aca="false">SUMIFS(Cleaned_Futures_Data!$J$2:$J$756,Cleaned_Futures_Data!$B$2:$B$756,A167,Cleaned_Futures_Data!$W$2:$W$756,1)</f>
        <v>52140</v>
      </c>
      <c r="H167" s="43" t="n">
        <f aca="false">SUMIFS(Cleaned_Futures_Data!$L$2:$L$756,Cleaned_Futures_Data!$B$2:$B$756,A167,Cleaned_Futures_Data!$W$2:$W$756,1)</f>
        <v>16621050</v>
      </c>
      <c r="I167" s="43" t="n">
        <f aca="false">SUMIFS(Cleaned_Futures_Data!$J$2:$J$756,Cleaned_Futures_Data!$B$2:$B$756,A167)</f>
        <v>56463</v>
      </c>
    </row>
    <row r="168" customFormat="false" ht="15" hidden="false" customHeight="true" outlineLevel="0" collapsed="false">
      <c r="A168" s="39" t="n">
        <v>45902</v>
      </c>
      <c r="B168" s="39" t="n">
        <f aca="false">_xlfn.MINIFS(Cleaned_Futures_Data!$C$2:$C$756,Cleaned_Futures_Data!$B$2:$B$756,A168)</f>
        <v>45930</v>
      </c>
      <c r="C168" s="40" t="n">
        <f aca="false">B168-A168</f>
        <v>28</v>
      </c>
      <c r="D168" s="41" t="n">
        <f aca="false">IFERROR(AVERAGEIFS(Cleaned_Futures_Data!$G$2:$G$756,Cleaned_Futures_Data!$B$2:$B$756,A168,Cleaned_Futures_Data!$W$2:$W$756,1),"")</f>
        <v>24691.8</v>
      </c>
      <c r="E168" s="41" t="n">
        <f aca="false">IFERROR(AVERAGEIFS(Cleaned_Futures_Data!$N$2:$N$756,Cleaned_Futures_Data!$B$2:$B$756,A168,Cleaned_Futures_Data!$W$2:$W$756,1),"")</f>
        <v>24579.6</v>
      </c>
      <c r="F168" s="42" t="n">
        <f aca="false">IF(AND(ISNUMBER(D168),ISNUMBER(E168)),D168-E168,"")</f>
        <v>112.200000000001</v>
      </c>
      <c r="G168" s="43" t="n">
        <f aca="false">SUMIFS(Cleaned_Futures_Data!$J$2:$J$756,Cleaned_Futures_Data!$B$2:$B$756,A168,Cleaned_Futures_Data!$W$2:$W$756,1)</f>
        <v>74911</v>
      </c>
      <c r="H168" s="43" t="n">
        <f aca="false">SUMIFS(Cleaned_Futures_Data!$L$2:$L$756,Cleaned_Futures_Data!$B$2:$B$756,A168,Cleaned_Futures_Data!$W$2:$W$756,1)</f>
        <v>16496325</v>
      </c>
      <c r="I168" s="43" t="n">
        <f aca="false">SUMIFS(Cleaned_Futures_Data!$J$2:$J$756,Cleaned_Futures_Data!$B$2:$B$756,A168)</f>
        <v>82807</v>
      </c>
    </row>
    <row r="169" customFormat="false" ht="15" hidden="false" customHeight="true" outlineLevel="0" collapsed="false">
      <c r="A169" s="39" t="n">
        <v>45903</v>
      </c>
      <c r="B169" s="39" t="n">
        <f aca="false">_xlfn.MINIFS(Cleaned_Futures_Data!$C$2:$C$756,Cleaned_Futures_Data!$B$2:$B$756,A169)</f>
        <v>45930</v>
      </c>
      <c r="C169" s="40" t="n">
        <f aca="false">B169-A169</f>
        <v>27</v>
      </c>
      <c r="D169" s="41" t="n">
        <f aca="false">IFERROR(AVERAGEIFS(Cleaned_Futures_Data!$G$2:$G$756,Cleaned_Futures_Data!$B$2:$B$756,A169,Cleaned_Futures_Data!$W$2:$W$756,1),"")</f>
        <v>24813.1</v>
      </c>
      <c r="E169" s="41" t="n">
        <f aca="false">IFERROR(AVERAGEIFS(Cleaned_Futures_Data!$N$2:$N$756,Cleaned_Futures_Data!$B$2:$B$756,A169,Cleaned_Futures_Data!$W$2:$W$756,1),"")</f>
        <v>24715.05</v>
      </c>
      <c r="F169" s="42" t="n">
        <f aca="false">IF(AND(ISNUMBER(D169),ISNUMBER(E169)),D169-E169,"")</f>
        <v>98.0499999999993</v>
      </c>
      <c r="G169" s="43" t="n">
        <f aca="false">SUMIFS(Cleaned_Futures_Data!$J$2:$J$756,Cleaned_Futures_Data!$B$2:$B$756,A169,Cleaned_Futures_Data!$W$2:$W$756,1)</f>
        <v>56469</v>
      </c>
      <c r="H169" s="43" t="n">
        <f aca="false">SUMIFS(Cleaned_Futures_Data!$L$2:$L$756,Cleaned_Futures_Data!$B$2:$B$756,A169,Cleaned_Futures_Data!$W$2:$W$756,1)</f>
        <v>16501875</v>
      </c>
      <c r="I169" s="43" t="n">
        <f aca="false">SUMIFS(Cleaned_Futures_Data!$J$2:$J$756,Cleaned_Futures_Data!$B$2:$B$756,A169)</f>
        <v>60548</v>
      </c>
    </row>
    <row r="170" customFormat="false" ht="15" hidden="false" customHeight="true" outlineLevel="0" collapsed="false">
      <c r="A170" s="39" t="n">
        <v>45904</v>
      </c>
      <c r="B170" s="39" t="n">
        <f aca="false">_xlfn.MINIFS(Cleaned_Futures_Data!$C$2:$C$756,Cleaned_Futures_Data!$B$2:$B$756,A170)</f>
        <v>45930</v>
      </c>
      <c r="C170" s="40" t="n">
        <f aca="false">B170-A170</f>
        <v>26</v>
      </c>
      <c r="D170" s="41" t="n">
        <f aca="false">IFERROR(AVERAGEIFS(Cleaned_Futures_Data!$G$2:$G$756,Cleaned_Futures_Data!$B$2:$B$756,A170,Cleaned_Futures_Data!$W$2:$W$756,1),"")</f>
        <v>24827.5</v>
      </c>
      <c r="E170" s="41" t="n">
        <f aca="false">IFERROR(AVERAGEIFS(Cleaned_Futures_Data!$N$2:$N$756,Cleaned_Futures_Data!$B$2:$B$756,A170,Cleaned_Futures_Data!$W$2:$W$756,1),"")</f>
        <v>24734.3</v>
      </c>
      <c r="F170" s="42" t="n">
        <f aca="false">IF(AND(ISNUMBER(D170),ISNUMBER(E170)),D170-E170,"")</f>
        <v>93.2000000000007</v>
      </c>
      <c r="G170" s="43" t="n">
        <f aca="false">SUMIFS(Cleaned_Futures_Data!$J$2:$J$756,Cleaned_Futures_Data!$B$2:$B$756,A170,Cleaned_Futures_Data!$W$2:$W$756,1)</f>
        <v>82951</v>
      </c>
      <c r="H170" s="43" t="n">
        <f aca="false">SUMIFS(Cleaned_Futures_Data!$L$2:$L$756,Cleaned_Futures_Data!$B$2:$B$756,A170,Cleaned_Futures_Data!$W$2:$W$756,1)</f>
        <v>16957875</v>
      </c>
      <c r="I170" s="43" t="n">
        <f aca="false">SUMIFS(Cleaned_Futures_Data!$J$2:$J$756,Cleaned_Futures_Data!$B$2:$B$756,A170)</f>
        <v>89408</v>
      </c>
    </row>
    <row r="171" customFormat="false" ht="15" hidden="false" customHeight="true" outlineLevel="0" collapsed="false">
      <c r="A171" s="39" t="n">
        <v>45905</v>
      </c>
      <c r="B171" s="39" t="n">
        <f aca="false">_xlfn.MINIFS(Cleaned_Futures_Data!$C$2:$C$756,Cleaned_Futures_Data!$B$2:$B$756,A171)</f>
        <v>45930</v>
      </c>
      <c r="C171" s="40" t="n">
        <f aca="false">B171-A171</f>
        <v>25</v>
      </c>
      <c r="D171" s="41" t="n">
        <f aca="false">IFERROR(AVERAGEIFS(Cleaned_Futures_Data!$G$2:$G$756,Cleaned_Futures_Data!$B$2:$B$756,A171,Cleaned_Futures_Data!$W$2:$W$756,1),"")</f>
        <v>24847.7</v>
      </c>
      <c r="E171" s="41" t="n">
        <f aca="false">IFERROR(AVERAGEIFS(Cleaned_Futures_Data!$N$2:$N$756,Cleaned_Futures_Data!$B$2:$B$756,A171,Cleaned_Futures_Data!$W$2:$W$756,1),"")</f>
        <v>24741</v>
      </c>
      <c r="F171" s="42" t="n">
        <f aca="false">IF(AND(ISNUMBER(D171),ISNUMBER(E171)),D171-E171,"")</f>
        <v>106.700000000001</v>
      </c>
      <c r="G171" s="43" t="n">
        <f aca="false">SUMIFS(Cleaned_Futures_Data!$J$2:$J$756,Cleaned_Futures_Data!$B$2:$B$756,A171,Cleaned_Futures_Data!$W$2:$W$756,1)</f>
        <v>73802</v>
      </c>
      <c r="H171" s="43" t="n">
        <f aca="false">SUMIFS(Cleaned_Futures_Data!$L$2:$L$756,Cleaned_Futures_Data!$B$2:$B$756,A171,Cleaned_Futures_Data!$W$2:$W$756,1)</f>
        <v>17097750</v>
      </c>
      <c r="I171" s="43" t="n">
        <f aca="false">SUMIFS(Cleaned_Futures_Data!$J$2:$J$756,Cleaned_Futures_Data!$B$2:$B$756,A171)</f>
        <v>79527</v>
      </c>
    </row>
    <row r="172" customFormat="false" ht="15" hidden="false" customHeight="true" outlineLevel="0" collapsed="false">
      <c r="A172" s="39" t="n">
        <v>45908</v>
      </c>
      <c r="B172" s="39" t="n">
        <f aca="false">_xlfn.MINIFS(Cleaned_Futures_Data!$C$2:$C$756,Cleaned_Futures_Data!$B$2:$B$756,A172)</f>
        <v>45930</v>
      </c>
      <c r="C172" s="40" t="n">
        <f aca="false">B172-A172</f>
        <v>22</v>
      </c>
      <c r="D172" s="41" t="n">
        <f aca="false">IFERROR(AVERAGEIFS(Cleaned_Futures_Data!$G$2:$G$756,Cleaned_Futures_Data!$B$2:$B$756,A172,Cleaned_Futures_Data!$W$2:$W$756,1),"")</f>
        <v>24892.7</v>
      </c>
      <c r="E172" s="41" t="n">
        <f aca="false">IFERROR(AVERAGEIFS(Cleaned_Futures_Data!$N$2:$N$756,Cleaned_Futures_Data!$B$2:$B$756,A172,Cleaned_Futures_Data!$W$2:$W$756,1),"")</f>
        <v>24773.15</v>
      </c>
      <c r="F172" s="42" t="n">
        <f aca="false">IF(AND(ISNUMBER(D172),ISNUMBER(E172)),D172-E172,"")</f>
        <v>119.549999999999</v>
      </c>
      <c r="G172" s="43" t="n">
        <f aca="false">SUMIFS(Cleaned_Futures_Data!$J$2:$J$756,Cleaned_Futures_Data!$B$2:$B$756,A172,Cleaned_Futures_Data!$W$2:$W$756,1)</f>
        <v>59664</v>
      </c>
      <c r="H172" s="43" t="n">
        <f aca="false">SUMIFS(Cleaned_Futures_Data!$L$2:$L$756,Cleaned_Futures_Data!$B$2:$B$756,A172,Cleaned_Futures_Data!$W$2:$W$756,1)</f>
        <v>16973250</v>
      </c>
      <c r="I172" s="43" t="n">
        <f aca="false">SUMIFS(Cleaned_Futures_Data!$J$2:$J$756,Cleaned_Futures_Data!$B$2:$B$756,A172)</f>
        <v>65644</v>
      </c>
    </row>
    <row r="173" customFormat="false" ht="15" hidden="false" customHeight="true" outlineLevel="0" collapsed="false">
      <c r="A173" s="39" t="n">
        <v>45909</v>
      </c>
      <c r="B173" s="39" t="n">
        <f aca="false">_xlfn.MINIFS(Cleaned_Futures_Data!$C$2:$C$756,Cleaned_Futures_Data!$B$2:$B$756,A173)</f>
        <v>45930</v>
      </c>
      <c r="C173" s="40" t="n">
        <f aca="false">B173-A173</f>
        <v>21</v>
      </c>
      <c r="D173" s="41" t="n">
        <f aca="false">IFERROR(AVERAGEIFS(Cleaned_Futures_Data!$G$2:$G$756,Cleaned_Futures_Data!$B$2:$B$756,A173,Cleaned_Futures_Data!$W$2:$W$756,1),"")</f>
        <v>24950.3</v>
      </c>
      <c r="E173" s="41" t="n">
        <f aca="false">IFERROR(AVERAGEIFS(Cleaned_Futures_Data!$N$2:$N$756,Cleaned_Futures_Data!$B$2:$B$756,A173,Cleaned_Futures_Data!$W$2:$W$756,1),"")</f>
        <v>24868.6</v>
      </c>
      <c r="F173" s="42" t="n">
        <f aca="false">IF(AND(ISNUMBER(D173),ISNUMBER(E173)),D173-E173,"")</f>
        <v>81.7000000000007</v>
      </c>
      <c r="G173" s="43" t="n">
        <f aca="false">SUMIFS(Cleaned_Futures_Data!$J$2:$J$756,Cleaned_Futures_Data!$B$2:$B$756,A173,Cleaned_Futures_Data!$W$2:$W$756,1)</f>
        <v>37069</v>
      </c>
      <c r="H173" s="43" t="n">
        <f aca="false">SUMIFS(Cleaned_Futures_Data!$L$2:$L$756,Cleaned_Futures_Data!$B$2:$B$756,A173,Cleaned_Futures_Data!$W$2:$W$756,1)</f>
        <v>16931550</v>
      </c>
      <c r="I173" s="43" t="n">
        <f aca="false">SUMIFS(Cleaned_Futures_Data!$J$2:$J$756,Cleaned_Futures_Data!$B$2:$B$756,A173)</f>
        <v>40300</v>
      </c>
    </row>
    <row r="174" customFormat="false" ht="15" hidden="false" customHeight="true" outlineLevel="0" collapsed="false">
      <c r="A174" s="39" t="n">
        <v>45910</v>
      </c>
      <c r="B174" s="39" t="n">
        <f aca="false">_xlfn.MINIFS(Cleaned_Futures_Data!$C$2:$C$756,Cleaned_Futures_Data!$B$2:$B$756,A174)</f>
        <v>45930</v>
      </c>
      <c r="C174" s="40" t="n">
        <f aca="false">B174-A174</f>
        <v>20</v>
      </c>
      <c r="D174" s="41" t="n">
        <f aca="false">IFERROR(AVERAGEIFS(Cleaned_Futures_Data!$G$2:$G$756,Cleaned_Futures_Data!$B$2:$B$756,A174,Cleaned_Futures_Data!$W$2:$W$756,1),"")</f>
        <v>25072.3</v>
      </c>
      <c r="E174" s="41" t="n">
        <f aca="false">IFERROR(AVERAGEIFS(Cleaned_Futures_Data!$N$2:$N$756,Cleaned_Futures_Data!$B$2:$B$756,A174,Cleaned_Futures_Data!$W$2:$W$756,1),"")</f>
        <v>24973.1</v>
      </c>
      <c r="F174" s="42" t="n">
        <f aca="false">IF(AND(ISNUMBER(D174),ISNUMBER(E174)),D174-E174,"")</f>
        <v>99.2000000000007</v>
      </c>
      <c r="G174" s="43" t="n">
        <f aca="false">SUMIFS(Cleaned_Futures_Data!$J$2:$J$756,Cleaned_Futures_Data!$B$2:$B$756,A174,Cleaned_Futures_Data!$W$2:$W$756,1)</f>
        <v>66128</v>
      </c>
      <c r="H174" s="43" t="n">
        <f aca="false">SUMIFS(Cleaned_Futures_Data!$L$2:$L$756,Cleaned_Futures_Data!$B$2:$B$756,A174,Cleaned_Futures_Data!$W$2:$W$756,1)</f>
        <v>17231025</v>
      </c>
      <c r="I174" s="43" t="n">
        <f aca="false">SUMIFS(Cleaned_Futures_Data!$J$2:$J$756,Cleaned_Futures_Data!$B$2:$B$756,A174)</f>
        <v>72836</v>
      </c>
    </row>
    <row r="175" customFormat="false" ht="15" hidden="false" customHeight="true" outlineLevel="0" collapsed="false">
      <c r="A175" s="39" t="n">
        <v>45911</v>
      </c>
      <c r="B175" s="39" t="n">
        <f aca="false">_xlfn.MINIFS(Cleaned_Futures_Data!$C$2:$C$756,Cleaned_Futures_Data!$B$2:$B$756,A175)</f>
        <v>45930</v>
      </c>
      <c r="C175" s="40" t="n">
        <f aca="false">B175-A175</f>
        <v>19</v>
      </c>
      <c r="D175" s="41" t="n">
        <f aca="false">IFERROR(AVERAGEIFS(Cleaned_Futures_Data!$G$2:$G$756,Cleaned_Futures_Data!$B$2:$B$756,A175,Cleaned_Futures_Data!$W$2:$W$756,1),"")</f>
        <v>25104.5</v>
      </c>
      <c r="E175" s="41" t="n">
        <f aca="false">IFERROR(AVERAGEIFS(Cleaned_Futures_Data!$N$2:$N$756,Cleaned_Futures_Data!$B$2:$B$756,A175,Cleaned_Futures_Data!$W$2:$W$756,1),"")</f>
        <v>25005.5</v>
      </c>
      <c r="F175" s="42" t="n">
        <f aca="false">IF(AND(ISNUMBER(D175),ISNUMBER(E175)),D175-E175,"")</f>
        <v>99</v>
      </c>
      <c r="G175" s="43" t="n">
        <f aca="false">SUMIFS(Cleaned_Futures_Data!$J$2:$J$756,Cleaned_Futures_Data!$B$2:$B$756,A175,Cleaned_Futures_Data!$W$2:$W$756,1)</f>
        <v>28561</v>
      </c>
      <c r="H175" s="43" t="n">
        <f aca="false">SUMIFS(Cleaned_Futures_Data!$L$2:$L$756,Cleaned_Futures_Data!$B$2:$B$756,A175,Cleaned_Futures_Data!$W$2:$W$756,1)</f>
        <v>17062725</v>
      </c>
      <c r="I175" s="43" t="n">
        <f aca="false">SUMIFS(Cleaned_Futures_Data!$J$2:$J$756,Cleaned_Futures_Data!$B$2:$B$756,A175)</f>
        <v>31710</v>
      </c>
    </row>
    <row r="176" customFormat="false" ht="15" hidden="false" customHeight="true" outlineLevel="0" collapsed="false">
      <c r="A176" s="39" t="n">
        <v>45912</v>
      </c>
      <c r="B176" s="39" t="n">
        <f aca="false">_xlfn.MINIFS(Cleaned_Futures_Data!$C$2:$C$756,Cleaned_Futures_Data!$B$2:$B$756,A176)</f>
        <v>45930</v>
      </c>
      <c r="C176" s="40" t="n">
        <f aca="false">B176-A176</f>
        <v>18</v>
      </c>
      <c r="D176" s="41" t="n">
        <f aca="false">IFERROR(AVERAGEIFS(Cleaned_Futures_Data!$G$2:$G$756,Cleaned_Futures_Data!$B$2:$B$756,A176,Cleaned_Futures_Data!$W$2:$W$756,1),"")</f>
        <v>25205</v>
      </c>
      <c r="E176" s="41" t="n">
        <f aca="false">IFERROR(AVERAGEIFS(Cleaned_Futures_Data!$N$2:$N$756,Cleaned_Futures_Data!$B$2:$B$756,A176,Cleaned_Futures_Data!$W$2:$W$756,1),"")</f>
        <v>25114</v>
      </c>
      <c r="F176" s="42" t="n">
        <f aca="false">IF(AND(ISNUMBER(D176),ISNUMBER(E176)),D176-E176,"")</f>
        <v>91</v>
      </c>
      <c r="G176" s="43" t="n">
        <f aca="false">SUMIFS(Cleaned_Futures_Data!$J$2:$J$756,Cleaned_Futures_Data!$B$2:$B$756,A176,Cleaned_Futures_Data!$W$2:$W$756,1)</f>
        <v>41583</v>
      </c>
      <c r="H176" s="43" t="n">
        <f aca="false">SUMIFS(Cleaned_Futures_Data!$L$2:$L$756,Cleaned_Futures_Data!$B$2:$B$756,A176,Cleaned_Futures_Data!$W$2:$W$756,1)</f>
        <v>16637775</v>
      </c>
      <c r="I176" s="43" t="n">
        <f aca="false">SUMIFS(Cleaned_Futures_Data!$J$2:$J$756,Cleaned_Futures_Data!$B$2:$B$756,A176)</f>
        <v>47267</v>
      </c>
    </row>
    <row r="177" customFormat="false" ht="15" hidden="false" customHeight="true" outlineLevel="0" collapsed="false">
      <c r="A177" s="39" t="n">
        <v>45915</v>
      </c>
      <c r="B177" s="39" t="n">
        <f aca="false">_xlfn.MINIFS(Cleaned_Futures_Data!$C$2:$C$756,Cleaned_Futures_Data!$B$2:$B$756,A177)</f>
        <v>45930</v>
      </c>
      <c r="C177" s="40" t="n">
        <f aca="false">B177-A177</f>
        <v>15</v>
      </c>
      <c r="D177" s="41" t="n">
        <f aca="false">IFERROR(AVERAGEIFS(Cleaned_Futures_Data!$G$2:$G$756,Cleaned_Futures_Data!$B$2:$B$756,A177,Cleaned_Futures_Data!$W$2:$W$756,1),"")</f>
        <v>25164.7</v>
      </c>
      <c r="E177" s="41" t="n">
        <f aca="false">IFERROR(AVERAGEIFS(Cleaned_Futures_Data!$N$2:$N$756,Cleaned_Futures_Data!$B$2:$B$756,A177,Cleaned_Futures_Data!$W$2:$W$756,1),"")</f>
        <v>25069.2</v>
      </c>
      <c r="F177" s="42" t="n">
        <f aca="false">IF(AND(ISNUMBER(D177),ISNUMBER(E177)),D177-E177,"")</f>
        <v>95.5</v>
      </c>
      <c r="G177" s="43" t="n">
        <f aca="false">SUMIFS(Cleaned_Futures_Data!$J$2:$J$756,Cleaned_Futures_Data!$B$2:$B$756,A177,Cleaned_Futures_Data!$W$2:$W$756,1)</f>
        <v>34301</v>
      </c>
      <c r="H177" s="43" t="n">
        <f aca="false">SUMIFS(Cleaned_Futures_Data!$L$2:$L$756,Cleaned_Futures_Data!$B$2:$B$756,A177,Cleaned_Futures_Data!$W$2:$W$756,1)</f>
        <v>16654725</v>
      </c>
      <c r="I177" s="43" t="n">
        <f aca="false">SUMIFS(Cleaned_Futures_Data!$J$2:$J$756,Cleaned_Futures_Data!$B$2:$B$756,A177)</f>
        <v>37881</v>
      </c>
    </row>
    <row r="178" customFormat="false" ht="15" hidden="false" customHeight="true" outlineLevel="0" collapsed="false">
      <c r="A178" s="39" t="n">
        <v>45916</v>
      </c>
      <c r="B178" s="39" t="n">
        <f aca="false">_xlfn.MINIFS(Cleaned_Futures_Data!$C$2:$C$756,Cleaned_Futures_Data!$B$2:$B$756,A178)</f>
        <v>45930</v>
      </c>
      <c r="C178" s="40" t="n">
        <f aca="false">B178-A178</f>
        <v>14</v>
      </c>
      <c r="D178" s="41" t="n">
        <f aca="false">IFERROR(AVERAGEIFS(Cleaned_Futures_Data!$G$2:$G$756,Cleaned_Futures_Data!$B$2:$B$756,A178,Cleaned_Futures_Data!$W$2:$W$756,1),"")</f>
        <v>25331.4</v>
      </c>
      <c r="E178" s="41" t="n">
        <f aca="false">IFERROR(AVERAGEIFS(Cleaned_Futures_Data!$N$2:$N$756,Cleaned_Futures_Data!$B$2:$B$756,A178,Cleaned_Futures_Data!$W$2:$W$756,1),"")</f>
        <v>25239.1</v>
      </c>
      <c r="F178" s="42" t="n">
        <f aca="false">IF(AND(ISNUMBER(D178),ISNUMBER(E178)),D178-E178,"")</f>
        <v>92.3000000000029</v>
      </c>
      <c r="G178" s="43" t="n">
        <f aca="false">SUMIFS(Cleaned_Futures_Data!$J$2:$J$756,Cleaned_Futures_Data!$B$2:$B$756,A178,Cleaned_Futures_Data!$W$2:$W$756,1)</f>
        <v>60109</v>
      </c>
      <c r="H178" s="43" t="n">
        <f aca="false">SUMIFS(Cleaned_Futures_Data!$L$2:$L$756,Cleaned_Futures_Data!$B$2:$B$756,A178,Cleaned_Futures_Data!$W$2:$W$756,1)</f>
        <v>16082100</v>
      </c>
      <c r="I178" s="43" t="n">
        <f aca="false">SUMIFS(Cleaned_Futures_Data!$J$2:$J$756,Cleaned_Futures_Data!$B$2:$B$756,A178)</f>
        <v>69400</v>
      </c>
    </row>
    <row r="179" customFormat="false" ht="15" hidden="false" customHeight="true" outlineLevel="0" collapsed="false">
      <c r="A179" s="39" t="n">
        <v>45917</v>
      </c>
      <c r="B179" s="39" t="n">
        <f aca="false">_xlfn.MINIFS(Cleaned_Futures_Data!$C$2:$C$756,Cleaned_Futures_Data!$B$2:$B$756,A179)</f>
        <v>45930</v>
      </c>
      <c r="C179" s="40" t="n">
        <f aca="false">B179-A179</f>
        <v>13</v>
      </c>
      <c r="D179" s="41" t="n">
        <f aca="false">IFERROR(AVERAGEIFS(Cleaned_Futures_Data!$G$2:$G$756,Cleaned_Futures_Data!$B$2:$B$756,A179,Cleaned_Futures_Data!$W$2:$W$756,1),"")</f>
        <v>25423.4</v>
      </c>
      <c r="E179" s="41" t="n">
        <f aca="false">IFERROR(AVERAGEIFS(Cleaned_Futures_Data!$N$2:$N$756,Cleaned_Futures_Data!$B$2:$B$756,A179,Cleaned_Futures_Data!$W$2:$W$756,1),"")</f>
        <v>25330.25</v>
      </c>
      <c r="F179" s="42" t="n">
        <f aca="false">IF(AND(ISNUMBER(D179),ISNUMBER(E179)),D179-E179,"")</f>
        <v>93.1500000000015</v>
      </c>
      <c r="G179" s="43" t="n">
        <f aca="false">SUMIFS(Cleaned_Futures_Data!$J$2:$J$756,Cleaned_Futures_Data!$B$2:$B$756,A179,Cleaned_Futures_Data!$W$2:$W$756,1)</f>
        <v>44598</v>
      </c>
      <c r="H179" s="43" t="n">
        <f aca="false">SUMIFS(Cleaned_Futures_Data!$L$2:$L$756,Cleaned_Futures_Data!$B$2:$B$756,A179,Cleaned_Futures_Data!$W$2:$W$756,1)</f>
        <v>15695850</v>
      </c>
      <c r="I179" s="43" t="n">
        <f aca="false">SUMIFS(Cleaned_Futures_Data!$J$2:$J$756,Cleaned_Futures_Data!$B$2:$B$756,A179)</f>
        <v>53560</v>
      </c>
    </row>
    <row r="180" customFormat="false" ht="15" hidden="false" customHeight="true" outlineLevel="0" collapsed="false">
      <c r="A180" s="39" t="n">
        <v>45918</v>
      </c>
      <c r="B180" s="39" t="n">
        <f aca="false">_xlfn.MINIFS(Cleaned_Futures_Data!$C$2:$C$756,Cleaned_Futures_Data!$B$2:$B$756,A180)</f>
        <v>45930</v>
      </c>
      <c r="C180" s="40" t="n">
        <f aca="false">B180-A180</f>
        <v>12</v>
      </c>
      <c r="D180" s="41" t="n">
        <f aca="false">IFERROR(AVERAGEIFS(Cleaned_Futures_Data!$G$2:$G$756,Cleaned_Futures_Data!$B$2:$B$756,A180,Cleaned_Futures_Data!$W$2:$W$756,1),"")</f>
        <v>25510.9</v>
      </c>
      <c r="E180" s="41" t="n">
        <f aca="false">IFERROR(AVERAGEIFS(Cleaned_Futures_Data!$N$2:$N$756,Cleaned_Futures_Data!$B$2:$B$756,A180,Cleaned_Futures_Data!$W$2:$W$756,1),"")</f>
        <v>25423.6</v>
      </c>
      <c r="F180" s="42" t="n">
        <f aca="false">IF(AND(ISNUMBER(D180),ISNUMBER(E180)),D180-E180,"")</f>
        <v>87.3000000000029</v>
      </c>
      <c r="G180" s="43" t="n">
        <f aca="false">SUMIFS(Cleaned_Futures_Data!$J$2:$J$756,Cleaned_Futures_Data!$B$2:$B$756,A180,Cleaned_Futures_Data!$W$2:$W$756,1)</f>
        <v>54004</v>
      </c>
      <c r="H180" s="43" t="n">
        <f aca="false">SUMIFS(Cleaned_Futures_Data!$L$2:$L$756,Cleaned_Futures_Data!$B$2:$B$756,A180,Cleaned_Futures_Data!$W$2:$W$756,1)</f>
        <v>15519900</v>
      </c>
      <c r="I180" s="43" t="n">
        <f aca="false">SUMIFS(Cleaned_Futures_Data!$J$2:$J$756,Cleaned_Futures_Data!$B$2:$B$756,A180)</f>
        <v>66221</v>
      </c>
    </row>
    <row r="181" customFormat="false" ht="15" hidden="false" customHeight="true" outlineLevel="0" collapsed="false">
      <c r="A181" s="39" t="n">
        <v>45919</v>
      </c>
      <c r="B181" s="39" t="n">
        <f aca="false">_xlfn.MINIFS(Cleaned_Futures_Data!$C$2:$C$756,Cleaned_Futures_Data!$B$2:$B$756,A181)</f>
        <v>45930</v>
      </c>
      <c r="C181" s="40" t="n">
        <f aca="false">B181-A181</f>
        <v>11</v>
      </c>
      <c r="D181" s="41" t="n">
        <f aca="false">IFERROR(AVERAGEIFS(Cleaned_Futures_Data!$G$2:$G$756,Cleaned_Futures_Data!$B$2:$B$756,A181,Cleaned_Futures_Data!$W$2:$W$756,1),"")</f>
        <v>25411.2</v>
      </c>
      <c r="E181" s="41" t="n">
        <f aca="false">IFERROR(AVERAGEIFS(Cleaned_Futures_Data!$N$2:$N$756,Cleaned_Futures_Data!$B$2:$B$756,A181,Cleaned_Futures_Data!$W$2:$W$756,1),"")</f>
        <v>25327.05</v>
      </c>
      <c r="F181" s="42" t="n">
        <f aca="false">IF(AND(ISNUMBER(D181),ISNUMBER(E181)),D181-E181,"")</f>
        <v>84.1500000000015</v>
      </c>
      <c r="G181" s="43" t="n">
        <f aca="false">SUMIFS(Cleaned_Futures_Data!$J$2:$J$756,Cleaned_Futures_Data!$B$2:$B$756,A181,Cleaned_Futures_Data!$W$2:$W$756,1)</f>
        <v>62987</v>
      </c>
      <c r="H181" s="43" t="n">
        <f aca="false">SUMIFS(Cleaned_Futures_Data!$L$2:$L$756,Cleaned_Futures_Data!$B$2:$B$756,A181,Cleaned_Futures_Data!$W$2:$W$756,1)</f>
        <v>15007275</v>
      </c>
      <c r="I181" s="43" t="n">
        <f aca="false">SUMIFS(Cleaned_Futures_Data!$J$2:$J$756,Cleaned_Futures_Data!$B$2:$B$756,A181)</f>
        <v>76608</v>
      </c>
    </row>
    <row r="182" customFormat="false" ht="15" hidden="false" customHeight="true" outlineLevel="0" collapsed="false">
      <c r="A182" s="39" t="n">
        <v>45922</v>
      </c>
      <c r="B182" s="39" t="n">
        <f aca="false">_xlfn.MINIFS(Cleaned_Futures_Data!$C$2:$C$756,Cleaned_Futures_Data!$B$2:$B$756,A182)</f>
        <v>45930</v>
      </c>
      <c r="C182" s="40" t="n">
        <f aca="false">B182-A182</f>
        <v>8</v>
      </c>
      <c r="D182" s="41" t="n">
        <f aca="false">IFERROR(AVERAGEIFS(Cleaned_Futures_Data!$G$2:$G$756,Cleaned_Futures_Data!$B$2:$B$756,A182,Cleaned_Futures_Data!$W$2:$W$756,1),"")</f>
        <v>25277.7</v>
      </c>
      <c r="E182" s="41" t="n">
        <f aca="false">IFERROR(AVERAGEIFS(Cleaned_Futures_Data!$N$2:$N$756,Cleaned_Futures_Data!$B$2:$B$756,A182,Cleaned_Futures_Data!$W$2:$W$756,1),"")</f>
        <v>25202.35</v>
      </c>
      <c r="F182" s="42" t="n">
        <f aca="false">IF(AND(ISNUMBER(D182),ISNUMBER(E182)),D182-E182,"")</f>
        <v>75.3500000000022</v>
      </c>
      <c r="G182" s="43" t="n">
        <f aca="false">SUMIFS(Cleaned_Futures_Data!$J$2:$J$756,Cleaned_Futures_Data!$B$2:$B$756,A182,Cleaned_Futures_Data!$W$2:$W$756,1)</f>
        <v>51252</v>
      </c>
      <c r="H182" s="43" t="n">
        <f aca="false">SUMIFS(Cleaned_Futures_Data!$L$2:$L$756,Cleaned_Futures_Data!$B$2:$B$756,A182,Cleaned_Futures_Data!$W$2:$W$756,1)</f>
        <v>14757825</v>
      </c>
      <c r="I182" s="43" t="n">
        <f aca="false">SUMIFS(Cleaned_Futures_Data!$J$2:$J$756,Cleaned_Futures_Data!$B$2:$B$756,A182)</f>
        <v>63532</v>
      </c>
    </row>
    <row r="183" customFormat="false" ht="15" hidden="false" customHeight="true" outlineLevel="0" collapsed="false">
      <c r="A183" s="39" t="n">
        <v>45923</v>
      </c>
      <c r="B183" s="39" t="n">
        <f aca="false">_xlfn.MINIFS(Cleaned_Futures_Data!$C$2:$C$756,Cleaned_Futures_Data!$B$2:$B$756,A183)</f>
        <v>45930</v>
      </c>
      <c r="C183" s="40" t="n">
        <f aca="false">B183-A183</f>
        <v>7</v>
      </c>
      <c r="D183" s="41" t="n">
        <f aca="false">IFERROR(AVERAGEIFS(Cleaned_Futures_Data!$G$2:$G$756,Cleaned_Futures_Data!$B$2:$B$756,A183,Cleaned_Futures_Data!$W$2:$W$756,1),"")</f>
        <v>25255.8</v>
      </c>
      <c r="E183" s="41" t="n">
        <f aca="false">IFERROR(AVERAGEIFS(Cleaned_Futures_Data!$N$2:$N$756,Cleaned_Futures_Data!$B$2:$B$756,A183,Cleaned_Futures_Data!$W$2:$W$756,1),"")</f>
        <v>25169.5</v>
      </c>
      <c r="F183" s="42" t="n">
        <f aca="false">IF(AND(ISNUMBER(D183),ISNUMBER(E183)),D183-E183,"")</f>
        <v>86.2999999999993</v>
      </c>
      <c r="G183" s="43" t="n">
        <f aca="false">SUMIFS(Cleaned_Futures_Data!$J$2:$J$756,Cleaned_Futures_Data!$B$2:$B$756,A183,Cleaned_Futures_Data!$W$2:$W$756,1)</f>
        <v>62983</v>
      </c>
      <c r="H183" s="43" t="n">
        <f aca="false">SUMIFS(Cleaned_Futures_Data!$L$2:$L$756,Cleaned_Futures_Data!$B$2:$B$756,A183,Cleaned_Futures_Data!$W$2:$W$756,1)</f>
        <v>14358900</v>
      </c>
      <c r="I183" s="43" t="n">
        <f aca="false">SUMIFS(Cleaned_Futures_Data!$J$2:$J$756,Cleaned_Futures_Data!$B$2:$B$756,A183)</f>
        <v>78725</v>
      </c>
    </row>
    <row r="184" customFormat="false" ht="15" hidden="false" customHeight="true" outlineLevel="0" collapsed="false">
      <c r="A184" s="39" t="n">
        <v>45924</v>
      </c>
      <c r="B184" s="39" t="n">
        <f aca="false">_xlfn.MINIFS(Cleaned_Futures_Data!$C$2:$C$756,Cleaned_Futures_Data!$B$2:$B$756,A184)</f>
        <v>45930</v>
      </c>
      <c r="C184" s="40" t="n">
        <f aca="false">B184-A184</f>
        <v>6</v>
      </c>
      <c r="D184" s="41" t="n">
        <f aca="false">IFERROR(AVERAGEIFS(Cleaned_Futures_Data!$G$2:$G$756,Cleaned_Futures_Data!$B$2:$B$756,A184,Cleaned_Futures_Data!$W$2:$W$756,1),"")</f>
        <v>25111.9</v>
      </c>
      <c r="E184" s="41" t="n">
        <f aca="false">IFERROR(AVERAGEIFS(Cleaned_Futures_Data!$N$2:$N$756,Cleaned_Futures_Data!$B$2:$B$756,A184,Cleaned_Futures_Data!$W$2:$W$756,1),"")</f>
        <v>25056.9</v>
      </c>
      <c r="F184" s="42" t="n">
        <f aca="false">IF(AND(ISNUMBER(D184),ISNUMBER(E184)),D184-E184,"")</f>
        <v>55</v>
      </c>
      <c r="G184" s="43" t="n">
        <f aca="false">SUMIFS(Cleaned_Futures_Data!$J$2:$J$756,Cleaned_Futures_Data!$B$2:$B$756,A184,Cleaned_Futures_Data!$W$2:$W$756,1)</f>
        <v>64471</v>
      </c>
      <c r="H184" s="43" t="n">
        <f aca="false">SUMIFS(Cleaned_Futures_Data!$L$2:$L$756,Cleaned_Futures_Data!$B$2:$B$756,A184,Cleaned_Futures_Data!$W$2:$W$756,1)</f>
        <v>14210700</v>
      </c>
      <c r="I184" s="43" t="n">
        <f aca="false">SUMIFS(Cleaned_Futures_Data!$J$2:$J$756,Cleaned_Futures_Data!$B$2:$B$756,A184)</f>
        <v>89385</v>
      </c>
    </row>
    <row r="185" customFormat="false" ht="15" hidden="false" customHeight="true" outlineLevel="0" collapsed="false">
      <c r="A185" s="39" t="n">
        <v>45925</v>
      </c>
      <c r="B185" s="39" t="n">
        <f aca="false">_xlfn.MINIFS(Cleaned_Futures_Data!$C$2:$C$756,Cleaned_Futures_Data!$B$2:$B$756,A185)</f>
        <v>45930</v>
      </c>
      <c r="C185" s="40" t="n">
        <f aca="false">B185-A185</f>
        <v>5</v>
      </c>
      <c r="D185" s="41" t="n">
        <f aca="false">IFERROR(AVERAGEIFS(Cleaned_Futures_Data!$G$2:$G$756,Cleaned_Futures_Data!$B$2:$B$756,A185,Cleaned_Futures_Data!$W$2:$W$756,1),"")</f>
        <v>24967.7</v>
      </c>
      <c r="E185" s="41" t="n">
        <f aca="false">IFERROR(AVERAGEIFS(Cleaned_Futures_Data!$N$2:$N$756,Cleaned_Futures_Data!$B$2:$B$756,A185,Cleaned_Futures_Data!$W$2:$W$756,1),"")</f>
        <v>24890.85</v>
      </c>
      <c r="F185" s="42" t="n">
        <f aca="false">IF(AND(ISNUMBER(D185),ISNUMBER(E185)),D185-E185,"")</f>
        <v>76.8500000000022</v>
      </c>
      <c r="G185" s="43" t="n">
        <f aca="false">SUMIFS(Cleaned_Futures_Data!$J$2:$J$756,Cleaned_Futures_Data!$B$2:$B$756,A185,Cleaned_Futures_Data!$W$2:$W$756,1)</f>
        <v>77237</v>
      </c>
      <c r="H185" s="43" t="n">
        <f aca="false">SUMIFS(Cleaned_Futures_Data!$L$2:$L$756,Cleaned_Futures_Data!$B$2:$B$756,A185,Cleaned_Futures_Data!$W$2:$W$756,1)</f>
        <v>12505050</v>
      </c>
      <c r="I185" s="43" t="n">
        <f aca="false">SUMIFS(Cleaned_Futures_Data!$J$2:$J$756,Cleaned_Futures_Data!$B$2:$B$756,A185)</f>
        <v>126581</v>
      </c>
    </row>
    <row r="186" customFormat="false" ht="15" hidden="false" customHeight="true" outlineLevel="0" collapsed="false">
      <c r="A186" s="39" t="n">
        <v>45926</v>
      </c>
      <c r="B186" s="39" t="n">
        <f aca="false">_xlfn.MINIFS(Cleaned_Futures_Data!$C$2:$C$756,Cleaned_Futures_Data!$B$2:$B$756,A186)</f>
        <v>45930</v>
      </c>
      <c r="C186" s="40" t="n">
        <f aca="false">B186-A186</f>
        <v>4</v>
      </c>
      <c r="D186" s="41" t="n">
        <f aca="false">IFERROR(AVERAGEIFS(Cleaned_Futures_Data!$G$2:$G$756,Cleaned_Futures_Data!$B$2:$B$756,A186,Cleaned_Futures_Data!$W$2:$W$756,1),"")</f>
        <v>24689.9</v>
      </c>
      <c r="E186" s="41" t="n">
        <f aca="false">IFERROR(AVERAGEIFS(Cleaned_Futures_Data!$N$2:$N$756,Cleaned_Futures_Data!$B$2:$B$756,A186,Cleaned_Futures_Data!$W$2:$W$756,1),"")</f>
        <v>24654.7</v>
      </c>
      <c r="F186" s="42" t="n">
        <f aca="false">IF(AND(ISNUMBER(D186),ISNUMBER(E186)),D186-E186,"")</f>
        <v>35.2000000000007</v>
      </c>
      <c r="G186" s="43" t="n">
        <f aca="false">SUMIFS(Cleaned_Futures_Data!$J$2:$J$756,Cleaned_Futures_Data!$B$2:$B$756,A186,Cleaned_Futures_Data!$W$2:$W$756,1)</f>
        <v>96914</v>
      </c>
      <c r="H186" s="43" t="n">
        <f aca="false">SUMIFS(Cleaned_Futures_Data!$L$2:$L$756,Cleaned_Futures_Data!$B$2:$B$756,A186,Cleaned_Futures_Data!$W$2:$W$756,1)</f>
        <v>9691950</v>
      </c>
      <c r="I186" s="43" t="n">
        <f aca="false">SUMIFS(Cleaned_Futures_Data!$J$2:$J$756,Cleaned_Futures_Data!$B$2:$B$756,A186)</f>
        <v>176598</v>
      </c>
    </row>
    <row r="187" customFormat="false" ht="15" hidden="false" customHeight="true" outlineLevel="0" collapsed="false">
      <c r="A187" s="39" t="n">
        <v>45929</v>
      </c>
      <c r="B187" s="39" t="n">
        <f aca="false">_xlfn.MINIFS(Cleaned_Futures_Data!$C$2:$C$756,Cleaned_Futures_Data!$B$2:$B$756,A187)</f>
        <v>45930</v>
      </c>
      <c r="C187" s="40" t="n">
        <f aca="false">B187-A187</f>
        <v>1</v>
      </c>
      <c r="D187" s="41" t="n">
        <f aca="false">IFERROR(AVERAGEIFS(Cleaned_Futures_Data!$G$2:$G$756,Cleaned_Futures_Data!$B$2:$B$756,A187,Cleaned_Futures_Data!$W$2:$W$756,1),"")</f>
        <v>24685</v>
      </c>
      <c r="E187" s="41" t="n">
        <f aca="false">IFERROR(AVERAGEIFS(Cleaned_Futures_Data!$N$2:$N$756,Cleaned_Futures_Data!$B$2:$B$756,A187,Cleaned_Futures_Data!$W$2:$W$756,1),"")</f>
        <v>24634.9</v>
      </c>
      <c r="F187" s="42" t="n">
        <f aca="false">IF(AND(ISNUMBER(D187),ISNUMBER(E187)),D187-E187,"")</f>
        <v>50.0999999999985</v>
      </c>
      <c r="G187" s="43" t="n">
        <f aca="false">SUMIFS(Cleaned_Futures_Data!$J$2:$J$756,Cleaned_Futures_Data!$B$2:$B$756,A187,Cleaned_Futures_Data!$W$2:$W$756,1)</f>
        <v>95052</v>
      </c>
      <c r="H187" s="43" t="n">
        <f aca="false">SUMIFS(Cleaned_Futures_Data!$L$2:$L$756,Cleaned_Futures_Data!$B$2:$B$756,A187,Cleaned_Futures_Data!$W$2:$W$756,1)</f>
        <v>6130575</v>
      </c>
      <c r="I187" s="43" t="n">
        <f aca="false">SUMIFS(Cleaned_Futures_Data!$J$2:$J$756,Cleaned_Futures_Data!$B$2:$B$756,A187)</f>
        <v>192083</v>
      </c>
    </row>
    <row r="188" customFormat="false" ht="15" hidden="false" customHeight="true" outlineLevel="0" collapsed="false">
      <c r="A188" s="39" t="n">
        <v>45930</v>
      </c>
      <c r="B188" s="39" t="n">
        <f aca="false">_xlfn.MINIFS(Cleaned_Futures_Data!$C$2:$C$756,Cleaned_Futures_Data!$B$2:$B$756,A188)</f>
        <v>45930</v>
      </c>
      <c r="C188" s="40" t="n">
        <f aca="false">B188-A188</f>
        <v>0</v>
      </c>
      <c r="D188" s="41" t="n">
        <f aca="false">IFERROR(AVERAGEIFS(Cleaned_Futures_Data!$G$2:$G$756,Cleaned_Futures_Data!$B$2:$B$756,A188,Cleaned_Futures_Data!$W$2:$W$756,1),"")</f>
        <v>24612</v>
      </c>
      <c r="E188" s="41" t="n">
        <f aca="false">IFERROR(AVERAGEIFS(Cleaned_Futures_Data!$N$2:$N$756,Cleaned_Futures_Data!$B$2:$B$756,A188,Cleaned_Futures_Data!$W$2:$W$756,1),"")</f>
        <v>24611.1</v>
      </c>
      <c r="F188" s="42" t="n">
        <f aca="false">IF(AND(ISNUMBER(D188),ISNUMBER(E188)),D188-E188,"")</f>
        <v>0.900000000001455</v>
      </c>
      <c r="G188" s="43" t="n">
        <f aca="false">SUMIFS(Cleaned_Futures_Data!$J$2:$J$756,Cleaned_Futures_Data!$B$2:$B$756,A188,Cleaned_Futures_Data!$W$2:$W$756,1)</f>
        <v>64496</v>
      </c>
      <c r="H188" s="43" t="n">
        <f aca="false">SUMIFS(Cleaned_Futures_Data!$L$2:$L$756,Cleaned_Futures_Data!$B$2:$B$756,A188,Cleaned_Futures_Data!$W$2:$W$756,1)</f>
        <v>3831600</v>
      </c>
      <c r="I188" s="43" t="n">
        <f aca="false">SUMIFS(Cleaned_Futures_Data!$J$2:$J$756,Cleaned_Futures_Data!$B$2:$B$756,A188)</f>
        <v>153402</v>
      </c>
    </row>
    <row r="189" customFormat="false" ht="15" hidden="false" customHeight="true" outlineLevel="0" collapsed="false">
      <c r="A189" s="39" t="n">
        <v>45931</v>
      </c>
      <c r="B189" s="39" t="n">
        <f aca="false">_xlfn.MINIFS(Cleaned_Futures_Data!$C$2:$C$756,Cleaned_Futures_Data!$B$2:$B$756,A189)</f>
        <v>45958</v>
      </c>
      <c r="C189" s="40" t="n">
        <f aca="false">B189-A189</f>
        <v>27</v>
      </c>
      <c r="D189" s="41" t="n">
        <f aca="false">IFERROR(AVERAGEIFS(Cleaned_Futures_Data!$G$2:$G$756,Cleaned_Futures_Data!$B$2:$B$756,A189,Cleaned_Futures_Data!$W$2:$W$756,1),"")</f>
        <v>24967.2</v>
      </c>
      <c r="E189" s="41" t="n">
        <f aca="false">IFERROR(AVERAGEIFS(Cleaned_Futures_Data!$N$2:$N$756,Cleaned_Futures_Data!$B$2:$B$756,A189,Cleaned_Futures_Data!$W$2:$W$756,1),"")</f>
        <v>24836.3</v>
      </c>
      <c r="F189" s="42" t="n">
        <f aca="false">IF(AND(ISNUMBER(D189),ISNUMBER(E189)),D189-E189,"")</f>
        <v>130.900000000001</v>
      </c>
      <c r="G189" s="43" t="n">
        <f aca="false">SUMIFS(Cleaned_Futures_Data!$J$2:$J$756,Cleaned_Futures_Data!$B$2:$B$756,A189,Cleaned_Futures_Data!$W$2:$W$756,1)</f>
        <v>76529</v>
      </c>
      <c r="H189" s="43" t="n">
        <f aca="false">SUMIFS(Cleaned_Futures_Data!$L$2:$L$756,Cleaned_Futures_Data!$B$2:$B$756,A189,Cleaned_Futures_Data!$W$2:$W$756,1)</f>
        <v>17259900</v>
      </c>
      <c r="I189" s="43" t="n">
        <f aca="false">SUMIFS(Cleaned_Futures_Data!$J$2:$J$756,Cleaned_Futures_Data!$B$2:$B$756,A189)</f>
        <v>84209</v>
      </c>
    </row>
    <row r="190" customFormat="false" ht="15" hidden="false" customHeight="true" outlineLevel="0" collapsed="false">
      <c r="A190" s="39" t="n">
        <v>45933</v>
      </c>
      <c r="B190" s="39" t="n">
        <f aca="false">_xlfn.MINIFS(Cleaned_Futures_Data!$C$2:$C$756,Cleaned_Futures_Data!$B$2:$B$756,A190)</f>
        <v>45958</v>
      </c>
      <c r="C190" s="40" t="n">
        <f aca="false">B190-A190</f>
        <v>25</v>
      </c>
      <c r="D190" s="41" t="n">
        <f aca="false">IFERROR(AVERAGEIFS(Cleaned_Futures_Data!$G$2:$G$756,Cleaned_Futures_Data!$B$2:$B$756,A190,Cleaned_Futures_Data!$W$2:$W$756,1),"")</f>
        <v>25006.6</v>
      </c>
      <c r="E190" s="41" t="n">
        <f aca="false">IFERROR(AVERAGEIFS(Cleaned_Futures_Data!$N$2:$N$756,Cleaned_Futures_Data!$B$2:$B$756,A190,Cleaned_Futures_Data!$W$2:$W$756,1),"")</f>
        <v>24894.25</v>
      </c>
      <c r="F190" s="42" t="n">
        <f aca="false">IF(AND(ISNUMBER(D190),ISNUMBER(E190)),D190-E190,"")</f>
        <v>112.349999999999</v>
      </c>
      <c r="G190" s="43" t="n">
        <f aca="false">SUMIFS(Cleaned_Futures_Data!$J$2:$J$756,Cleaned_Futures_Data!$B$2:$B$756,A190,Cleaned_Futures_Data!$W$2:$W$756,1)</f>
        <v>60919</v>
      </c>
      <c r="H190" s="43" t="n">
        <f aca="false">SUMIFS(Cleaned_Futures_Data!$L$2:$L$756,Cleaned_Futures_Data!$B$2:$B$756,A190,Cleaned_Futures_Data!$W$2:$W$756,1)</f>
        <v>18015450</v>
      </c>
      <c r="I190" s="43" t="n">
        <f aca="false">SUMIFS(Cleaned_Futures_Data!$J$2:$J$756,Cleaned_Futures_Data!$B$2:$B$756,A190)</f>
        <v>65472</v>
      </c>
    </row>
    <row r="191" customFormat="false" ht="15" hidden="false" customHeight="true" outlineLevel="0" collapsed="false">
      <c r="A191" s="39" t="n">
        <v>45936</v>
      </c>
      <c r="B191" s="39" t="n">
        <f aca="false">_xlfn.MINIFS(Cleaned_Futures_Data!$C$2:$C$756,Cleaned_Futures_Data!$B$2:$B$756,A191)</f>
        <v>45958</v>
      </c>
      <c r="C191" s="40" t="n">
        <f aca="false">B191-A191</f>
        <v>22</v>
      </c>
      <c r="D191" s="41" t="n">
        <f aca="false">IFERROR(AVERAGEIFS(Cleaned_Futures_Data!$G$2:$G$756,Cleaned_Futures_Data!$B$2:$B$756,A191,Cleaned_Futures_Data!$W$2:$W$756,1),"")</f>
        <v>25185.4</v>
      </c>
      <c r="E191" s="41" t="n">
        <f aca="false">IFERROR(AVERAGEIFS(Cleaned_Futures_Data!$N$2:$N$756,Cleaned_Futures_Data!$B$2:$B$756,A191,Cleaned_Futures_Data!$W$2:$W$756,1),"")</f>
        <v>25077.65</v>
      </c>
      <c r="F191" s="42" t="n">
        <f aca="false">IF(AND(ISNUMBER(D191),ISNUMBER(E191)),D191-E191,"")</f>
        <v>107.75</v>
      </c>
      <c r="G191" s="43" t="n">
        <f aca="false">SUMIFS(Cleaned_Futures_Data!$J$2:$J$756,Cleaned_Futures_Data!$B$2:$B$756,A191,Cleaned_Futures_Data!$W$2:$W$756,1)</f>
        <v>73598</v>
      </c>
      <c r="H191" s="43" t="n">
        <f aca="false">SUMIFS(Cleaned_Futures_Data!$L$2:$L$756,Cleaned_Futures_Data!$B$2:$B$756,A191,Cleaned_Futures_Data!$W$2:$W$756,1)</f>
        <v>18296400</v>
      </c>
      <c r="I191" s="43" t="n">
        <f aca="false">SUMIFS(Cleaned_Futures_Data!$J$2:$J$756,Cleaned_Futures_Data!$B$2:$B$756,A191)</f>
        <v>79839</v>
      </c>
    </row>
    <row r="192" customFormat="false" ht="15" hidden="false" customHeight="true" outlineLevel="0" collapsed="false">
      <c r="A192" s="39" t="n">
        <v>45937</v>
      </c>
      <c r="B192" s="39" t="n">
        <f aca="false">_xlfn.MINIFS(Cleaned_Futures_Data!$C$2:$C$756,Cleaned_Futures_Data!$B$2:$B$756,A192)</f>
        <v>45958</v>
      </c>
      <c r="C192" s="40" t="n">
        <f aca="false">B192-A192</f>
        <v>21</v>
      </c>
      <c r="D192" s="41" t="n">
        <f aca="false">IFERROR(AVERAGEIFS(Cleaned_Futures_Data!$G$2:$G$756,Cleaned_Futures_Data!$B$2:$B$756,A192,Cleaned_Futures_Data!$W$2:$W$756,1),"")</f>
        <v>25225.3</v>
      </c>
      <c r="E192" s="41" t="n">
        <f aca="false">IFERROR(AVERAGEIFS(Cleaned_Futures_Data!$N$2:$N$756,Cleaned_Futures_Data!$B$2:$B$756,A192,Cleaned_Futures_Data!$W$2:$W$756,1),"")</f>
        <v>25108.3</v>
      </c>
      <c r="F192" s="42" t="n">
        <f aca="false">IF(AND(ISNUMBER(D192),ISNUMBER(E192)),D192-E192,"")</f>
        <v>117</v>
      </c>
      <c r="G192" s="43" t="n">
        <f aca="false">SUMIFS(Cleaned_Futures_Data!$J$2:$J$756,Cleaned_Futures_Data!$B$2:$B$756,A192,Cleaned_Futures_Data!$W$2:$W$756,1)</f>
        <v>64467</v>
      </c>
      <c r="H192" s="43" t="n">
        <f aca="false">SUMIFS(Cleaned_Futures_Data!$L$2:$L$756,Cleaned_Futures_Data!$B$2:$B$756,A192,Cleaned_Futures_Data!$W$2:$W$756,1)</f>
        <v>18017475</v>
      </c>
      <c r="I192" s="43" t="n">
        <f aca="false">SUMIFS(Cleaned_Futures_Data!$J$2:$J$756,Cleaned_Futures_Data!$B$2:$B$756,A192)</f>
        <v>70767</v>
      </c>
    </row>
    <row r="193" customFormat="false" ht="15" hidden="false" customHeight="true" outlineLevel="0" collapsed="false">
      <c r="A193" s="39" t="n">
        <v>45938</v>
      </c>
      <c r="B193" s="39" t="n">
        <f aca="false">_xlfn.MINIFS(Cleaned_Futures_Data!$C$2:$C$756,Cleaned_Futures_Data!$B$2:$B$756,A193)</f>
        <v>45958</v>
      </c>
      <c r="C193" s="40" t="n">
        <f aca="false">B193-A193</f>
        <v>20</v>
      </c>
      <c r="D193" s="41" t="n">
        <f aca="false">IFERROR(AVERAGEIFS(Cleaned_Futures_Data!$G$2:$G$756,Cleaned_Futures_Data!$B$2:$B$756,A193,Cleaned_Futures_Data!$W$2:$W$756,1),"")</f>
        <v>25120.4</v>
      </c>
      <c r="E193" s="41" t="n">
        <f aca="false">IFERROR(AVERAGEIFS(Cleaned_Futures_Data!$N$2:$N$756,Cleaned_Futures_Data!$B$2:$B$756,A193,Cleaned_Futures_Data!$W$2:$W$756,1),"")</f>
        <v>25046.15</v>
      </c>
      <c r="F193" s="42" t="n">
        <f aca="false">IF(AND(ISNUMBER(D193),ISNUMBER(E193)),D193-E193,"")</f>
        <v>74.25</v>
      </c>
      <c r="G193" s="43" t="n">
        <f aca="false">SUMIFS(Cleaned_Futures_Data!$J$2:$J$756,Cleaned_Futures_Data!$B$2:$B$756,A193,Cleaned_Futures_Data!$W$2:$W$756,1)</f>
        <v>73678</v>
      </c>
      <c r="H193" s="43" t="n">
        <f aca="false">SUMIFS(Cleaned_Futures_Data!$L$2:$L$756,Cleaned_Futures_Data!$B$2:$B$756,A193,Cleaned_Futures_Data!$W$2:$W$756,1)</f>
        <v>17699550</v>
      </c>
      <c r="I193" s="43" t="n">
        <f aca="false">SUMIFS(Cleaned_Futures_Data!$J$2:$J$756,Cleaned_Futures_Data!$B$2:$B$756,A193)</f>
        <v>79668</v>
      </c>
    </row>
    <row r="194" customFormat="false" ht="15" hidden="false" customHeight="true" outlineLevel="0" collapsed="false">
      <c r="A194" s="39" t="n">
        <v>45939</v>
      </c>
      <c r="B194" s="39" t="n">
        <f aca="false">_xlfn.MINIFS(Cleaned_Futures_Data!$C$2:$C$756,Cleaned_Futures_Data!$B$2:$B$756,A194)</f>
        <v>45958</v>
      </c>
      <c r="C194" s="40" t="n">
        <f aca="false">B194-A194</f>
        <v>19</v>
      </c>
      <c r="D194" s="41" t="n">
        <f aca="false">IFERROR(AVERAGEIFS(Cleaned_Futures_Data!$G$2:$G$756,Cleaned_Futures_Data!$B$2:$B$756,A194,Cleaned_Futures_Data!$W$2:$W$756,1),"")</f>
        <v>25273.8</v>
      </c>
      <c r="E194" s="41" t="n">
        <f aca="false">IFERROR(AVERAGEIFS(Cleaned_Futures_Data!$N$2:$N$756,Cleaned_Futures_Data!$B$2:$B$756,A194,Cleaned_Futures_Data!$W$2:$W$756,1),"")</f>
        <v>25181.8</v>
      </c>
      <c r="F194" s="42" t="n">
        <f aca="false">IF(AND(ISNUMBER(D194),ISNUMBER(E194)),D194-E194,"")</f>
        <v>92</v>
      </c>
      <c r="G194" s="43" t="n">
        <f aca="false">SUMIFS(Cleaned_Futures_Data!$J$2:$J$756,Cleaned_Futures_Data!$B$2:$B$756,A194,Cleaned_Futures_Data!$W$2:$W$756,1)</f>
        <v>67283</v>
      </c>
      <c r="H194" s="43" t="n">
        <f aca="false">SUMIFS(Cleaned_Futures_Data!$L$2:$L$756,Cleaned_Futures_Data!$B$2:$B$756,A194,Cleaned_Futures_Data!$W$2:$W$756,1)</f>
        <v>17510175</v>
      </c>
      <c r="I194" s="43" t="n">
        <f aca="false">SUMIFS(Cleaned_Futures_Data!$J$2:$J$756,Cleaned_Futures_Data!$B$2:$B$756,A194)</f>
        <v>72054</v>
      </c>
    </row>
    <row r="195" customFormat="false" ht="15" hidden="false" customHeight="true" outlineLevel="0" collapsed="false">
      <c r="A195" s="39" t="n">
        <v>45940</v>
      </c>
      <c r="B195" s="39" t="n">
        <f aca="false">_xlfn.MINIFS(Cleaned_Futures_Data!$C$2:$C$756,Cleaned_Futures_Data!$B$2:$B$756,A195)</f>
        <v>45958</v>
      </c>
      <c r="C195" s="40" t="n">
        <f aca="false">B195-A195</f>
        <v>18</v>
      </c>
      <c r="D195" s="41" t="n">
        <f aca="false">IFERROR(AVERAGEIFS(Cleaned_Futures_Data!$G$2:$G$756,Cleaned_Futures_Data!$B$2:$B$756,A195,Cleaned_Futures_Data!$W$2:$W$756,1),"")</f>
        <v>25411</v>
      </c>
      <c r="E195" s="41" t="n">
        <f aca="false">IFERROR(AVERAGEIFS(Cleaned_Futures_Data!$N$2:$N$756,Cleaned_Futures_Data!$B$2:$B$756,A195,Cleaned_Futures_Data!$W$2:$W$756,1),"")</f>
        <v>25285.35</v>
      </c>
      <c r="F195" s="42" t="n">
        <f aca="false">IF(AND(ISNUMBER(D195),ISNUMBER(E195)),D195-E195,"")</f>
        <v>125.650000000001</v>
      </c>
      <c r="G195" s="43" t="n">
        <f aca="false">SUMIFS(Cleaned_Futures_Data!$J$2:$J$756,Cleaned_Futures_Data!$B$2:$B$756,A195,Cleaned_Futures_Data!$W$2:$W$756,1)</f>
        <v>58958</v>
      </c>
      <c r="H195" s="43" t="n">
        <f aca="false">SUMIFS(Cleaned_Futures_Data!$L$2:$L$756,Cleaned_Futures_Data!$B$2:$B$756,A195,Cleaned_Futures_Data!$W$2:$W$756,1)</f>
        <v>17289075</v>
      </c>
      <c r="I195" s="43" t="n">
        <f aca="false">SUMIFS(Cleaned_Futures_Data!$J$2:$J$756,Cleaned_Futures_Data!$B$2:$B$756,A195)</f>
        <v>66144</v>
      </c>
    </row>
    <row r="196" customFormat="false" ht="15" hidden="false" customHeight="true" outlineLevel="0" collapsed="false">
      <c r="A196" s="39" t="n">
        <v>45943</v>
      </c>
      <c r="B196" s="39" t="n">
        <f aca="false">_xlfn.MINIFS(Cleaned_Futures_Data!$C$2:$C$756,Cleaned_Futures_Data!$B$2:$B$756,A196)</f>
        <v>45958</v>
      </c>
      <c r="C196" s="40" t="n">
        <f aca="false">B196-A196</f>
        <v>15</v>
      </c>
      <c r="D196" s="41" t="n">
        <f aca="false">IFERROR(AVERAGEIFS(Cleaned_Futures_Data!$G$2:$G$756,Cleaned_Futures_Data!$B$2:$B$756,A196,Cleaned_Futures_Data!$W$2:$W$756,1),"")</f>
        <v>25309.3</v>
      </c>
      <c r="E196" s="41" t="n">
        <f aca="false">IFERROR(AVERAGEIFS(Cleaned_Futures_Data!$N$2:$N$756,Cleaned_Futures_Data!$B$2:$B$756,A196,Cleaned_Futures_Data!$W$2:$W$756,1),"")</f>
        <v>25227.35</v>
      </c>
      <c r="F196" s="42" t="n">
        <f aca="false">IF(AND(ISNUMBER(D196),ISNUMBER(E196)),D196-E196,"")</f>
        <v>81.9500000000007</v>
      </c>
      <c r="G196" s="43" t="n">
        <f aca="false">SUMIFS(Cleaned_Futures_Data!$J$2:$J$756,Cleaned_Futures_Data!$B$2:$B$756,A196,Cleaned_Futures_Data!$W$2:$W$756,1)</f>
        <v>72042</v>
      </c>
      <c r="H196" s="43" t="n">
        <f aca="false">SUMIFS(Cleaned_Futures_Data!$L$2:$L$756,Cleaned_Futures_Data!$B$2:$B$756,A196,Cleaned_Futures_Data!$W$2:$W$756,1)</f>
        <v>17247225</v>
      </c>
      <c r="I196" s="43" t="n">
        <f aca="false">SUMIFS(Cleaned_Futures_Data!$J$2:$J$756,Cleaned_Futures_Data!$B$2:$B$756,A196)</f>
        <v>79104</v>
      </c>
    </row>
    <row r="197" customFormat="false" ht="15" hidden="false" customHeight="true" outlineLevel="0" collapsed="false">
      <c r="A197" s="39" t="n">
        <v>45944</v>
      </c>
      <c r="B197" s="39" t="n">
        <f aca="false">_xlfn.MINIFS(Cleaned_Futures_Data!$C$2:$C$756,Cleaned_Futures_Data!$B$2:$B$756,A197)</f>
        <v>45958</v>
      </c>
      <c r="C197" s="40" t="n">
        <f aca="false">B197-A197</f>
        <v>14</v>
      </c>
      <c r="D197" s="41" t="n">
        <f aca="false">IFERROR(AVERAGEIFS(Cleaned_Futures_Data!$G$2:$G$756,Cleaned_Futures_Data!$B$2:$B$756,A197,Cleaned_Futures_Data!$W$2:$W$756,1),"")</f>
        <v>25206</v>
      </c>
      <c r="E197" s="41" t="n">
        <f aca="false">IFERROR(AVERAGEIFS(Cleaned_Futures_Data!$N$2:$N$756,Cleaned_Futures_Data!$B$2:$B$756,A197,Cleaned_Futures_Data!$W$2:$W$756,1),"")</f>
        <v>25145.5</v>
      </c>
      <c r="F197" s="42" t="n">
        <f aca="false">IF(AND(ISNUMBER(D197),ISNUMBER(E197)),D197-E197,"")</f>
        <v>60.5</v>
      </c>
      <c r="G197" s="43" t="n">
        <f aca="false">SUMIFS(Cleaned_Futures_Data!$J$2:$J$756,Cleaned_Futures_Data!$B$2:$B$756,A197,Cleaned_Futures_Data!$W$2:$W$756,1)</f>
        <v>91414</v>
      </c>
      <c r="H197" s="43" t="n">
        <f aca="false">SUMIFS(Cleaned_Futures_Data!$L$2:$L$756,Cleaned_Futures_Data!$B$2:$B$756,A197,Cleaned_Futures_Data!$W$2:$W$756,1)</f>
        <v>17773650</v>
      </c>
      <c r="I197" s="43" t="n">
        <f aca="false">SUMIFS(Cleaned_Futures_Data!$J$2:$J$756,Cleaned_Futures_Data!$B$2:$B$756,A197)</f>
        <v>100898</v>
      </c>
    </row>
    <row r="198" customFormat="false" ht="15" hidden="false" customHeight="true" outlineLevel="0" collapsed="false">
      <c r="A198" s="39" t="n">
        <v>45945</v>
      </c>
      <c r="B198" s="39" t="n">
        <f aca="false">_xlfn.MINIFS(Cleaned_Futures_Data!$C$2:$C$756,Cleaned_Futures_Data!$B$2:$B$756,A198)</f>
        <v>45958</v>
      </c>
      <c r="C198" s="40" t="n">
        <f aca="false">B198-A198</f>
        <v>13</v>
      </c>
      <c r="D198" s="41" t="n">
        <f aca="false">IFERROR(AVERAGEIFS(Cleaned_Futures_Data!$G$2:$G$756,Cleaned_Futures_Data!$B$2:$B$756,A198,Cleaned_Futures_Data!$W$2:$W$756,1),"")</f>
        <v>25424.8</v>
      </c>
      <c r="E198" s="41" t="n">
        <f aca="false">IFERROR(AVERAGEIFS(Cleaned_Futures_Data!$N$2:$N$756,Cleaned_Futures_Data!$B$2:$B$756,A198,Cleaned_Futures_Data!$W$2:$W$756,1),"")</f>
        <v>25323.55</v>
      </c>
      <c r="F198" s="42" t="n">
        <f aca="false">IF(AND(ISNUMBER(D198),ISNUMBER(E198)),D198-E198,"")</f>
        <v>101.25</v>
      </c>
      <c r="G198" s="43" t="n">
        <f aca="false">SUMIFS(Cleaned_Futures_Data!$J$2:$J$756,Cleaned_Futures_Data!$B$2:$B$756,A198,Cleaned_Futures_Data!$W$2:$W$756,1)</f>
        <v>77119</v>
      </c>
      <c r="H198" s="43" t="n">
        <f aca="false">SUMIFS(Cleaned_Futures_Data!$L$2:$L$756,Cleaned_Futures_Data!$B$2:$B$756,A198,Cleaned_Futures_Data!$W$2:$W$756,1)</f>
        <v>17931750</v>
      </c>
      <c r="I198" s="43" t="n">
        <f aca="false">SUMIFS(Cleaned_Futures_Data!$J$2:$J$756,Cleaned_Futures_Data!$B$2:$B$756,A198)</f>
        <v>92186</v>
      </c>
    </row>
    <row r="199" customFormat="false" ht="15" hidden="false" customHeight="true" outlineLevel="0" collapsed="false">
      <c r="A199" s="39" t="n">
        <v>45946</v>
      </c>
      <c r="B199" s="39" t="n">
        <f aca="false">_xlfn.MINIFS(Cleaned_Futures_Data!$C$2:$C$756,Cleaned_Futures_Data!$B$2:$B$756,A199)</f>
        <v>45958</v>
      </c>
      <c r="C199" s="40" t="n">
        <f aca="false">B199-A199</f>
        <v>12</v>
      </c>
      <c r="D199" s="41" t="n">
        <f aca="false">IFERROR(AVERAGEIFS(Cleaned_Futures_Data!$G$2:$G$756,Cleaned_Futures_Data!$B$2:$B$756,A199,Cleaned_Futures_Data!$W$2:$W$756,1),"")</f>
        <v>25656.1</v>
      </c>
      <c r="E199" s="41" t="n">
        <f aca="false">IFERROR(AVERAGEIFS(Cleaned_Futures_Data!$N$2:$N$756,Cleaned_Futures_Data!$B$2:$B$756,A199,Cleaned_Futures_Data!$W$2:$W$756,1),"")</f>
        <v>25585.3</v>
      </c>
      <c r="F199" s="42" t="n">
        <f aca="false">IF(AND(ISNUMBER(D199),ISNUMBER(E199)),D199-E199,"")</f>
        <v>70.7999999999993</v>
      </c>
      <c r="G199" s="43" t="n">
        <f aca="false">SUMIFS(Cleaned_Futures_Data!$J$2:$J$756,Cleaned_Futures_Data!$B$2:$B$756,A199,Cleaned_Futures_Data!$W$2:$W$756,1)</f>
        <v>83652</v>
      </c>
      <c r="H199" s="43" t="n">
        <f aca="false">SUMIFS(Cleaned_Futures_Data!$L$2:$L$756,Cleaned_Futures_Data!$B$2:$B$756,A199,Cleaned_Futures_Data!$W$2:$W$756,1)</f>
        <v>17756925</v>
      </c>
      <c r="I199" s="43" t="n">
        <f aca="false">SUMIFS(Cleaned_Futures_Data!$J$2:$J$756,Cleaned_Futures_Data!$B$2:$B$756,A199)</f>
        <v>98488</v>
      </c>
    </row>
    <row r="200" customFormat="false" ht="15" hidden="false" customHeight="true" outlineLevel="0" collapsed="false">
      <c r="A200" s="39" t="n">
        <v>45947</v>
      </c>
      <c r="B200" s="39" t="n">
        <f aca="false">_xlfn.MINIFS(Cleaned_Futures_Data!$C$2:$C$756,Cleaned_Futures_Data!$B$2:$B$756,A200)</f>
        <v>45958</v>
      </c>
      <c r="C200" s="40" t="n">
        <f aca="false">B200-A200</f>
        <v>11</v>
      </c>
      <c r="D200" s="41" t="n">
        <f aca="false">IFERROR(AVERAGEIFS(Cleaned_Futures_Data!$G$2:$G$756,Cleaned_Futures_Data!$B$2:$B$756,A200,Cleaned_Futures_Data!$W$2:$W$756,1),"")</f>
        <v>25757.8</v>
      </c>
      <c r="E200" s="41" t="n">
        <f aca="false">IFERROR(AVERAGEIFS(Cleaned_Futures_Data!$N$2:$N$756,Cleaned_Futures_Data!$B$2:$B$756,A200,Cleaned_Futures_Data!$W$2:$W$756,1),"")</f>
        <v>25709.85</v>
      </c>
      <c r="F200" s="42" t="n">
        <f aca="false">IF(AND(ISNUMBER(D200),ISNUMBER(E200)),D200-E200,"")</f>
        <v>47.9500000000007</v>
      </c>
      <c r="G200" s="43" t="n">
        <f aca="false">SUMIFS(Cleaned_Futures_Data!$J$2:$J$756,Cleaned_Futures_Data!$B$2:$B$756,A200,Cleaned_Futures_Data!$W$2:$W$756,1)</f>
        <v>102562</v>
      </c>
      <c r="H200" s="43" t="n">
        <f aca="false">SUMIFS(Cleaned_Futures_Data!$L$2:$L$756,Cleaned_Futures_Data!$B$2:$B$756,A200,Cleaned_Futures_Data!$W$2:$W$756,1)</f>
        <v>16718400</v>
      </c>
      <c r="I200" s="43" t="n">
        <f aca="false">SUMIFS(Cleaned_Futures_Data!$J$2:$J$756,Cleaned_Futures_Data!$B$2:$B$756,A200)</f>
        <v>120548</v>
      </c>
    </row>
    <row r="201" customFormat="false" ht="15" hidden="false" customHeight="true" outlineLevel="0" collapsed="false">
      <c r="A201" s="39" t="n">
        <v>45950</v>
      </c>
      <c r="B201" s="39" t="n">
        <f aca="false">_xlfn.MINIFS(Cleaned_Futures_Data!$C$2:$C$756,Cleaned_Futures_Data!$B$2:$B$756,A201)</f>
        <v>45958</v>
      </c>
      <c r="C201" s="40" t="n">
        <f aca="false">B201-A201</f>
        <v>8</v>
      </c>
      <c r="D201" s="41" t="n">
        <f aca="false">IFERROR(AVERAGEIFS(Cleaned_Futures_Data!$G$2:$G$756,Cleaned_Futures_Data!$B$2:$B$756,A201,Cleaned_Futures_Data!$W$2:$W$756,1),"")</f>
        <v>25915.1</v>
      </c>
      <c r="E201" s="41" t="n">
        <f aca="false">IFERROR(AVERAGEIFS(Cleaned_Futures_Data!$N$2:$N$756,Cleaned_Futures_Data!$B$2:$B$756,A201,Cleaned_Futures_Data!$W$2:$W$756,1),"")</f>
        <v>25843.15</v>
      </c>
      <c r="F201" s="42" t="n">
        <f aca="false">IF(AND(ISNUMBER(D201),ISNUMBER(E201)),D201-E201,"")</f>
        <v>71.9499999999971</v>
      </c>
      <c r="G201" s="43" t="n">
        <f aca="false">SUMIFS(Cleaned_Futures_Data!$J$2:$J$756,Cleaned_Futures_Data!$B$2:$B$756,A201,Cleaned_Futures_Data!$W$2:$W$756,1)</f>
        <v>73153</v>
      </c>
      <c r="H201" s="43" t="n">
        <f aca="false">SUMIFS(Cleaned_Futures_Data!$L$2:$L$756,Cleaned_Futures_Data!$B$2:$B$756,A201,Cleaned_Futures_Data!$W$2:$W$756,1)</f>
        <v>17353425</v>
      </c>
      <c r="I201" s="43" t="n">
        <f aca="false">SUMIFS(Cleaned_Futures_Data!$J$2:$J$756,Cleaned_Futures_Data!$B$2:$B$756,A201)</f>
        <v>90812</v>
      </c>
    </row>
    <row r="202" customFormat="false" ht="15" hidden="false" customHeight="true" outlineLevel="0" collapsed="false">
      <c r="A202" s="39" t="n">
        <v>45951</v>
      </c>
      <c r="B202" s="39" t="n">
        <f aca="false">_xlfn.MINIFS(Cleaned_Futures_Data!$C$2:$C$756,Cleaned_Futures_Data!$B$2:$B$756,A202)</f>
        <v>45958</v>
      </c>
      <c r="C202" s="40" t="n">
        <f aca="false">B202-A202</f>
        <v>7</v>
      </c>
      <c r="D202" s="41" t="n">
        <f aca="false">IFERROR(AVERAGEIFS(Cleaned_Futures_Data!$G$2:$G$756,Cleaned_Futures_Data!$B$2:$B$756,A202,Cleaned_Futures_Data!$W$2:$W$756,1),"")</f>
        <v>25906.3</v>
      </c>
      <c r="E202" s="41" t="n">
        <f aca="false">IFERROR(AVERAGEIFS(Cleaned_Futures_Data!$N$2:$N$756,Cleaned_Futures_Data!$B$2:$B$756,A202,Cleaned_Futures_Data!$W$2:$W$756,1),"")</f>
        <v>25868.6</v>
      </c>
      <c r="F202" s="42" t="n">
        <f aca="false">IF(AND(ISNUMBER(D202),ISNUMBER(E202)),D202-E202,"")</f>
        <v>37.7000000000007</v>
      </c>
      <c r="G202" s="43" t="n">
        <f aca="false">SUMIFS(Cleaned_Futures_Data!$J$2:$J$756,Cleaned_Futures_Data!$B$2:$B$756,A202,Cleaned_Futures_Data!$W$2:$W$756,1)</f>
        <v>16378</v>
      </c>
      <c r="H202" s="43" t="n">
        <f aca="false">SUMIFS(Cleaned_Futures_Data!$L$2:$L$756,Cleaned_Futures_Data!$B$2:$B$756,A202,Cleaned_Futures_Data!$W$2:$W$756,1)</f>
        <v>17435700</v>
      </c>
      <c r="I202" s="43" t="n">
        <f aca="false">SUMIFS(Cleaned_Futures_Data!$J$2:$J$756,Cleaned_Futures_Data!$B$2:$B$756,A202)</f>
        <v>20264</v>
      </c>
    </row>
    <row r="203" customFormat="false" ht="15" hidden="false" customHeight="true" outlineLevel="0" collapsed="false">
      <c r="A203" s="39" t="n">
        <v>45953</v>
      </c>
      <c r="B203" s="39" t="n">
        <f aca="false">_xlfn.MINIFS(Cleaned_Futures_Data!$C$2:$C$756,Cleaned_Futures_Data!$B$2:$B$756,A203)</f>
        <v>45958</v>
      </c>
      <c r="C203" s="40" t="n">
        <f aca="false">B203-A203</f>
        <v>5</v>
      </c>
      <c r="D203" s="41" t="n">
        <f aca="false">IFERROR(AVERAGEIFS(Cleaned_Futures_Data!$G$2:$G$756,Cleaned_Futures_Data!$B$2:$B$756,A203,Cleaned_Futures_Data!$W$2:$W$756,1),"")</f>
        <v>25976.9</v>
      </c>
      <c r="E203" s="41" t="n">
        <f aca="false">IFERROR(AVERAGEIFS(Cleaned_Futures_Data!$N$2:$N$756,Cleaned_Futures_Data!$B$2:$B$756,A203,Cleaned_Futures_Data!$W$2:$W$756,1),"")</f>
        <v>25891.4</v>
      </c>
      <c r="F203" s="42" t="n">
        <f aca="false">IF(AND(ISNUMBER(D203),ISNUMBER(E203)),D203-E203,"")</f>
        <v>85.5</v>
      </c>
      <c r="G203" s="43" t="n">
        <f aca="false">SUMIFS(Cleaned_Futures_Data!$J$2:$J$756,Cleaned_Futures_Data!$B$2:$B$756,A203,Cleaned_Futures_Data!$W$2:$W$756,1)</f>
        <v>111709</v>
      </c>
      <c r="H203" s="43" t="n">
        <f aca="false">SUMIFS(Cleaned_Futures_Data!$L$2:$L$756,Cleaned_Futures_Data!$B$2:$B$756,A203,Cleaned_Futures_Data!$W$2:$W$756,1)</f>
        <v>15719250</v>
      </c>
      <c r="I203" s="43" t="n">
        <f aca="false">SUMIFS(Cleaned_Futures_Data!$J$2:$J$756,Cleaned_Futures_Data!$B$2:$B$756,A203)</f>
        <v>155396</v>
      </c>
    </row>
    <row r="204" customFormat="false" ht="15" hidden="false" customHeight="true" outlineLevel="0" collapsed="false">
      <c r="A204" s="39" t="n">
        <v>45954</v>
      </c>
      <c r="B204" s="39" t="n">
        <f aca="false">_xlfn.MINIFS(Cleaned_Futures_Data!$C$2:$C$756,Cleaned_Futures_Data!$B$2:$B$756,A204)</f>
        <v>45958</v>
      </c>
      <c r="C204" s="40" t="n">
        <f aca="false">B204-A204</f>
        <v>4</v>
      </c>
      <c r="D204" s="41" t="n">
        <f aca="false">IFERROR(AVERAGEIFS(Cleaned_Futures_Data!$G$2:$G$756,Cleaned_Futures_Data!$B$2:$B$756,A204,Cleaned_Futures_Data!$W$2:$W$756,1),"")</f>
        <v>25814.8</v>
      </c>
      <c r="E204" s="41" t="n">
        <f aca="false">IFERROR(AVERAGEIFS(Cleaned_Futures_Data!$N$2:$N$756,Cleaned_Futures_Data!$B$2:$B$756,A204,Cleaned_Futures_Data!$W$2:$W$756,1),"")</f>
        <v>25795.15</v>
      </c>
      <c r="F204" s="42" t="n">
        <f aca="false">IF(AND(ISNUMBER(D204),ISNUMBER(E204)),D204-E204,"")</f>
        <v>19.6499999999978</v>
      </c>
      <c r="G204" s="43" t="n">
        <f aca="false">SUMIFS(Cleaned_Futures_Data!$J$2:$J$756,Cleaned_Futures_Data!$B$2:$B$756,A204,Cleaned_Futures_Data!$W$2:$W$756,1)</f>
        <v>91660</v>
      </c>
      <c r="H204" s="43" t="n">
        <f aca="false">SUMIFS(Cleaned_Futures_Data!$L$2:$L$756,Cleaned_Futures_Data!$B$2:$B$756,A204,Cleaned_Futures_Data!$W$2:$W$756,1)</f>
        <v>12844650</v>
      </c>
      <c r="I204" s="43" t="n">
        <f aca="false">SUMIFS(Cleaned_Futures_Data!$J$2:$J$756,Cleaned_Futures_Data!$B$2:$B$756,A204)</f>
        <v>141796</v>
      </c>
    </row>
    <row r="205" customFormat="false" ht="15" hidden="false" customHeight="true" outlineLevel="0" collapsed="false">
      <c r="A205" s="39" t="n">
        <v>45957</v>
      </c>
      <c r="B205" s="39" t="n">
        <f aca="false">_xlfn.MINIFS(Cleaned_Futures_Data!$C$2:$C$756,Cleaned_Futures_Data!$B$2:$B$756,A205)</f>
        <v>45958</v>
      </c>
      <c r="C205" s="40" t="n">
        <f aca="false">B205-A205</f>
        <v>1</v>
      </c>
      <c r="D205" s="41" t="n">
        <f aca="false">IFERROR(AVERAGEIFS(Cleaned_Futures_Data!$G$2:$G$756,Cleaned_Futures_Data!$B$2:$B$756,A205,Cleaned_Futures_Data!$W$2:$W$756,1),"")</f>
        <v>26013.5</v>
      </c>
      <c r="E205" s="41" t="n">
        <f aca="false">IFERROR(AVERAGEIFS(Cleaned_Futures_Data!$N$2:$N$756,Cleaned_Futures_Data!$B$2:$B$756,A205,Cleaned_Futures_Data!$W$2:$W$756,1),"")</f>
        <v>25966.05</v>
      </c>
      <c r="F205" s="42" t="n">
        <f aca="false">IF(AND(ISNUMBER(D205),ISNUMBER(E205)),D205-E205,"")</f>
        <v>47.4500000000007</v>
      </c>
      <c r="G205" s="43" t="n">
        <f aca="false">SUMIFS(Cleaned_Futures_Data!$J$2:$J$756,Cleaned_Futures_Data!$B$2:$B$756,A205,Cleaned_Futures_Data!$W$2:$W$756,1)</f>
        <v>102040</v>
      </c>
      <c r="H205" s="43" t="n">
        <f aca="false">SUMIFS(Cleaned_Futures_Data!$L$2:$L$756,Cleaned_Futures_Data!$B$2:$B$756,A205,Cleaned_Futures_Data!$W$2:$W$756,1)</f>
        <v>8375850</v>
      </c>
      <c r="I205" s="43" t="n">
        <f aca="false">SUMIFS(Cleaned_Futures_Data!$J$2:$J$756,Cleaned_Futures_Data!$B$2:$B$756,A205)</f>
        <v>200416</v>
      </c>
    </row>
    <row r="206" customFormat="false" ht="15" hidden="false" customHeight="true" outlineLevel="0" collapsed="false">
      <c r="A206" s="39" t="n">
        <v>45958</v>
      </c>
      <c r="B206" s="39" t="n">
        <f aca="false">_xlfn.MINIFS(Cleaned_Futures_Data!$C$2:$C$756,Cleaned_Futures_Data!$B$2:$B$756,A206)</f>
        <v>45958</v>
      </c>
      <c r="C206" s="40" t="n">
        <f aca="false">B206-A206</f>
        <v>0</v>
      </c>
      <c r="D206" s="41" t="n">
        <f aca="false">IFERROR(AVERAGEIFS(Cleaned_Futures_Data!$G$2:$G$756,Cleaned_Futures_Data!$B$2:$B$756,A206,Cleaned_Futures_Data!$W$2:$W$756,1),"")</f>
        <v>25922.4</v>
      </c>
      <c r="E206" s="41" t="n">
        <f aca="false">IFERROR(AVERAGEIFS(Cleaned_Futures_Data!$N$2:$N$756,Cleaned_Futures_Data!$B$2:$B$756,A206,Cleaned_Futures_Data!$W$2:$W$756,1),"")</f>
        <v>25936.2</v>
      </c>
      <c r="F206" s="42" t="n">
        <f aca="false">IF(AND(ISNUMBER(D206),ISNUMBER(E206)),D206-E206,"")</f>
        <v>-13.7999999999993</v>
      </c>
      <c r="G206" s="43" t="n">
        <f aca="false">SUMIFS(Cleaned_Futures_Data!$J$2:$J$756,Cleaned_Futures_Data!$B$2:$B$756,A206,Cleaned_Futures_Data!$W$2:$W$756,1)</f>
        <v>95613</v>
      </c>
      <c r="H206" s="43" t="n">
        <f aca="false">SUMIFS(Cleaned_Futures_Data!$L$2:$L$756,Cleaned_Futures_Data!$B$2:$B$756,A206,Cleaned_Futures_Data!$W$2:$W$756,1)</f>
        <v>4845750</v>
      </c>
      <c r="I206" s="43" t="n">
        <f aca="false">SUMIFS(Cleaned_Futures_Data!$J$2:$J$756,Cleaned_Futures_Data!$B$2:$B$756,A206)</f>
        <v>226664</v>
      </c>
    </row>
    <row r="207" customFormat="false" ht="15" hidden="false" customHeight="true" outlineLevel="0" collapsed="false">
      <c r="A207" s="39" t="n">
        <v>45959</v>
      </c>
      <c r="B207" s="39" t="n">
        <f aca="false">_xlfn.MINIFS(Cleaned_Futures_Data!$C$2:$C$756,Cleaned_Futures_Data!$B$2:$B$756,A207)</f>
        <v>45986</v>
      </c>
      <c r="C207" s="40" t="n">
        <f aca="false">B207-A207</f>
        <v>27</v>
      </c>
      <c r="D207" s="41" t="n">
        <f aca="false">IFERROR(AVERAGEIFS(Cleaned_Futures_Data!$G$2:$G$756,Cleaned_Futures_Data!$B$2:$B$756,A207,Cleaned_Futures_Data!$W$2:$W$756,1),"")</f>
        <v>26238.7</v>
      </c>
      <c r="E207" s="41" t="n">
        <f aca="false">IFERROR(AVERAGEIFS(Cleaned_Futures_Data!$N$2:$N$756,Cleaned_Futures_Data!$B$2:$B$756,A207,Cleaned_Futures_Data!$W$2:$W$756,1),"")</f>
        <v>26053.9</v>
      </c>
      <c r="F207" s="42" t="n">
        <f aca="false">IF(AND(ISNUMBER(D207),ISNUMBER(E207)),D207-E207,"")</f>
        <v>184.799999999999</v>
      </c>
      <c r="G207" s="43" t="n">
        <f aca="false">SUMIFS(Cleaned_Futures_Data!$J$2:$J$756,Cleaned_Futures_Data!$B$2:$B$756,A207,Cleaned_Futures_Data!$W$2:$W$756,1)</f>
        <v>81623</v>
      </c>
      <c r="H207" s="43" t="n">
        <f aca="false">SUMIFS(Cleaned_Futures_Data!$L$2:$L$756,Cleaned_Futures_Data!$B$2:$B$756,A207,Cleaned_Futures_Data!$W$2:$W$756,1)</f>
        <v>14784150</v>
      </c>
      <c r="I207" s="43" t="n">
        <f aca="false">SUMIFS(Cleaned_Futures_Data!$J$2:$J$756,Cleaned_Futures_Data!$B$2:$B$756,A207)</f>
        <v>87938</v>
      </c>
    </row>
    <row r="208" customFormat="false" ht="15" hidden="false" customHeight="true" outlineLevel="0" collapsed="false">
      <c r="A208" s="39" t="n">
        <v>45960</v>
      </c>
      <c r="B208" s="39" t="n">
        <f aca="false">_xlfn.MINIFS(Cleaned_Futures_Data!$C$2:$C$756,Cleaned_Futures_Data!$B$2:$B$756,A208)</f>
        <v>45986</v>
      </c>
      <c r="C208" s="40" t="n">
        <f aca="false">B208-A208</f>
        <v>26</v>
      </c>
      <c r="D208" s="41" t="n">
        <f aca="false">IFERROR(AVERAGEIFS(Cleaned_Futures_Data!$G$2:$G$756,Cleaned_Futures_Data!$B$2:$B$756,A208,Cleaned_Futures_Data!$W$2:$W$756,1),"")</f>
        <v>26031.6</v>
      </c>
      <c r="E208" s="41" t="n">
        <f aca="false">IFERROR(AVERAGEIFS(Cleaned_Futures_Data!$N$2:$N$756,Cleaned_Futures_Data!$B$2:$B$756,A208,Cleaned_Futures_Data!$W$2:$W$756,1),"")</f>
        <v>25877.85</v>
      </c>
      <c r="F208" s="42" t="n">
        <f aca="false">IF(AND(ISNUMBER(D208),ISNUMBER(E208)),D208-E208,"")</f>
        <v>153.75</v>
      </c>
      <c r="G208" s="43" t="n">
        <f aca="false">SUMIFS(Cleaned_Futures_Data!$J$2:$J$756,Cleaned_Futures_Data!$B$2:$B$756,A208,Cleaned_Futures_Data!$W$2:$W$756,1)</f>
        <v>84090</v>
      </c>
      <c r="H208" s="43" t="n">
        <f aca="false">SUMIFS(Cleaned_Futures_Data!$L$2:$L$756,Cleaned_Futures_Data!$B$2:$B$756,A208,Cleaned_Futures_Data!$W$2:$W$756,1)</f>
        <v>15791250</v>
      </c>
      <c r="I208" s="43" t="n">
        <f aca="false">SUMIFS(Cleaned_Futures_Data!$J$2:$J$756,Cleaned_Futures_Data!$B$2:$B$756,A208)</f>
        <v>89900</v>
      </c>
    </row>
    <row r="209" customFormat="false" ht="15" hidden="false" customHeight="true" outlineLevel="0" collapsed="false">
      <c r="A209" s="39" t="n">
        <v>45961</v>
      </c>
      <c r="B209" s="39" t="n">
        <f aca="false">_xlfn.MINIFS(Cleaned_Futures_Data!$C$2:$C$756,Cleaned_Futures_Data!$B$2:$B$756,A209)</f>
        <v>45986</v>
      </c>
      <c r="C209" s="40" t="n">
        <f aca="false">B209-A209</f>
        <v>25</v>
      </c>
      <c r="D209" s="41" t="n">
        <f aca="false">IFERROR(AVERAGEIFS(Cleaned_Futures_Data!$G$2:$G$756,Cleaned_Futures_Data!$B$2:$B$756,A209,Cleaned_Futures_Data!$W$2:$W$756,1),"")</f>
        <v>25905.5</v>
      </c>
      <c r="E209" s="41" t="n">
        <f aca="false">IFERROR(AVERAGEIFS(Cleaned_Futures_Data!$N$2:$N$756,Cleaned_Futures_Data!$B$2:$B$756,A209,Cleaned_Futures_Data!$W$2:$W$756,1),"")</f>
        <v>25722.1</v>
      </c>
      <c r="F209" s="42" t="n">
        <f aca="false">IF(AND(ISNUMBER(D209),ISNUMBER(E209)),D209-E209,"")</f>
        <v>183.400000000001</v>
      </c>
      <c r="G209" s="43" t="n">
        <f aca="false">SUMIFS(Cleaned_Futures_Data!$J$2:$J$756,Cleaned_Futures_Data!$B$2:$B$756,A209,Cleaned_Futures_Data!$W$2:$W$756,1)</f>
        <v>87970</v>
      </c>
      <c r="H209" s="43" t="n">
        <f aca="false">SUMIFS(Cleaned_Futures_Data!$L$2:$L$756,Cleaned_Futures_Data!$B$2:$B$756,A209,Cleaned_Futures_Data!$W$2:$W$756,1)</f>
        <v>16902225</v>
      </c>
      <c r="I209" s="43" t="n">
        <f aca="false">SUMIFS(Cleaned_Futures_Data!$J$2:$J$756,Cleaned_Futures_Data!$B$2:$B$756,A209)</f>
        <v>95104</v>
      </c>
    </row>
    <row r="210" customFormat="false" ht="15" hidden="false" customHeight="true" outlineLevel="0" collapsed="false">
      <c r="A210" s="39" t="n">
        <v>45964</v>
      </c>
      <c r="B210" s="39" t="n">
        <f aca="false">_xlfn.MINIFS(Cleaned_Futures_Data!$C$2:$C$756,Cleaned_Futures_Data!$B$2:$B$756,A210)</f>
        <v>45986</v>
      </c>
      <c r="C210" s="40" t="n">
        <f aca="false">B210-A210</f>
        <v>22</v>
      </c>
      <c r="D210" s="41" t="n">
        <f aca="false">IFERROR(AVERAGEIFS(Cleaned_Futures_Data!$G$2:$G$756,Cleaned_Futures_Data!$B$2:$B$756,A210,Cleaned_Futures_Data!$W$2:$W$756,1),"")</f>
        <v>25898.9</v>
      </c>
      <c r="E210" s="41" t="n">
        <f aca="false">IFERROR(AVERAGEIFS(Cleaned_Futures_Data!$N$2:$N$756,Cleaned_Futures_Data!$B$2:$B$756,A210,Cleaned_Futures_Data!$W$2:$W$756,1),"")</f>
        <v>25763.35</v>
      </c>
      <c r="F210" s="42" t="n">
        <f aca="false">IF(AND(ISNUMBER(D210),ISNUMBER(E210)),D210-E210,"")</f>
        <v>135.550000000003</v>
      </c>
      <c r="G210" s="43" t="n">
        <f aca="false">SUMIFS(Cleaned_Futures_Data!$J$2:$J$756,Cleaned_Futures_Data!$B$2:$B$756,A210,Cleaned_Futures_Data!$W$2:$W$756,1)</f>
        <v>64885</v>
      </c>
      <c r="H210" s="43" t="n">
        <f aca="false">SUMIFS(Cleaned_Futures_Data!$L$2:$L$756,Cleaned_Futures_Data!$B$2:$B$756,A210,Cleaned_Futures_Data!$W$2:$W$756,1)</f>
        <v>16784025</v>
      </c>
      <c r="I210" s="43" t="n">
        <f aca="false">SUMIFS(Cleaned_Futures_Data!$J$2:$J$756,Cleaned_Futures_Data!$B$2:$B$756,A210)</f>
        <v>68991</v>
      </c>
    </row>
    <row r="211" customFormat="false" ht="15" hidden="false" customHeight="true" outlineLevel="0" collapsed="false">
      <c r="A211" s="39" t="n">
        <v>45965</v>
      </c>
      <c r="B211" s="39" t="n">
        <f aca="false">_xlfn.MINIFS(Cleaned_Futures_Data!$C$2:$C$756,Cleaned_Futures_Data!$B$2:$B$756,A211)</f>
        <v>45986</v>
      </c>
      <c r="C211" s="40" t="n">
        <f aca="false">B211-A211</f>
        <v>21</v>
      </c>
      <c r="D211" s="41" t="n">
        <f aca="false">IFERROR(AVERAGEIFS(Cleaned_Futures_Data!$G$2:$G$756,Cleaned_Futures_Data!$B$2:$B$756,A211,Cleaned_Futures_Data!$W$2:$W$756,1),"")</f>
        <v>25708.3</v>
      </c>
      <c r="E211" s="41" t="n">
        <f aca="false">IFERROR(AVERAGEIFS(Cleaned_Futures_Data!$N$2:$N$756,Cleaned_Futures_Data!$B$2:$B$756,A211,Cleaned_Futures_Data!$W$2:$W$756,1),"")</f>
        <v>25597.65</v>
      </c>
      <c r="F211" s="42" t="n">
        <f aca="false">IF(AND(ISNUMBER(D211),ISNUMBER(E211)),D211-E211,"")</f>
        <v>110.649999999998</v>
      </c>
      <c r="G211" s="43" t="n">
        <f aca="false">SUMIFS(Cleaned_Futures_Data!$J$2:$J$756,Cleaned_Futures_Data!$B$2:$B$756,A211,Cleaned_Futures_Data!$W$2:$W$756,1)</f>
        <v>76225</v>
      </c>
      <c r="H211" s="43" t="n">
        <f aca="false">SUMIFS(Cleaned_Futures_Data!$L$2:$L$756,Cleaned_Futures_Data!$B$2:$B$756,A211,Cleaned_Futures_Data!$W$2:$W$756,1)</f>
        <v>17687175</v>
      </c>
      <c r="I211" s="43" t="n">
        <f aca="false">SUMIFS(Cleaned_Futures_Data!$J$2:$J$756,Cleaned_Futures_Data!$B$2:$B$756,A211)</f>
        <v>82485</v>
      </c>
    </row>
    <row r="212" customFormat="false" ht="15" hidden="false" customHeight="true" outlineLevel="0" collapsed="false">
      <c r="A212" s="39" t="n">
        <v>45967</v>
      </c>
      <c r="B212" s="39" t="n">
        <f aca="false">_xlfn.MINIFS(Cleaned_Futures_Data!$C$2:$C$756,Cleaned_Futures_Data!$B$2:$B$756,A212)</f>
        <v>45986</v>
      </c>
      <c r="C212" s="40" t="n">
        <f aca="false">B212-A212</f>
        <v>19</v>
      </c>
      <c r="D212" s="41" t="n">
        <f aca="false">IFERROR(AVERAGEIFS(Cleaned_Futures_Data!$G$2:$G$756,Cleaned_Futures_Data!$B$2:$B$756,A212,Cleaned_Futures_Data!$W$2:$W$756,1),"")</f>
        <v>25627.2</v>
      </c>
      <c r="E212" s="41" t="n">
        <f aca="false">IFERROR(AVERAGEIFS(Cleaned_Futures_Data!$N$2:$N$756,Cleaned_Futures_Data!$B$2:$B$756,A212,Cleaned_Futures_Data!$W$2:$W$756,1),"")</f>
        <v>25509.7</v>
      </c>
      <c r="F212" s="42" t="n">
        <f aca="false">IF(AND(ISNUMBER(D212),ISNUMBER(E212)),D212-E212,"")</f>
        <v>117.5</v>
      </c>
      <c r="G212" s="43" t="n">
        <f aca="false">SUMIFS(Cleaned_Futures_Data!$J$2:$J$756,Cleaned_Futures_Data!$B$2:$B$756,A212,Cleaned_Futures_Data!$W$2:$W$756,1)</f>
        <v>60278</v>
      </c>
      <c r="H212" s="43" t="n">
        <f aca="false">SUMIFS(Cleaned_Futures_Data!$L$2:$L$756,Cleaned_Futures_Data!$B$2:$B$756,A212,Cleaned_Futures_Data!$W$2:$W$756,1)</f>
        <v>17669175</v>
      </c>
      <c r="I212" s="43" t="n">
        <f aca="false">SUMIFS(Cleaned_Futures_Data!$J$2:$J$756,Cleaned_Futures_Data!$B$2:$B$756,A212)</f>
        <v>66853</v>
      </c>
    </row>
    <row r="213" customFormat="false" ht="15" hidden="false" customHeight="true" outlineLevel="0" collapsed="false">
      <c r="A213" s="39" t="n">
        <v>45968</v>
      </c>
      <c r="B213" s="39" t="n">
        <f aca="false">_xlfn.MINIFS(Cleaned_Futures_Data!$C$2:$C$756,Cleaned_Futures_Data!$B$2:$B$756,A213)</f>
        <v>45986</v>
      </c>
      <c r="C213" s="40" t="n">
        <f aca="false">B213-A213</f>
        <v>18</v>
      </c>
      <c r="D213" s="41" t="n">
        <f aca="false">IFERROR(AVERAGEIFS(Cleaned_Futures_Data!$G$2:$G$756,Cleaned_Futures_Data!$B$2:$B$756,A213,Cleaned_Futures_Data!$W$2:$W$756,1),"")</f>
        <v>25589.2</v>
      </c>
      <c r="E213" s="41" t="n">
        <f aca="false">IFERROR(AVERAGEIFS(Cleaned_Futures_Data!$N$2:$N$756,Cleaned_Futures_Data!$B$2:$B$756,A213,Cleaned_Futures_Data!$W$2:$W$756,1),"")</f>
        <v>25492.3</v>
      </c>
      <c r="F213" s="42" t="n">
        <f aca="false">IF(AND(ISNUMBER(D213),ISNUMBER(E213)),D213-E213,"")</f>
        <v>96.9000000000015</v>
      </c>
      <c r="G213" s="43" t="n">
        <f aca="false">SUMIFS(Cleaned_Futures_Data!$J$2:$J$756,Cleaned_Futures_Data!$B$2:$B$756,A213,Cleaned_Futures_Data!$W$2:$W$756,1)</f>
        <v>92173</v>
      </c>
      <c r="H213" s="43" t="n">
        <f aca="false">SUMIFS(Cleaned_Futures_Data!$L$2:$L$756,Cleaned_Futures_Data!$B$2:$B$756,A213,Cleaned_Futures_Data!$W$2:$W$756,1)</f>
        <v>18547500</v>
      </c>
      <c r="I213" s="43" t="n">
        <f aca="false">SUMIFS(Cleaned_Futures_Data!$J$2:$J$756,Cleaned_Futures_Data!$B$2:$B$756,A213)</f>
        <v>102249</v>
      </c>
    </row>
    <row r="214" customFormat="false" ht="15" hidden="false" customHeight="true" outlineLevel="0" collapsed="false">
      <c r="A214" s="39" t="n">
        <v>45971</v>
      </c>
      <c r="B214" s="39" t="n">
        <f aca="false">_xlfn.MINIFS(Cleaned_Futures_Data!$C$2:$C$756,Cleaned_Futures_Data!$B$2:$B$756,A214)</f>
        <v>45986</v>
      </c>
      <c r="C214" s="40" t="n">
        <f aca="false">B214-A214</f>
        <v>15</v>
      </c>
      <c r="D214" s="41" t="n">
        <f aca="false">IFERROR(AVERAGEIFS(Cleaned_Futures_Data!$G$2:$G$756,Cleaned_Futures_Data!$B$2:$B$756,A214,Cleaned_Futures_Data!$W$2:$W$756,1),"")</f>
        <v>25694.5</v>
      </c>
      <c r="E214" s="41" t="n">
        <f aca="false">IFERROR(AVERAGEIFS(Cleaned_Futures_Data!$N$2:$N$756,Cleaned_Futures_Data!$B$2:$B$756,A214,Cleaned_Futures_Data!$W$2:$W$756,1),"")</f>
        <v>25574.35</v>
      </c>
      <c r="F214" s="42" t="n">
        <f aca="false">IF(AND(ISNUMBER(D214),ISNUMBER(E214)),D214-E214,"")</f>
        <v>120.150000000001</v>
      </c>
      <c r="G214" s="43" t="n">
        <f aca="false">SUMIFS(Cleaned_Futures_Data!$J$2:$J$756,Cleaned_Futures_Data!$B$2:$B$756,A214,Cleaned_Futures_Data!$W$2:$W$756,1)</f>
        <v>48889</v>
      </c>
      <c r="H214" s="43" t="n">
        <f aca="false">SUMIFS(Cleaned_Futures_Data!$L$2:$L$756,Cleaned_Futures_Data!$B$2:$B$756,A214,Cleaned_Futures_Data!$W$2:$W$756,1)</f>
        <v>18529950</v>
      </c>
      <c r="I214" s="43" t="n">
        <f aca="false">SUMIFS(Cleaned_Futures_Data!$J$2:$J$756,Cleaned_Futures_Data!$B$2:$B$756,A214)</f>
        <v>53437</v>
      </c>
    </row>
    <row r="215" customFormat="false" ht="15" hidden="false" customHeight="true" outlineLevel="0" collapsed="false">
      <c r="A215" s="39" t="n">
        <v>45972</v>
      </c>
      <c r="B215" s="39" t="n">
        <f aca="false">_xlfn.MINIFS(Cleaned_Futures_Data!$C$2:$C$756,Cleaned_Futures_Data!$B$2:$B$756,A215)</f>
        <v>45986</v>
      </c>
      <c r="C215" s="40" t="n">
        <f aca="false">B215-A215</f>
        <v>14</v>
      </c>
      <c r="D215" s="41" t="n">
        <f aca="false">IFERROR(AVERAGEIFS(Cleaned_Futures_Data!$G$2:$G$756,Cleaned_Futures_Data!$B$2:$B$756,A215,Cleaned_Futures_Data!$W$2:$W$756,1),"")</f>
        <v>25811.4</v>
      </c>
      <c r="E215" s="41" t="n">
        <f aca="false">IFERROR(AVERAGEIFS(Cleaned_Futures_Data!$N$2:$N$756,Cleaned_Futures_Data!$B$2:$B$756,A215,Cleaned_Futures_Data!$W$2:$W$756,1),"")</f>
        <v>25694.95</v>
      </c>
      <c r="F215" s="42" t="n">
        <f aca="false">IF(AND(ISNUMBER(D215),ISNUMBER(E215)),D215-E215,"")</f>
        <v>116.450000000001</v>
      </c>
      <c r="G215" s="43" t="n">
        <f aca="false">SUMIFS(Cleaned_Futures_Data!$J$2:$J$756,Cleaned_Futures_Data!$B$2:$B$756,A215,Cleaned_Futures_Data!$W$2:$W$756,1)</f>
        <v>87556</v>
      </c>
      <c r="H215" s="43" t="n">
        <f aca="false">SUMIFS(Cleaned_Futures_Data!$L$2:$L$756,Cleaned_Futures_Data!$B$2:$B$756,A215,Cleaned_Futures_Data!$W$2:$W$756,1)</f>
        <v>18523050</v>
      </c>
      <c r="I215" s="43" t="n">
        <f aca="false">SUMIFS(Cleaned_Futures_Data!$J$2:$J$756,Cleaned_Futures_Data!$B$2:$B$756,A215)</f>
        <v>96502</v>
      </c>
    </row>
    <row r="216" customFormat="false" ht="15" hidden="false" customHeight="true" outlineLevel="0" collapsed="false">
      <c r="A216" s="39" t="n">
        <v>45973</v>
      </c>
      <c r="B216" s="39" t="n">
        <f aca="false">_xlfn.MINIFS(Cleaned_Futures_Data!$C$2:$C$756,Cleaned_Futures_Data!$B$2:$B$756,A216)</f>
        <v>45986</v>
      </c>
      <c r="C216" s="40" t="n">
        <f aca="false">B216-A216</f>
        <v>13</v>
      </c>
      <c r="D216" s="41" t="n">
        <f aca="false">IFERROR(AVERAGEIFS(Cleaned_Futures_Data!$G$2:$G$756,Cleaned_Futures_Data!$B$2:$B$756,A216,Cleaned_Futures_Data!$W$2:$W$756,1),"")</f>
        <v>25986.1</v>
      </c>
      <c r="E216" s="41" t="n">
        <f aca="false">IFERROR(AVERAGEIFS(Cleaned_Futures_Data!$N$2:$N$756,Cleaned_Futures_Data!$B$2:$B$756,A216,Cleaned_Futures_Data!$W$2:$W$756,1),"")</f>
        <v>25875.8</v>
      </c>
      <c r="F216" s="42" t="n">
        <f aca="false">IF(AND(ISNUMBER(D216),ISNUMBER(E216)),D216-E216,"")</f>
        <v>110.299999999999</v>
      </c>
      <c r="G216" s="43" t="n">
        <f aca="false">SUMIFS(Cleaned_Futures_Data!$J$2:$J$756,Cleaned_Futures_Data!$B$2:$B$756,A216,Cleaned_Futures_Data!$W$2:$W$756,1)</f>
        <v>70367</v>
      </c>
      <c r="H216" s="43" t="n">
        <f aca="false">SUMIFS(Cleaned_Futures_Data!$L$2:$L$756,Cleaned_Futures_Data!$B$2:$B$756,A216,Cleaned_Futures_Data!$W$2:$W$756,1)</f>
        <v>17753700</v>
      </c>
      <c r="I216" s="43" t="n">
        <f aca="false">SUMIFS(Cleaned_Futures_Data!$J$2:$J$756,Cleaned_Futures_Data!$B$2:$B$756,A216)</f>
        <v>80814</v>
      </c>
    </row>
    <row r="217" customFormat="false" ht="15" hidden="false" customHeight="true" outlineLevel="0" collapsed="false">
      <c r="A217" s="39" t="n">
        <v>45974</v>
      </c>
      <c r="B217" s="39" t="n">
        <f aca="false">_xlfn.MINIFS(Cleaned_Futures_Data!$C$2:$C$756,Cleaned_Futures_Data!$B$2:$B$756,A217)</f>
        <v>45986</v>
      </c>
      <c r="C217" s="40" t="n">
        <f aca="false">B217-A217</f>
        <v>12</v>
      </c>
      <c r="D217" s="41" t="n">
        <f aca="false">IFERROR(AVERAGEIFS(Cleaned_Futures_Data!$G$2:$G$756,Cleaned_Futures_Data!$B$2:$B$756,A217,Cleaned_Futures_Data!$W$2:$W$756,1),"")</f>
        <v>25953.8</v>
      </c>
      <c r="E217" s="41" t="n">
        <f aca="false">IFERROR(AVERAGEIFS(Cleaned_Futures_Data!$N$2:$N$756,Cleaned_Futures_Data!$B$2:$B$756,A217,Cleaned_Futures_Data!$W$2:$W$756,1),"")</f>
        <v>25879.15</v>
      </c>
      <c r="F217" s="42" t="n">
        <f aca="false">IF(AND(ISNUMBER(D217),ISNUMBER(E217)),D217-E217,"")</f>
        <v>74.6499999999978</v>
      </c>
      <c r="G217" s="43" t="n">
        <f aca="false">SUMIFS(Cleaned_Futures_Data!$J$2:$J$756,Cleaned_Futures_Data!$B$2:$B$756,A217,Cleaned_Futures_Data!$W$2:$W$756,1)</f>
        <v>69068</v>
      </c>
      <c r="H217" s="43" t="n">
        <f aca="false">SUMIFS(Cleaned_Futures_Data!$L$2:$L$756,Cleaned_Futures_Data!$B$2:$B$756,A217,Cleaned_Futures_Data!$W$2:$W$756,1)</f>
        <v>17577300</v>
      </c>
      <c r="I217" s="43" t="n">
        <f aca="false">SUMIFS(Cleaned_Futures_Data!$J$2:$J$756,Cleaned_Futures_Data!$B$2:$B$756,A217)</f>
        <v>79517</v>
      </c>
    </row>
    <row r="218" customFormat="false" ht="15" hidden="false" customHeight="true" outlineLevel="0" collapsed="false">
      <c r="A218" s="39" t="n">
        <v>45975</v>
      </c>
      <c r="B218" s="39" t="n">
        <f aca="false">_xlfn.MINIFS(Cleaned_Futures_Data!$C$2:$C$756,Cleaned_Futures_Data!$B$2:$B$756,A218)</f>
        <v>45986</v>
      </c>
      <c r="C218" s="40" t="n">
        <f aca="false">B218-A218</f>
        <v>11</v>
      </c>
      <c r="D218" s="41" t="n">
        <f aca="false">IFERROR(AVERAGEIFS(Cleaned_Futures_Data!$G$2:$G$756,Cleaned_Futures_Data!$B$2:$B$756,A218,Cleaned_Futures_Data!$W$2:$W$756,1),"")</f>
        <v>25951.4</v>
      </c>
      <c r="E218" s="41" t="n">
        <f aca="false">IFERROR(AVERAGEIFS(Cleaned_Futures_Data!$N$2:$N$756,Cleaned_Futures_Data!$B$2:$B$756,A218,Cleaned_Futures_Data!$W$2:$W$756,1),"")</f>
        <v>25910.05</v>
      </c>
      <c r="F218" s="42" t="n">
        <f aca="false">IF(AND(ISNUMBER(D218),ISNUMBER(E218)),D218-E218,"")</f>
        <v>41.3500000000022</v>
      </c>
      <c r="G218" s="43" t="n">
        <f aca="false">SUMIFS(Cleaned_Futures_Data!$J$2:$J$756,Cleaned_Futures_Data!$B$2:$B$756,A218,Cleaned_Futures_Data!$W$2:$W$756,1)</f>
        <v>107879</v>
      </c>
      <c r="H218" s="43" t="n">
        <f aca="false">SUMIFS(Cleaned_Futures_Data!$L$2:$L$756,Cleaned_Futures_Data!$B$2:$B$756,A218,Cleaned_Futures_Data!$W$2:$W$756,1)</f>
        <v>18342450</v>
      </c>
      <c r="I218" s="43" t="n">
        <f aca="false">SUMIFS(Cleaned_Futures_Data!$J$2:$J$756,Cleaned_Futures_Data!$B$2:$B$756,A218)</f>
        <v>121937</v>
      </c>
    </row>
    <row r="219" customFormat="false" ht="15" hidden="false" customHeight="true" outlineLevel="0" collapsed="false">
      <c r="A219" s="39" t="n">
        <v>45978</v>
      </c>
      <c r="B219" s="39" t="n">
        <f aca="false">_xlfn.MINIFS(Cleaned_Futures_Data!$C$2:$C$756,Cleaned_Futures_Data!$B$2:$B$756,A219)</f>
        <v>45986</v>
      </c>
      <c r="C219" s="40" t="n">
        <f aca="false">B219-A219</f>
        <v>8</v>
      </c>
      <c r="D219" s="41" t="n">
        <f aca="false">IFERROR(AVERAGEIFS(Cleaned_Futures_Data!$G$2:$G$756,Cleaned_Futures_Data!$B$2:$B$756,A219,Cleaned_Futures_Data!$W$2:$W$756,1),"")</f>
        <v>26060.1</v>
      </c>
      <c r="E219" s="41" t="n">
        <f aca="false">IFERROR(AVERAGEIFS(Cleaned_Futures_Data!$N$2:$N$756,Cleaned_Futures_Data!$B$2:$B$756,A219,Cleaned_Futures_Data!$W$2:$W$756,1),"")</f>
        <v>26013.45</v>
      </c>
      <c r="F219" s="42" t="n">
        <f aca="false">IF(AND(ISNUMBER(D219),ISNUMBER(E219)),D219-E219,"")</f>
        <v>46.6499999999978</v>
      </c>
      <c r="G219" s="43" t="n">
        <f aca="false">SUMIFS(Cleaned_Futures_Data!$J$2:$J$756,Cleaned_Futures_Data!$B$2:$B$756,A219,Cleaned_Futures_Data!$W$2:$W$756,1)</f>
        <v>53526</v>
      </c>
      <c r="H219" s="43" t="n">
        <f aca="false">SUMIFS(Cleaned_Futures_Data!$L$2:$L$756,Cleaned_Futures_Data!$B$2:$B$756,A219,Cleaned_Futures_Data!$W$2:$W$756,1)</f>
        <v>18060375</v>
      </c>
      <c r="I219" s="43" t="n">
        <f aca="false">SUMIFS(Cleaned_Futures_Data!$J$2:$J$756,Cleaned_Futures_Data!$B$2:$B$756,A219)</f>
        <v>64342</v>
      </c>
    </row>
    <row r="220" customFormat="false" ht="15" hidden="false" customHeight="true" outlineLevel="0" collapsed="false">
      <c r="A220" s="39" t="n">
        <v>45979</v>
      </c>
      <c r="B220" s="39" t="n">
        <f aca="false">_xlfn.MINIFS(Cleaned_Futures_Data!$C$2:$C$756,Cleaned_Futures_Data!$B$2:$B$756,A220)</f>
        <v>45986</v>
      </c>
      <c r="C220" s="40" t="n">
        <f aca="false">B220-A220</f>
        <v>7</v>
      </c>
      <c r="D220" s="41" t="n">
        <f aca="false">IFERROR(AVERAGEIFS(Cleaned_Futures_Data!$G$2:$G$756,Cleaned_Futures_Data!$B$2:$B$756,A220,Cleaned_Futures_Data!$W$2:$W$756,1),"")</f>
        <v>25948.8</v>
      </c>
      <c r="E220" s="41" t="n">
        <f aca="false">IFERROR(AVERAGEIFS(Cleaned_Futures_Data!$N$2:$N$756,Cleaned_Futures_Data!$B$2:$B$756,A220,Cleaned_Futures_Data!$W$2:$W$756,1),"")</f>
        <v>25910.05</v>
      </c>
      <c r="F220" s="42" t="n">
        <f aca="false">IF(AND(ISNUMBER(D220),ISNUMBER(E220)),D220-E220,"")</f>
        <v>38.75</v>
      </c>
      <c r="G220" s="43" t="n">
        <f aca="false">SUMIFS(Cleaned_Futures_Data!$J$2:$J$756,Cleaned_Futures_Data!$B$2:$B$756,A220,Cleaned_Futures_Data!$W$2:$W$756,1)</f>
        <v>68819</v>
      </c>
      <c r="H220" s="43" t="n">
        <f aca="false">SUMIFS(Cleaned_Futures_Data!$L$2:$L$756,Cleaned_Futures_Data!$B$2:$B$756,A220,Cleaned_Futures_Data!$W$2:$W$756,1)</f>
        <v>17610000</v>
      </c>
      <c r="I220" s="43" t="n">
        <f aca="false">SUMIFS(Cleaned_Futures_Data!$J$2:$J$756,Cleaned_Futures_Data!$B$2:$B$756,A220)</f>
        <v>81758</v>
      </c>
    </row>
    <row r="221" customFormat="false" ht="15" hidden="false" customHeight="true" outlineLevel="0" collapsed="false">
      <c r="A221" s="39" t="n">
        <v>45980</v>
      </c>
      <c r="B221" s="39" t="n">
        <f aca="false">_xlfn.MINIFS(Cleaned_Futures_Data!$C$2:$C$756,Cleaned_Futures_Data!$B$2:$B$756,A221)</f>
        <v>45986</v>
      </c>
      <c r="C221" s="40" t="n">
        <f aca="false">B221-A221</f>
        <v>6</v>
      </c>
      <c r="D221" s="41" t="n">
        <f aca="false">IFERROR(AVERAGEIFS(Cleaned_Futures_Data!$G$2:$G$756,Cleaned_Futures_Data!$B$2:$B$756,A221,Cleaned_Futures_Data!$W$2:$W$756,1),"")</f>
        <v>26071</v>
      </c>
      <c r="E221" s="41" t="n">
        <f aca="false">IFERROR(AVERAGEIFS(Cleaned_Futures_Data!$N$2:$N$756,Cleaned_Futures_Data!$B$2:$B$756,A221,Cleaned_Futures_Data!$W$2:$W$756,1),"")</f>
        <v>26052.65</v>
      </c>
      <c r="F221" s="42" t="n">
        <f aca="false">IF(AND(ISNUMBER(D221),ISNUMBER(E221)),D221-E221,"")</f>
        <v>18.3499999999985</v>
      </c>
      <c r="G221" s="43" t="n">
        <f aca="false">SUMIFS(Cleaned_Futures_Data!$J$2:$J$756,Cleaned_Futures_Data!$B$2:$B$756,A221,Cleaned_Futures_Data!$W$2:$W$756,1)</f>
        <v>67533</v>
      </c>
      <c r="H221" s="43" t="n">
        <f aca="false">SUMIFS(Cleaned_Futures_Data!$L$2:$L$756,Cleaned_Futures_Data!$B$2:$B$756,A221,Cleaned_Futures_Data!$W$2:$W$756,1)</f>
        <v>16795500</v>
      </c>
      <c r="I221" s="43" t="n">
        <f aca="false">SUMIFS(Cleaned_Futures_Data!$J$2:$J$756,Cleaned_Futures_Data!$B$2:$B$756,A221)</f>
        <v>85036</v>
      </c>
    </row>
    <row r="222" customFormat="false" ht="15" hidden="false" customHeight="true" outlineLevel="0" collapsed="false">
      <c r="A222" s="39" t="n">
        <v>45981</v>
      </c>
      <c r="B222" s="39" t="n">
        <f aca="false">_xlfn.MINIFS(Cleaned_Futures_Data!$C$2:$C$756,Cleaned_Futures_Data!$B$2:$B$756,A222)</f>
        <v>45986</v>
      </c>
      <c r="C222" s="40" t="n">
        <f aca="false">B222-A222</f>
        <v>5</v>
      </c>
      <c r="D222" s="41" t="n">
        <f aca="false">IFERROR(AVERAGEIFS(Cleaned_Futures_Data!$G$2:$G$756,Cleaned_Futures_Data!$B$2:$B$756,A222,Cleaned_Futures_Data!$W$2:$W$756,1),"")</f>
        <v>26220.8</v>
      </c>
      <c r="E222" s="41" t="n">
        <f aca="false">IFERROR(AVERAGEIFS(Cleaned_Futures_Data!$N$2:$N$756,Cleaned_Futures_Data!$B$2:$B$756,A222,Cleaned_Futures_Data!$W$2:$W$756,1),"")</f>
        <v>26192.15</v>
      </c>
      <c r="F222" s="42" t="n">
        <f aca="false">IF(AND(ISNUMBER(D222),ISNUMBER(E222)),D222-E222,"")</f>
        <v>28.6499999999978</v>
      </c>
      <c r="G222" s="43" t="n">
        <f aca="false">SUMIFS(Cleaned_Futures_Data!$J$2:$J$756,Cleaned_Futures_Data!$B$2:$B$756,A222,Cleaned_Futures_Data!$W$2:$W$756,1)</f>
        <v>88561</v>
      </c>
      <c r="H222" s="43" t="n">
        <f aca="false">SUMIFS(Cleaned_Futures_Data!$L$2:$L$756,Cleaned_Futures_Data!$B$2:$B$756,A222,Cleaned_Futures_Data!$W$2:$W$756,1)</f>
        <v>14612850</v>
      </c>
      <c r="I222" s="43" t="n">
        <f aca="false">SUMIFS(Cleaned_Futures_Data!$J$2:$J$756,Cleaned_Futures_Data!$B$2:$B$756,A222)</f>
        <v>145015</v>
      </c>
    </row>
    <row r="223" customFormat="false" ht="15" hidden="false" customHeight="true" outlineLevel="0" collapsed="false">
      <c r="A223" s="39" t="n">
        <v>45982</v>
      </c>
      <c r="B223" s="39" t="n">
        <f aca="false">_xlfn.MINIFS(Cleaned_Futures_Data!$C$2:$C$756,Cleaned_Futures_Data!$B$2:$B$756,A223)</f>
        <v>45986</v>
      </c>
      <c r="C223" s="40" t="n">
        <f aca="false">B223-A223</f>
        <v>4</v>
      </c>
      <c r="D223" s="41" t="n">
        <f aca="false">IFERROR(AVERAGEIFS(Cleaned_Futures_Data!$G$2:$G$756,Cleaned_Futures_Data!$B$2:$B$756,A223,Cleaned_Futures_Data!$W$2:$W$756,1),"")</f>
        <v>26077.5</v>
      </c>
      <c r="E223" s="41" t="n">
        <f aca="false">IFERROR(AVERAGEIFS(Cleaned_Futures_Data!$N$2:$N$756,Cleaned_Futures_Data!$B$2:$B$756,A223,Cleaned_Futures_Data!$W$2:$W$756,1),"")</f>
        <v>26068.15</v>
      </c>
      <c r="F223" s="42" t="n">
        <f aca="false">IF(AND(ISNUMBER(D223),ISNUMBER(E223)),D223-E223,"")</f>
        <v>9.34999999999855</v>
      </c>
      <c r="G223" s="43" t="n">
        <f aca="false">SUMIFS(Cleaned_Futures_Data!$J$2:$J$756,Cleaned_Futures_Data!$B$2:$B$756,A223,Cleaned_Futures_Data!$W$2:$W$756,1)</f>
        <v>114909</v>
      </c>
      <c r="H223" s="43" t="n">
        <f aca="false">SUMIFS(Cleaned_Futures_Data!$L$2:$L$756,Cleaned_Futures_Data!$B$2:$B$756,A223,Cleaned_Futures_Data!$W$2:$W$756,1)</f>
        <v>12346875</v>
      </c>
      <c r="I223" s="43" t="n">
        <f aca="false">SUMIFS(Cleaned_Futures_Data!$J$2:$J$756,Cleaned_Futures_Data!$B$2:$B$756,A223)</f>
        <v>182278</v>
      </c>
    </row>
    <row r="224" customFormat="false" ht="15" hidden="false" customHeight="true" outlineLevel="0" collapsed="false">
      <c r="A224" s="39" t="n">
        <v>45985</v>
      </c>
      <c r="B224" s="39" t="n">
        <f aca="false">_xlfn.MINIFS(Cleaned_Futures_Data!$C$2:$C$756,Cleaned_Futures_Data!$B$2:$B$756,A224)</f>
        <v>45986</v>
      </c>
      <c r="C224" s="40" t="n">
        <f aca="false">B224-A224</f>
        <v>1</v>
      </c>
      <c r="D224" s="41" t="n">
        <f aca="false">IFERROR(AVERAGEIFS(Cleaned_Futures_Data!$G$2:$G$756,Cleaned_Futures_Data!$B$2:$B$756,A224,Cleaned_Futures_Data!$W$2:$W$756,1),"")</f>
        <v>25996.4</v>
      </c>
      <c r="E224" s="41" t="n">
        <f aca="false">IFERROR(AVERAGEIFS(Cleaned_Futures_Data!$N$2:$N$756,Cleaned_Futures_Data!$B$2:$B$756,A224,Cleaned_Futures_Data!$W$2:$W$756,1),"")</f>
        <v>25959.5</v>
      </c>
      <c r="F224" s="42" t="n">
        <f aca="false">IF(AND(ISNUMBER(D224),ISNUMBER(E224)),D224-E224,"")</f>
        <v>36.9000000000015</v>
      </c>
      <c r="G224" s="43" t="n">
        <f aca="false">SUMIFS(Cleaned_Futures_Data!$J$2:$J$756,Cleaned_Futures_Data!$B$2:$B$756,A224,Cleaned_Futures_Data!$W$2:$W$756,1)</f>
        <v>97172</v>
      </c>
      <c r="H224" s="43" t="n">
        <f aca="false">SUMIFS(Cleaned_Futures_Data!$L$2:$L$756,Cleaned_Futures_Data!$B$2:$B$756,A224,Cleaned_Futures_Data!$W$2:$W$756,1)</f>
        <v>9271125</v>
      </c>
      <c r="I224" s="43" t="n">
        <f aca="false">SUMIFS(Cleaned_Futures_Data!$J$2:$J$756,Cleaned_Futures_Data!$B$2:$B$756,A224)</f>
        <v>191939</v>
      </c>
    </row>
    <row r="225" customFormat="false" ht="15" hidden="false" customHeight="true" outlineLevel="0" collapsed="false">
      <c r="A225" s="39" t="n">
        <v>45986</v>
      </c>
      <c r="B225" s="39" t="n">
        <f aca="false">_xlfn.MINIFS(Cleaned_Futures_Data!$C$2:$C$756,Cleaned_Futures_Data!$B$2:$B$756,A225)</f>
        <v>45986</v>
      </c>
      <c r="C225" s="40" t="n">
        <f aca="false">B225-A225</f>
        <v>0</v>
      </c>
      <c r="D225" s="41" t="n">
        <f aca="false">IFERROR(AVERAGEIFS(Cleaned_Futures_Data!$G$2:$G$756,Cleaned_Futures_Data!$B$2:$B$756,A225,Cleaned_Futures_Data!$W$2:$W$756,1),"")</f>
        <v>25886.8</v>
      </c>
      <c r="E225" s="41" t="n">
        <f aca="false">IFERROR(AVERAGEIFS(Cleaned_Futures_Data!$N$2:$N$756,Cleaned_Futures_Data!$B$2:$B$756,A225,Cleaned_Futures_Data!$W$2:$W$756,1),"")</f>
        <v>25884.8</v>
      </c>
      <c r="F225" s="42" t="n">
        <f aca="false">IF(AND(ISNUMBER(D225),ISNUMBER(E225)),D225-E225,"")</f>
        <v>2</v>
      </c>
      <c r="G225" s="43" t="n">
        <f aca="false">SUMIFS(Cleaned_Futures_Data!$J$2:$J$756,Cleaned_Futures_Data!$B$2:$B$756,A225,Cleaned_Futures_Data!$W$2:$W$756,1)</f>
        <v>73501</v>
      </c>
      <c r="H225" s="43" t="n">
        <f aca="false">SUMIFS(Cleaned_Futures_Data!$L$2:$L$756,Cleaned_Futures_Data!$B$2:$B$756,A225,Cleaned_Futures_Data!$W$2:$W$756,1)</f>
        <v>6607875</v>
      </c>
      <c r="I225" s="43" t="n">
        <f aca="false">SUMIFS(Cleaned_Futures_Data!$J$2:$J$756,Cleaned_Futures_Data!$B$2:$B$756,A225)</f>
        <v>161560</v>
      </c>
    </row>
    <row r="226" customFormat="false" ht="15" hidden="false" customHeight="true" outlineLevel="0" collapsed="false">
      <c r="A226" s="39" t="n">
        <v>45987</v>
      </c>
      <c r="B226" s="39" t="n">
        <f aca="false">_xlfn.MINIFS(Cleaned_Futures_Data!$C$2:$C$756,Cleaned_Futures_Data!$B$2:$B$756,A226)</f>
        <v>46021</v>
      </c>
      <c r="C226" s="40" t="n">
        <f aca="false">B226-A226</f>
        <v>34</v>
      </c>
      <c r="D226" s="41" t="n">
        <f aca="false">IFERROR(AVERAGEIFS(Cleaned_Futures_Data!$G$2:$G$756,Cleaned_Futures_Data!$B$2:$B$756,A226,Cleaned_Futures_Data!$W$2:$W$756,1),"")</f>
        <v>26381.2</v>
      </c>
      <c r="E226" s="41" t="n">
        <f aca="false">IFERROR(AVERAGEIFS(Cleaned_Futures_Data!$N$2:$N$756,Cleaned_Futures_Data!$B$2:$B$756,A226,Cleaned_Futures_Data!$W$2:$W$756,1),"")</f>
        <v>26205.3</v>
      </c>
      <c r="F226" s="42" t="n">
        <f aca="false">IF(AND(ISNUMBER(D226),ISNUMBER(E226)),D226-E226,"")</f>
        <v>175.900000000001</v>
      </c>
      <c r="G226" s="43" t="n">
        <f aca="false">SUMIFS(Cleaned_Futures_Data!$J$2:$J$756,Cleaned_Futures_Data!$B$2:$B$756,A226,Cleaned_Futures_Data!$W$2:$W$756,1)</f>
        <v>97557</v>
      </c>
      <c r="H226" s="43" t="n">
        <f aca="false">SUMIFS(Cleaned_Futures_Data!$L$2:$L$756,Cleaned_Futures_Data!$B$2:$B$756,A226,Cleaned_Futures_Data!$W$2:$W$756,1)</f>
        <v>14001225</v>
      </c>
      <c r="I226" s="43" t="n">
        <f aca="false">SUMIFS(Cleaned_Futures_Data!$J$2:$J$756,Cleaned_Futures_Data!$B$2:$B$756,A226)</f>
        <v>104380</v>
      </c>
    </row>
    <row r="227" customFormat="false" ht="15" hidden="false" customHeight="true" outlineLevel="0" collapsed="false">
      <c r="A227" s="39" t="n">
        <v>45988</v>
      </c>
      <c r="B227" s="39" t="n">
        <f aca="false">_xlfn.MINIFS(Cleaned_Futures_Data!$C$2:$C$756,Cleaned_Futures_Data!$B$2:$B$756,A227)</f>
        <v>46021</v>
      </c>
      <c r="C227" s="40" t="n">
        <f aca="false">B227-A227</f>
        <v>33</v>
      </c>
      <c r="D227" s="41" t="n">
        <f aca="false">IFERROR(AVERAGEIFS(Cleaned_Futures_Data!$G$2:$G$756,Cleaned_Futures_Data!$B$2:$B$756,A227,Cleaned_Futures_Data!$W$2:$W$756,1),"")</f>
        <v>26390.9</v>
      </c>
      <c r="E227" s="41" t="n">
        <f aca="false">IFERROR(AVERAGEIFS(Cleaned_Futures_Data!$N$2:$N$756,Cleaned_Futures_Data!$B$2:$B$756,A227,Cleaned_Futures_Data!$W$2:$W$756,1),"")</f>
        <v>26215.55</v>
      </c>
      <c r="F227" s="42" t="n">
        <f aca="false">IF(AND(ISNUMBER(D227),ISNUMBER(E227)),D227-E227,"")</f>
        <v>175.350000000002</v>
      </c>
      <c r="G227" s="43" t="n">
        <f aca="false">SUMIFS(Cleaned_Futures_Data!$J$2:$J$756,Cleaned_Futures_Data!$B$2:$B$756,A227,Cleaned_Futures_Data!$W$2:$W$756,1)</f>
        <v>65157</v>
      </c>
      <c r="H227" s="43" t="n">
        <f aca="false">SUMIFS(Cleaned_Futures_Data!$L$2:$L$756,Cleaned_Futures_Data!$B$2:$B$756,A227,Cleaned_Futures_Data!$W$2:$W$756,1)</f>
        <v>13814175</v>
      </c>
      <c r="I227" s="43" t="n">
        <f aca="false">SUMIFS(Cleaned_Futures_Data!$J$2:$J$756,Cleaned_Futures_Data!$B$2:$B$756,A227)</f>
        <v>71936</v>
      </c>
    </row>
    <row r="228" customFormat="false" ht="15" hidden="false" customHeight="true" outlineLevel="0" collapsed="false">
      <c r="A228" s="39" t="n">
        <v>45989</v>
      </c>
      <c r="B228" s="39" t="n">
        <f aca="false">_xlfn.MINIFS(Cleaned_Futures_Data!$C$2:$C$756,Cleaned_Futures_Data!$B$2:$B$756,A228)</f>
        <v>46021</v>
      </c>
      <c r="C228" s="40" t="n">
        <f aca="false">B228-A228</f>
        <v>32</v>
      </c>
      <c r="D228" s="41" t="n">
        <f aca="false">IFERROR(AVERAGEIFS(Cleaned_Futures_Data!$G$2:$G$756,Cleaned_Futures_Data!$B$2:$B$756,A228,Cleaned_Futures_Data!$W$2:$W$756,1),"")</f>
        <v>26387.4</v>
      </c>
      <c r="E228" s="41" t="n">
        <f aca="false">IFERROR(AVERAGEIFS(Cleaned_Futures_Data!$N$2:$N$756,Cleaned_Futures_Data!$B$2:$B$756,A228,Cleaned_Futures_Data!$W$2:$W$756,1),"")</f>
        <v>26202.95</v>
      </c>
      <c r="F228" s="42" t="n">
        <f aca="false">IF(AND(ISNUMBER(D228),ISNUMBER(E228)),D228-E228,"")</f>
        <v>184.450000000001</v>
      </c>
      <c r="G228" s="43" t="n">
        <f aca="false">SUMIFS(Cleaned_Futures_Data!$J$2:$J$756,Cleaned_Futures_Data!$B$2:$B$756,A228,Cleaned_Futures_Data!$W$2:$W$756,1)</f>
        <v>40720</v>
      </c>
      <c r="H228" s="43" t="n">
        <f aca="false">SUMIFS(Cleaned_Futures_Data!$L$2:$L$756,Cleaned_Futures_Data!$B$2:$B$756,A228,Cleaned_Futures_Data!$W$2:$W$756,1)</f>
        <v>13619100</v>
      </c>
      <c r="I228" s="43" t="n">
        <f aca="false">SUMIFS(Cleaned_Futures_Data!$J$2:$J$756,Cleaned_Futures_Data!$B$2:$B$756,A228)</f>
        <v>43860</v>
      </c>
    </row>
    <row r="229" customFormat="false" ht="15" hidden="false" customHeight="true" outlineLevel="0" collapsed="false">
      <c r="A229" s="39" t="n">
        <v>45992</v>
      </c>
      <c r="B229" s="39" t="n">
        <f aca="false">_xlfn.MINIFS(Cleaned_Futures_Data!$C$2:$C$756,Cleaned_Futures_Data!$B$2:$B$756,A229)</f>
        <v>46021</v>
      </c>
      <c r="C229" s="40" t="n">
        <f aca="false">B229-A229</f>
        <v>29</v>
      </c>
      <c r="D229" s="41" t="n">
        <f aca="false">IFERROR(AVERAGEIFS(Cleaned_Futures_Data!$G$2:$G$756,Cleaned_Futures_Data!$B$2:$B$756,A229,Cleaned_Futures_Data!$W$2:$W$756,1),"")</f>
        <v>26334.7</v>
      </c>
      <c r="E229" s="41" t="n">
        <f aca="false">IFERROR(AVERAGEIFS(Cleaned_Futures_Data!$N$2:$N$756,Cleaned_Futures_Data!$B$2:$B$756,A229,Cleaned_Futures_Data!$W$2:$W$756,1),"")</f>
        <v>26175.75</v>
      </c>
      <c r="F229" s="42" t="n">
        <f aca="false">IF(AND(ISNUMBER(D229),ISNUMBER(E229)),D229-E229,"")</f>
        <v>158.950000000001</v>
      </c>
      <c r="G229" s="43" t="n">
        <f aca="false">SUMIFS(Cleaned_Futures_Data!$J$2:$J$756,Cleaned_Futures_Data!$B$2:$B$756,A229,Cleaned_Futures_Data!$W$2:$W$756,1)</f>
        <v>65083</v>
      </c>
      <c r="H229" s="43" t="n">
        <f aca="false">SUMIFS(Cleaned_Futures_Data!$L$2:$L$756,Cleaned_Futures_Data!$B$2:$B$756,A229,Cleaned_Futures_Data!$W$2:$W$756,1)</f>
        <v>14077275</v>
      </c>
      <c r="I229" s="43" t="n">
        <f aca="false">SUMIFS(Cleaned_Futures_Data!$J$2:$J$756,Cleaned_Futures_Data!$B$2:$B$756,A229)</f>
        <v>70371</v>
      </c>
    </row>
    <row r="230" customFormat="false" ht="15" hidden="false" customHeight="true" outlineLevel="0" collapsed="false">
      <c r="A230" s="39" t="n">
        <v>45993</v>
      </c>
      <c r="B230" s="39" t="n">
        <f aca="false">_xlfn.MINIFS(Cleaned_Futures_Data!$C$2:$C$756,Cleaned_Futures_Data!$B$2:$B$756,A230)</f>
        <v>46021</v>
      </c>
      <c r="C230" s="40" t="n">
        <f aca="false">B230-A230</f>
        <v>28</v>
      </c>
      <c r="D230" s="41" t="n">
        <f aca="false">IFERROR(AVERAGEIFS(Cleaned_Futures_Data!$G$2:$G$756,Cleaned_Futures_Data!$B$2:$B$756,A230,Cleaned_Futures_Data!$W$2:$W$756,1),"")</f>
        <v>26213</v>
      </c>
      <c r="E230" s="41" t="n">
        <f aca="false">IFERROR(AVERAGEIFS(Cleaned_Futures_Data!$N$2:$N$756,Cleaned_Futures_Data!$B$2:$B$756,A230,Cleaned_Futures_Data!$W$2:$W$756,1),"")</f>
        <v>26032.2</v>
      </c>
      <c r="F230" s="42" t="n">
        <f aca="false">IF(AND(ISNUMBER(D230),ISNUMBER(E230)),D230-E230,"")</f>
        <v>180.799999999999</v>
      </c>
      <c r="G230" s="43" t="n">
        <f aca="false">SUMIFS(Cleaned_Futures_Data!$J$2:$J$756,Cleaned_Futures_Data!$B$2:$B$756,A230,Cleaned_Futures_Data!$W$2:$W$756,1)</f>
        <v>67766</v>
      </c>
      <c r="H230" s="43" t="n">
        <f aca="false">SUMIFS(Cleaned_Futures_Data!$L$2:$L$756,Cleaned_Futures_Data!$B$2:$B$756,A230,Cleaned_Futures_Data!$W$2:$W$756,1)</f>
        <v>14568000</v>
      </c>
      <c r="I230" s="43" t="n">
        <f aca="false">SUMIFS(Cleaned_Futures_Data!$J$2:$J$756,Cleaned_Futures_Data!$B$2:$B$756,A230)</f>
        <v>73378</v>
      </c>
    </row>
    <row r="231" customFormat="false" ht="15" hidden="false" customHeight="true" outlineLevel="0" collapsed="false">
      <c r="A231" s="39" t="n">
        <v>45994</v>
      </c>
      <c r="B231" s="39" t="n">
        <f aca="false">_xlfn.MINIFS(Cleaned_Futures_Data!$C$2:$C$756,Cleaned_Futures_Data!$B$2:$B$756,A231)</f>
        <v>46021</v>
      </c>
      <c r="C231" s="40" t="n">
        <f aca="false">B231-A231</f>
        <v>27</v>
      </c>
      <c r="D231" s="41" t="n">
        <f aca="false">IFERROR(AVERAGEIFS(Cleaned_Futures_Data!$G$2:$G$756,Cleaned_Futures_Data!$B$2:$B$756,A231,Cleaned_Futures_Data!$W$2:$W$756,1),"")</f>
        <v>26136.2</v>
      </c>
      <c r="E231" s="41" t="n">
        <f aca="false">IFERROR(AVERAGEIFS(Cleaned_Futures_Data!$N$2:$N$756,Cleaned_Futures_Data!$B$2:$B$756,A231,Cleaned_Futures_Data!$W$2:$W$756,1),"")</f>
        <v>25986</v>
      </c>
      <c r="F231" s="42" t="n">
        <f aca="false">IF(AND(ISNUMBER(D231),ISNUMBER(E231)),D231-E231,"")</f>
        <v>150.200000000001</v>
      </c>
      <c r="G231" s="43" t="n">
        <f aca="false">SUMIFS(Cleaned_Futures_Data!$J$2:$J$756,Cleaned_Futures_Data!$B$2:$B$756,A231,Cleaned_Futures_Data!$W$2:$W$756,1)</f>
        <v>73515</v>
      </c>
      <c r="H231" s="43" t="n">
        <f aca="false">SUMIFS(Cleaned_Futures_Data!$L$2:$L$756,Cleaned_Futures_Data!$B$2:$B$756,A231,Cleaned_Futures_Data!$W$2:$W$756,1)</f>
        <v>15189000</v>
      </c>
      <c r="I231" s="43" t="n">
        <f aca="false">SUMIFS(Cleaned_Futures_Data!$J$2:$J$756,Cleaned_Futures_Data!$B$2:$B$756,A231)</f>
        <v>79784</v>
      </c>
    </row>
    <row r="232" customFormat="false" ht="15" hidden="false" customHeight="true" outlineLevel="0" collapsed="false">
      <c r="A232" s="39" t="n">
        <v>45995</v>
      </c>
      <c r="B232" s="39" t="n">
        <f aca="false">_xlfn.MINIFS(Cleaned_Futures_Data!$C$2:$C$756,Cleaned_Futures_Data!$B$2:$B$756,A232)</f>
        <v>46021</v>
      </c>
      <c r="C232" s="40" t="n">
        <f aca="false">B232-A232</f>
        <v>26</v>
      </c>
      <c r="D232" s="41" t="n">
        <f aca="false">IFERROR(AVERAGEIFS(Cleaned_Futures_Data!$G$2:$G$756,Cleaned_Futures_Data!$B$2:$B$756,A232,Cleaned_Futures_Data!$W$2:$W$756,1),"")</f>
        <v>26186.5</v>
      </c>
      <c r="E232" s="41" t="n">
        <f aca="false">IFERROR(AVERAGEIFS(Cleaned_Futures_Data!$N$2:$N$756,Cleaned_Futures_Data!$B$2:$B$756,A232,Cleaned_Futures_Data!$W$2:$W$756,1),"")</f>
        <v>26033.75</v>
      </c>
      <c r="F232" s="42" t="n">
        <f aca="false">IF(AND(ISNUMBER(D232),ISNUMBER(E232)),D232-E232,"")</f>
        <v>152.75</v>
      </c>
      <c r="G232" s="43" t="n">
        <f aca="false">SUMIFS(Cleaned_Futures_Data!$J$2:$J$756,Cleaned_Futures_Data!$B$2:$B$756,A232,Cleaned_Futures_Data!$W$2:$W$756,1)</f>
        <v>60874</v>
      </c>
      <c r="H232" s="43" t="n">
        <f aca="false">SUMIFS(Cleaned_Futures_Data!$L$2:$L$756,Cleaned_Futures_Data!$B$2:$B$756,A232,Cleaned_Futures_Data!$W$2:$W$756,1)</f>
        <v>15098475</v>
      </c>
      <c r="I232" s="43" t="n">
        <f aca="false">SUMIFS(Cleaned_Futures_Data!$J$2:$J$756,Cleaned_Futures_Data!$B$2:$B$756,A232)</f>
        <v>65605</v>
      </c>
    </row>
    <row r="233" customFormat="false" ht="15" hidden="false" customHeight="true" outlineLevel="0" collapsed="false">
      <c r="A233" s="39" t="n">
        <v>45996</v>
      </c>
      <c r="B233" s="39" t="n">
        <f aca="false">_xlfn.MINIFS(Cleaned_Futures_Data!$C$2:$C$756,Cleaned_Futures_Data!$B$2:$B$756,A233)</f>
        <v>46021</v>
      </c>
      <c r="C233" s="40" t="n">
        <f aca="false">B233-A233</f>
        <v>25</v>
      </c>
      <c r="D233" s="41" t="n">
        <f aca="false">IFERROR(AVERAGEIFS(Cleaned_Futures_Data!$G$2:$G$756,Cleaned_Futures_Data!$B$2:$B$756,A233,Cleaned_Futures_Data!$W$2:$W$756,1),"")</f>
        <v>26333.2</v>
      </c>
      <c r="E233" s="41" t="n">
        <f aca="false">IFERROR(AVERAGEIFS(Cleaned_Futures_Data!$N$2:$N$756,Cleaned_Futures_Data!$B$2:$B$756,A233,Cleaned_Futures_Data!$W$2:$W$756,1),"")</f>
        <v>26186.45</v>
      </c>
      <c r="F233" s="42" t="n">
        <f aca="false">IF(AND(ISNUMBER(D233),ISNUMBER(E233)),D233-E233,"")</f>
        <v>146.75</v>
      </c>
      <c r="G233" s="43" t="n">
        <f aca="false">SUMIFS(Cleaned_Futures_Data!$J$2:$J$756,Cleaned_Futures_Data!$B$2:$B$756,A233,Cleaned_Futures_Data!$W$2:$W$756,1)</f>
        <v>78894</v>
      </c>
      <c r="H233" s="43" t="n">
        <f aca="false">SUMIFS(Cleaned_Futures_Data!$L$2:$L$756,Cleaned_Futures_Data!$B$2:$B$756,A233,Cleaned_Futures_Data!$W$2:$W$756,1)</f>
        <v>14727075</v>
      </c>
      <c r="I233" s="43" t="n">
        <f aca="false">SUMIFS(Cleaned_Futures_Data!$J$2:$J$756,Cleaned_Futures_Data!$B$2:$B$756,A233)</f>
        <v>85209</v>
      </c>
    </row>
    <row r="234" customFormat="false" ht="15" hidden="false" customHeight="true" outlineLevel="0" collapsed="false">
      <c r="A234" s="39" t="n">
        <v>45999</v>
      </c>
      <c r="B234" s="39" t="n">
        <f aca="false">_xlfn.MINIFS(Cleaned_Futures_Data!$C$2:$C$756,Cleaned_Futures_Data!$B$2:$B$756,A234)</f>
        <v>46021</v>
      </c>
      <c r="C234" s="40" t="n">
        <f aca="false">B234-A234</f>
        <v>22</v>
      </c>
      <c r="D234" s="41" t="n">
        <f aca="false">IFERROR(AVERAGEIFS(Cleaned_Futures_Data!$G$2:$G$756,Cleaned_Futures_Data!$B$2:$B$756,A234,Cleaned_Futures_Data!$W$2:$W$756,1),"")</f>
        <v>26064.7</v>
      </c>
      <c r="E234" s="41" t="n">
        <f aca="false">IFERROR(AVERAGEIFS(Cleaned_Futures_Data!$N$2:$N$756,Cleaned_Futures_Data!$B$2:$B$756,A234,Cleaned_Futures_Data!$W$2:$W$756,1),"")</f>
        <v>25960.55</v>
      </c>
      <c r="F234" s="42" t="n">
        <f aca="false">IF(AND(ISNUMBER(D234),ISNUMBER(E234)),D234-E234,"")</f>
        <v>104.150000000001</v>
      </c>
      <c r="G234" s="43" t="n">
        <f aca="false">SUMIFS(Cleaned_Futures_Data!$J$2:$J$756,Cleaned_Futures_Data!$B$2:$B$756,A234,Cleaned_Futures_Data!$W$2:$W$756,1)</f>
        <v>88146</v>
      </c>
      <c r="H234" s="43" t="n">
        <f aca="false">SUMIFS(Cleaned_Futures_Data!$L$2:$L$756,Cleaned_Futures_Data!$B$2:$B$756,A234,Cleaned_Futures_Data!$W$2:$W$756,1)</f>
        <v>15977700</v>
      </c>
      <c r="I234" s="43" t="n">
        <f aca="false">SUMIFS(Cleaned_Futures_Data!$J$2:$J$756,Cleaned_Futures_Data!$B$2:$B$756,A234)</f>
        <v>97167</v>
      </c>
    </row>
    <row r="235" customFormat="false" ht="15" hidden="false" customHeight="true" outlineLevel="0" collapsed="false">
      <c r="A235" s="39" t="n">
        <v>46000</v>
      </c>
      <c r="B235" s="39" t="n">
        <f aca="false">_xlfn.MINIFS(Cleaned_Futures_Data!$C$2:$C$756,Cleaned_Futures_Data!$B$2:$B$756,A235)</f>
        <v>46021</v>
      </c>
      <c r="C235" s="40" t="n">
        <f aca="false">B235-A235</f>
        <v>21</v>
      </c>
      <c r="D235" s="41" t="n">
        <f aca="false">IFERROR(AVERAGEIFS(Cleaned_Futures_Data!$G$2:$G$756,Cleaned_Futures_Data!$B$2:$B$756,A235,Cleaned_Futures_Data!$W$2:$W$756,1),"")</f>
        <v>25960.2</v>
      </c>
      <c r="E235" s="41" t="n">
        <f aca="false">IFERROR(AVERAGEIFS(Cleaned_Futures_Data!$N$2:$N$756,Cleaned_Futures_Data!$B$2:$B$756,A235,Cleaned_Futures_Data!$W$2:$W$756,1),"")</f>
        <v>25839.65</v>
      </c>
      <c r="F235" s="42" t="n">
        <f aca="false">IF(AND(ISNUMBER(D235),ISNUMBER(E235)),D235-E235,"")</f>
        <v>120.549999999999</v>
      </c>
      <c r="G235" s="43" t="n">
        <f aca="false">SUMIFS(Cleaned_Futures_Data!$J$2:$J$756,Cleaned_Futures_Data!$B$2:$B$756,A235,Cleaned_Futures_Data!$W$2:$W$756,1)</f>
        <v>90887</v>
      </c>
      <c r="H235" s="43" t="n">
        <f aca="false">SUMIFS(Cleaned_Futures_Data!$L$2:$L$756,Cleaned_Futures_Data!$B$2:$B$756,A235,Cleaned_Futures_Data!$W$2:$W$756,1)</f>
        <v>16474200</v>
      </c>
      <c r="I235" s="43" t="n">
        <f aca="false">SUMIFS(Cleaned_Futures_Data!$J$2:$J$756,Cleaned_Futures_Data!$B$2:$B$756,A235)</f>
        <v>100662</v>
      </c>
    </row>
    <row r="236" customFormat="false" ht="15" hidden="false" customHeight="true" outlineLevel="0" collapsed="false">
      <c r="A236" s="39" t="n">
        <v>46001</v>
      </c>
      <c r="B236" s="39" t="n">
        <f aca="false">_xlfn.MINIFS(Cleaned_Futures_Data!$C$2:$C$756,Cleaned_Futures_Data!$B$2:$B$756,A236)</f>
        <v>46021</v>
      </c>
      <c r="C236" s="40" t="n">
        <f aca="false">B236-A236</f>
        <v>20</v>
      </c>
      <c r="D236" s="41" t="n">
        <f aca="false">IFERROR(AVERAGEIFS(Cleaned_Futures_Data!$G$2:$G$756,Cleaned_Futures_Data!$B$2:$B$756,A236,Cleaned_Futures_Data!$W$2:$W$756,1),"")</f>
        <v>25863.9</v>
      </c>
      <c r="E236" s="41" t="n">
        <f aca="false">IFERROR(AVERAGEIFS(Cleaned_Futures_Data!$N$2:$N$756,Cleaned_Futures_Data!$B$2:$B$756,A236,Cleaned_Futures_Data!$W$2:$W$756,1),"")</f>
        <v>25758</v>
      </c>
      <c r="F236" s="42" t="n">
        <f aca="false">IF(AND(ISNUMBER(D236),ISNUMBER(E236)),D236-E236,"")</f>
        <v>105.900000000001</v>
      </c>
      <c r="G236" s="43" t="n">
        <f aca="false">SUMIFS(Cleaned_Futures_Data!$J$2:$J$756,Cleaned_Futures_Data!$B$2:$B$756,A236,Cleaned_Futures_Data!$W$2:$W$756,1)</f>
        <v>66432</v>
      </c>
      <c r="H236" s="43" t="n">
        <f aca="false">SUMIFS(Cleaned_Futures_Data!$L$2:$L$756,Cleaned_Futures_Data!$B$2:$B$756,A236,Cleaned_Futures_Data!$W$2:$W$756,1)</f>
        <v>16857150</v>
      </c>
      <c r="I236" s="43" t="n">
        <f aca="false">SUMIFS(Cleaned_Futures_Data!$J$2:$J$756,Cleaned_Futures_Data!$B$2:$B$756,A236)</f>
        <v>73747</v>
      </c>
    </row>
    <row r="237" customFormat="false" ht="15" hidden="false" customHeight="true" outlineLevel="0" collapsed="false">
      <c r="A237" s="39" t="n">
        <v>46002</v>
      </c>
      <c r="B237" s="39" t="n">
        <f aca="false">_xlfn.MINIFS(Cleaned_Futures_Data!$C$2:$C$756,Cleaned_Futures_Data!$B$2:$B$756,A237)</f>
        <v>46021</v>
      </c>
      <c r="C237" s="40" t="n">
        <f aca="false">B237-A237</f>
        <v>19</v>
      </c>
      <c r="D237" s="41" t="n">
        <f aca="false">IFERROR(AVERAGEIFS(Cleaned_Futures_Data!$G$2:$G$756,Cleaned_Futures_Data!$B$2:$B$756,A237,Cleaned_Futures_Data!$W$2:$W$756,1),"")</f>
        <v>26009.5</v>
      </c>
      <c r="E237" s="41" t="n">
        <f aca="false">IFERROR(AVERAGEIFS(Cleaned_Futures_Data!$N$2:$N$756,Cleaned_Futures_Data!$B$2:$B$756,A237,Cleaned_Futures_Data!$W$2:$W$756,1),"")</f>
        <v>25898.55</v>
      </c>
      <c r="F237" s="42" t="n">
        <f aca="false">IF(AND(ISNUMBER(D237),ISNUMBER(E237)),D237-E237,"")</f>
        <v>110.950000000001</v>
      </c>
      <c r="G237" s="43" t="n">
        <f aca="false">SUMIFS(Cleaned_Futures_Data!$J$2:$J$756,Cleaned_Futures_Data!$B$2:$B$756,A237,Cleaned_Futures_Data!$W$2:$W$756,1)</f>
        <v>74247</v>
      </c>
      <c r="H237" s="43" t="n">
        <f aca="false">SUMIFS(Cleaned_Futures_Data!$L$2:$L$756,Cleaned_Futures_Data!$B$2:$B$756,A237,Cleaned_Futures_Data!$W$2:$W$756,1)</f>
        <v>16285800</v>
      </c>
      <c r="I237" s="43" t="n">
        <f aca="false">SUMIFS(Cleaned_Futures_Data!$J$2:$J$756,Cleaned_Futures_Data!$B$2:$B$756,A237)</f>
        <v>81665</v>
      </c>
    </row>
    <row r="238" customFormat="false" ht="15" hidden="false" customHeight="true" outlineLevel="0" collapsed="false">
      <c r="A238" s="39" t="n">
        <v>46003</v>
      </c>
      <c r="B238" s="39" t="n">
        <f aca="false">_xlfn.MINIFS(Cleaned_Futures_Data!$C$2:$C$756,Cleaned_Futures_Data!$B$2:$B$756,A238)</f>
        <v>46021</v>
      </c>
      <c r="C238" s="40" t="n">
        <f aca="false">B238-A238</f>
        <v>18</v>
      </c>
      <c r="D238" s="41" t="n">
        <f aca="false">IFERROR(AVERAGEIFS(Cleaned_Futures_Data!$G$2:$G$756,Cleaned_Futures_Data!$B$2:$B$756,A238,Cleaned_Futures_Data!$W$2:$W$756,1),"")</f>
        <v>26145.4</v>
      </c>
      <c r="E238" s="41" t="n">
        <f aca="false">IFERROR(AVERAGEIFS(Cleaned_Futures_Data!$N$2:$N$756,Cleaned_Futures_Data!$B$2:$B$756,A238,Cleaned_Futures_Data!$W$2:$W$756,1),"")</f>
        <v>26046.95</v>
      </c>
      <c r="F238" s="42" t="n">
        <f aca="false">IF(AND(ISNUMBER(D238),ISNUMBER(E238)),D238-E238,"")</f>
        <v>98.4500000000007</v>
      </c>
      <c r="G238" s="43" t="n">
        <f aca="false">SUMIFS(Cleaned_Futures_Data!$J$2:$J$756,Cleaned_Futures_Data!$B$2:$B$756,A238,Cleaned_Futures_Data!$W$2:$W$756,1)</f>
        <v>63960</v>
      </c>
      <c r="H238" s="43" t="n">
        <f aca="false">SUMIFS(Cleaned_Futures_Data!$L$2:$L$756,Cleaned_Futures_Data!$B$2:$B$756,A238,Cleaned_Futures_Data!$W$2:$W$756,1)</f>
        <v>16302825</v>
      </c>
      <c r="I238" s="43" t="n">
        <f aca="false">SUMIFS(Cleaned_Futures_Data!$J$2:$J$756,Cleaned_Futures_Data!$B$2:$B$756,A238)</f>
        <v>70759</v>
      </c>
    </row>
    <row r="239" customFormat="false" ht="15" hidden="false" customHeight="true" outlineLevel="0" collapsed="false">
      <c r="A239" s="39" t="n">
        <v>46006</v>
      </c>
      <c r="B239" s="39" t="n">
        <f aca="false">_xlfn.MINIFS(Cleaned_Futures_Data!$C$2:$C$756,Cleaned_Futures_Data!$B$2:$B$756,A239)</f>
        <v>46021</v>
      </c>
      <c r="C239" s="40" t="n">
        <f aca="false">B239-A239</f>
        <v>15</v>
      </c>
      <c r="D239" s="41" t="n">
        <f aca="false">IFERROR(AVERAGEIFS(Cleaned_Futures_Data!$G$2:$G$756,Cleaned_Futures_Data!$B$2:$B$756,A239,Cleaned_Futures_Data!$W$2:$W$756,1),"")</f>
        <v>26108.7</v>
      </c>
      <c r="E239" s="41" t="n">
        <f aca="false">IFERROR(AVERAGEIFS(Cleaned_Futures_Data!$N$2:$N$756,Cleaned_Futures_Data!$B$2:$B$756,A239,Cleaned_Futures_Data!$W$2:$W$756,1),"")</f>
        <v>26027.3</v>
      </c>
      <c r="F239" s="42" t="n">
        <f aca="false">IF(AND(ISNUMBER(D239),ISNUMBER(E239)),D239-E239,"")</f>
        <v>81.4000000000015</v>
      </c>
      <c r="G239" s="43" t="n">
        <f aca="false">SUMIFS(Cleaned_Futures_Data!$J$2:$J$756,Cleaned_Futures_Data!$B$2:$B$756,A239,Cleaned_Futures_Data!$W$2:$W$756,1)</f>
        <v>60278</v>
      </c>
      <c r="H239" s="43" t="n">
        <f aca="false">SUMIFS(Cleaned_Futures_Data!$L$2:$L$756,Cleaned_Futures_Data!$B$2:$B$756,A239,Cleaned_Futures_Data!$W$2:$W$756,1)</f>
        <v>15875025</v>
      </c>
      <c r="I239" s="43" t="n">
        <f aca="false">SUMIFS(Cleaned_Futures_Data!$J$2:$J$756,Cleaned_Futures_Data!$B$2:$B$756,A239)</f>
        <v>67301</v>
      </c>
    </row>
    <row r="240" customFormat="false" ht="15" hidden="false" customHeight="true" outlineLevel="0" collapsed="false">
      <c r="A240" s="39" t="n">
        <v>46007</v>
      </c>
      <c r="B240" s="39" t="n">
        <f aca="false">_xlfn.MINIFS(Cleaned_Futures_Data!$C$2:$C$756,Cleaned_Futures_Data!$B$2:$B$756,A240)</f>
        <v>46021</v>
      </c>
      <c r="C240" s="40" t="n">
        <f aca="false">B240-A240</f>
        <v>14</v>
      </c>
      <c r="D240" s="41" t="n">
        <f aca="false">IFERROR(AVERAGEIFS(Cleaned_Futures_Data!$G$2:$G$756,Cleaned_Futures_Data!$B$2:$B$756,A240,Cleaned_Futures_Data!$W$2:$W$756,1),"")</f>
        <v>25940.7</v>
      </c>
      <c r="E240" s="41" t="n">
        <f aca="false">IFERROR(AVERAGEIFS(Cleaned_Futures_Data!$N$2:$N$756,Cleaned_Futures_Data!$B$2:$B$756,A240,Cleaned_Futures_Data!$W$2:$W$756,1),"")</f>
        <v>25860.1</v>
      </c>
      <c r="F240" s="42" t="n">
        <f aca="false">IF(AND(ISNUMBER(D240),ISNUMBER(E240)),D240-E240,"")</f>
        <v>80.6000000000022</v>
      </c>
      <c r="G240" s="43" t="n">
        <f aca="false">SUMIFS(Cleaned_Futures_Data!$J$2:$J$756,Cleaned_Futures_Data!$B$2:$B$756,A240,Cleaned_Futures_Data!$W$2:$W$756,1)</f>
        <v>64790</v>
      </c>
      <c r="H240" s="43" t="n">
        <f aca="false">SUMIFS(Cleaned_Futures_Data!$L$2:$L$756,Cleaned_Futures_Data!$B$2:$B$756,A240,Cleaned_Futures_Data!$W$2:$W$756,1)</f>
        <v>16142550</v>
      </c>
      <c r="I240" s="43" t="n">
        <f aca="false">SUMIFS(Cleaned_Futures_Data!$J$2:$J$756,Cleaned_Futures_Data!$B$2:$B$756,A240)</f>
        <v>72686</v>
      </c>
    </row>
    <row r="241" customFormat="false" ht="15" hidden="false" customHeight="true" outlineLevel="0" collapsed="false">
      <c r="A241" s="39" t="n">
        <v>46008</v>
      </c>
      <c r="B241" s="39" t="n">
        <f aca="false">_xlfn.MINIFS(Cleaned_Futures_Data!$C$2:$C$756,Cleaned_Futures_Data!$B$2:$B$756,A241)</f>
        <v>46021</v>
      </c>
      <c r="C241" s="40" t="n">
        <f aca="false">B241-A241</f>
        <v>13</v>
      </c>
      <c r="D241" s="41" t="n">
        <f aca="false">IFERROR(AVERAGEIFS(Cleaned_Futures_Data!$G$2:$G$756,Cleaned_Futures_Data!$B$2:$B$756,A241,Cleaned_Futures_Data!$W$2:$W$756,1),"")</f>
        <v>25897.8</v>
      </c>
      <c r="E241" s="41" t="n">
        <f aca="false">IFERROR(AVERAGEIFS(Cleaned_Futures_Data!$N$2:$N$756,Cleaned_Futures_Data!$B$2:$B$756,A241,Cleaned_Futures_Data!$W$2:$W$756,1),"")</f>
        <v>25818.55</v>
      </c>
      <c r="F241" s="42" t="n">
        <f aca="false">IF(AND(ISNUMBER(D241),ISNUMBER(E241)),D241-E241,"")</f>
        <v>79.25</v>
      </c>
      <c r="G241" s="43" t="n">
        <f aca="false">SUMIFS(Cleaned_Futures_Data!$J$2:$J$756,Cleaned_Futures_Data!$B$2:$B$756,A241,Cleaned_Futures_Data!$W$2:$W$756,1)</f>
        <v>48124</v>
      </c>
      <c r="H241" s="43" t="n">
        <f aca="false">SUMIFS(Cleaned_Futures_Data!$L$2:$L$756,Cleaned_Futures_Data!$B$2:$B$756,A241,Cleaned_Futures_Data!$W$2:$W$756,1)</f>
        <v>16414725</v>
      </c>
      <c r="I241" s="43" t="n">
        <f aca="false">SUMIFS(Cleaned_Futures_Data!$J$2:$J$756,Cleaned_Futures_Data!$B$2:$B$756,A241)</f>
        <v>54857</v>
      </c>
    </row>
    <row r="242" customFormat="false" ht="15" hidden="false" customHeight="true" outlineLevel="0" collapsed="false">
      <c r="A242" s="39" t="n">
        <v>46009</v>
      </c>
      <c r="B242" s="39" t="n">
        <f aca="false">_xlfn.MINIFS(Cleaned_Futures_Data!$C$2:$C$756,Cleaned_Futures_Data!$B$2:$B$756,A242)</f>
        <v>46021</v>
      </c>
      <c r="C242" s="40" t="n">
        <f aca="false">B242-A242</f>
        <v>12</v>
      </c>
      <c r="D242" s="41" t="n">
        <f aca="false">IFERROR(AVERAGEIFS(Cleaned_Futures_Data!$G$2:$G$756,Cleaned_Futures_Data!$B$2:$B$756,A242,Cleaned_Futures_Data!$W$2:$W$756,1),"")</f>
        <v>25880.6</v>
      </c>
      <c r="E242" s="41" t="n">
        <f aca="false">IFERROR(AVERAGEIFS(Cleaned_Futures_Data!$N$2:$N$756,Cleaned_Futures_Data!$B$2:$B$756,A242,Cleaned_Futures_Data!$W$2:$W$756,1),"")</f>
        <v>25815.55</v>
      </c>
      <c r="F242" s="42" t="n">
        <f aca="false">IF(AND(ISNUMBER(D242),ISNUMBER(E242)),D242-E242,"")</f>
        <v>65.0499999999993</v>
      </c>
      <c r="G242" s="43" t="n">
        <f aca="false">SUMIFS(Cleaned_Futures_Data!$J$2:$J$756,Cleaned_Futures_Data!$B$2:$B$756,A242,Cleaned_Futures_Data!$W$2:$W$756,1)</f>
        <v>68189</v>
      </c>
      <c r="H242" s="43" t="n">
        <f aca="false">SUMIFS(Cleaned_Futures_Data!$L$2:$L$756,Cleaned_Futures_Data!$B$2:$B$756,A242,Cleaned_Futures_Data!$W$2:$W$756,1)</f>
        <v>16043025</v>
      </c>
      <c r="I242" s="43" t="n">
        <f aca="false">SUMIFS(Cleaned_Futures_Data!$J$2:$J$756,Cleaned_Futures_Data!$B$2:$B$756,A242)</f>
        <v>76491</v>
      </c>
    </row>
    <row r="243" customFormat="false" ht="15" hidden="false" customHeight="true" outlineLevel="0" collapsed="false">
      <c r="A243" s="39" t="n">
        <v>46010</v>
      </c>
      <c r="B243" s="39" t="n">
        <f aca="false">_xlfn.MINIFS(Cleaned_Futures_Data!$C$2:$C$756,Cleaned_Futures_Data!$B$2:$B$756,A243)</f>
        <v>46021</v>
      </c>
      <c r="C243" s="40" t="n">
        <f aca="false">B243-A243</f>
        <v>11</v>
      </c>
      <c r="D243" s="41" t="n">
        <f aca="false">IFERROR(AVERAGEIFS(Cleaned_Futures_Data!$G$2:$G$756,Cleaned_Futures_Data!$B$2:$B$756,A243,Cleaned_Futures_Data!$W$2:$W$756,1),"")</f>
        <v>26030</v>
      </c>
      <c r="E243" s="41" t="n">
        <f aca="false">IFERROR(AVERAGEIFS(Cleaned_Futures_Data!$N$2:$N$756,Cleaned_Futures_Data!$B$2:$B$756,A243,Cleaned_Futures_Data!$W$2:$W$756,1),"")</f>
        <v>25966.4</v>
      </c>
      <c r="F243" s="42" t="n">
        <f aca="false">IF(AND(ISNUMBER(D243),ISNUMBER(E243)),D243-E243,"")</f>
        <v>63.5999999999985</v>
      </c>
      <c r="G243" s="43" t="n">
        <f aca="false">SUMIFS(Cleaned_Futures_Data!$J$2:$J$756,Cleaned_Futures_Data!$B$2:$B$756,A243,Cleaned_Futures_Data!$W$2:$W$756,1)</f>
        <v>62291</v>
      </c>
      <c r="H243" s="43" t="n">
        <f aca="false">SUMIFS(Cleaned_Futures_Data!$L$2:$L$756,Cleaned_Futures_Data!$B$2:$B$756,A243,Cleaned_Futures_Data!$W$2:$W$756,1)</f>
        <v>15160350</v>
      </c>
      <c r="I243" s="43" t="n">
        <f aca="false">SUMIFS(Cleaned_Futures_Data!$J$2:$J$756,Cleaned_Futures_Data!$B$2:$B$756,A243)</f>
        <v>71512</v>
      </c>
    </row>
    <row r="244" customFormat="false" ht="15" hidden="false" customHeight="true" outlineLevel="0" collapsed="false">
      <c r="A244" s="39" t="n">
        <v>46013</v>
      </c>
      <c r="B244" s="39" t="n">
        <f aca="false">_xlfn.MINIFS(Cleaned_Futures_Data!$C$2:$C$756,Cleaned_Futures_Data!$B$2:$B$756,A244)</f>
        <v>46021</v>
      </c>
      <c r="C244" s="40" t="n">
        <f aca="false">B244-A244</f>
        <v>8</v>
      </c>
      <c r="D244" s="41" t="n">
        <f aca="false">IFERROR(AVERAGEIFS(Cleaned_Futures_Data!$G$2:$G$756,Cleaned_Futures_Data!$B$2:$B$756,A244,Cleaned_Futures_Data!$W$2:$W$756,1),"")</f>
        <v>26197.9</v>
      </c>
      <c r="E244" s="41" t="n">
        <f aca="false">IFERROR(AVERAGEIFS(Cleaned_Futures_Data!$N$2:$N$756,Cleaned_Futures_Data!$B$2:$B$756,A244,Cleaned_Futures_Data!$W$2:$W$756,1),"")</f>
        <v>26172.4</v>
      </c>
      <c r="F244" s="42" t="n">
        <f aca="false">IF(AND(ISNUMBER(D244),ISNUMBER(E244)),D244-E244,"")</f>
        <v>25.5</v>
      </c>
      <c r="G244" s="43" t="n">
        <f aca="false">SUMIFS(Cleaned_Futures_Data!$J$2:$J$756,Cleaned_Futures_Data!$B$2:$B$756,A244,Cleaned_Futures_Data!$W$2:$W$756,1)</f>
        <v>47797</v>
      </c>
      <c r="H244" s="43" t="n">
        <f aca="false">SUMIFS(Cleaned_Futures_Data!$L$2:$L$756,Cleaned_Futures_Data!$B$2:$B$756,A244,Cleaned_Futures_Data!$W$2:$W$756,1)</f>
        <v>14458500</v>
      </c>
      <c r="I244" s="43" t="n">
        <f aca="false">SUMIFS(Cleaned_Futures_Data!$J$2:$J$756,Cleaned_Futures_Data!$B$2:$B$756,A244)</f>
        <v>64375</v>
      </c>
    </row>
    <row r="245" customFormat="false" ht="15" hidden="false" customHeight="true" outlineLevel="0" collapsed="false">
      <c r="A245" s="39" t="n">
        <v>46014</v>
      </c>
      <c r="B245" s="39" t="n">
        <f aca="false">_xlfn.MINIFS(Cleaned_Futures_Data!$C$2:$C$756,Cleaned_Futures_Data!$B$2:$B$756,A245)</f>
        <v>46021</v>
      </c>
      <c r="C245" s="40" t="n">
        <f aca="false">B245-A245</f>
        <v>7</v>
      </c>
      <c r="D245" s="41" t="n">
        <f aca="false">IFERROR(AVERAGEIFS(Cleaned_Futures_Data!$G$2:$G$756,Cleaned_Futures_Data!$B$2:$B$756,A245,Cleaned_Futures_Data!$W$2:$W$756,1),"")</f>
        <v>26206.9</v>
      </c>
      <c r="E245" s="41" t="n">
        <f aca="false">IFERROR(AVERAGEIFS(Cleaned_Futures_Data!$N$2:$N$756,Cleaned_Futures_Data!$B$2:$B$756,A245,Cleaned_Futures_Data!$W$2:$W$756,1),"")</f>
        <v>26177.15</v>
      </c>
      <c r="F245" s="42" t="n">
        <f aca="false">IF(AND(ISNUMBER(D245),ISNUMBER(E245)),D245-E245,"")</f>
        <v>29.75</v>
      </c>
      <c r="G245" s="43" t="n">
        <f aca="false">SUMIFS(Cleaned_Futures_Data!$J$2:$J$756,Cleaned_Futures_Data!$B$2:$B$756,A245,Cleaned_Futures_Data!$W$2:$W$756,1)</f>
        <v>41093</v>
      </c>
      <c r="H245" s="43" t="n">
        <f aca="false">SUMIFS(Cleaned_Futures_Data!$L$2:$L$756,Cleaned_Futures_Data!$B$2:$B$756,A245,Cleaned_Futures_Data!$W$2:$W$756,1)</f>
        <v>13633650</v>
      </c>
      <c r="I245" s="43" t="n">
        <f aca="false">SUMIFS(Cleaned_Futures_Data!$J$2:$J$756,Cleaned_Futures_Data!$B$2:$B$756,A245)</f>
        <v>56819</v>
      </c>
    </row>
    <row r="246" customFormat="false" ht="15" hidden="false" customHeight="true" outlineLevel="0" collapsed="false">
      <c r="A246" s="39" t="n">
        <v>46015</v>
      </c>
      <c r="B246" s="39" t="n">
        <f aca="false">_xlfn.MINIFS(Cleaned_Futures_Data!$C$2:$C$756,Cleaned_Futures_Data!$B$2:$B$756,A246)</f>
        <v>46021</v>
      </c>
      <c r="C246" s="40" t="n">
        <f aca="false">B246-A246</f>
        <v>6</v>
      </c>
      <c r="D246" s="41" t="n">
        <f aca="false">IFERROR(AVERAGEIFS(Cleaned_Futures_Data!$G$2:$G$756,Cleaned_Futures_Data!$B$2:$B$756,A246,Cleaned_Futures_Data!$W$2:$W$756,1),"")</f>
        <v>26173.1</v>
      </c>
      <c r="E246" s="41" t="n">
        <f aca="false">IFERROR(AVERAGEIFS(Cleaned_Futures_Data!$N$2:$N$756,Cleaned_Futures_Data!$B$2:$B$756,A246,Cleaned_Futures_Data!$W$2:$W$756,1),"")</f>
        <v>26142.1</v>
      </c>
      <c r="F246" s="42" t="n">
        <f aca="false">IF(AND(ISNUMBER(D246),ISNUMBER(E246)),D246-E246,"")</f>
        <v>31</v>
      </c>
      <c r="G246" s="43" t="n">
        <f aca="false">SUMIFS(Cleaned_Futures_Data!$J$2:$J$756,Cleaned_Futures_Data!$B$2:$B$756,A246,Cleaned_Futures_Data!$W$2:$W$756,1)</f>
        <v>44130</v>
      </c>
      <c r="H246" s="43" t="n">
        <f aca="false">SUMIFS(Cleaned_Futures_Data!$L$2:$L$756,Cleaned_Futures_Data!$B$2:$B$756,A246,Cleaned_Futures_Data!$W$2:$W$756,1)</f>
        <v>12572700</v>
      </c>
      <c r="I246" s="43" t="n">
        <f aca="false">SUMIFS(Cleaned_Futures_Data!$J$2:$J$756,Cleaned_Futures_Data!$B$2:$B$756,A246)</f>
        <v>68435</v>
      </c>
    </row>
    <row r="247" customFormat="false" ht="15" hidden="false" customHeight="true" outlineLevel="0" collapsed="false">
      <c r="A247" s="39" t="n">
        <v>46017</v>
      </c>
      <c r="B247" s="39" t="n">
        <f aca="false">_xlfn.MINIFS(Cleaned_Futures_Data!$C$2:$C$756,Cleaned_Futures_Data!$B$2:$B$756,A247)</f>
        <v>46021</v>
      </c>
      <c r="C247" s="40" t="n">
        <f aca="false">B247-A247</f>
        <v>4</v>
      </c>
      <c r="D247" s="41" t="n">
        <f aca="false">IFERROR(AVERAGEIFS(Cleaned_Futures_Data!$G$2:$G$756,Cleaned_Futures_Data!$B$2:$B$756,A247,Cleaned_Futures_Data!$W$2:$W$756,1),"")</f>
        <v>26060.2</v>
      </c>
      <c r="E247" s="41" t="n">
        <f aca="false">IFERROR(AVERAGEIFS(Cleaned_Futures_Data!$N$2:$N$756,Cleaned_Futures_Data!$B$2:$B$756,A247,Cleaned_Futures_Data!$W$2:$W$756,1),"")</f>
        <v>26042.3</v>
      </c>
      <c r="F247" s="42" t="n">
        <f aca="false">IF(AND(ISNUMBER(D247),ISNUMBER(E247)),D247-E247,"")</f>
        <v>17.9000000000015</v>
      </c>
      <c r="G247" s="43" t="n">
        <f aca="false">SUMIFS(Cleaned_Futures_Data!$J$2:$J$756,Cleaned_Futures_Data!$B$2:$B$756,A247,Cleaned_Futures_Data!$W$2:$W$756,1)</f>
        <v>79485</v>
      </c>
      <c r="H247" s="43" t="n">
        <f aca="false">SUMIFS(Cleaned_Futures_Data!$L$2:$L$756,Cleaned_Futures_Data!$B$2:$B$756,A247,Cleaned_Futures_Data!$W$2:$W$756,1)</f>
        <v>10364700</v>
      </c>
      <c r="I247" s="43" t="n">
        <f aca="false">SUMIFS(Cleaned_Futures_Data!$J$2:$J$756,Cleaned_Futures_Data!$B$2:$B$756,A247)</f>
        <v>141751</v>
      </c>
    </row>
    <row r="248" customFormat="false" ht="15" hidden="false" customHeight="true" outlineLevel="0" collapsed="false">
      <c r="A248" s="39" t="n">
        <v>46020</v>
      </c>
      <c r="B248" s="39" t="n">
        <f aca="false">_xlfn.MINIFS(Cleaned_Futures_Data!$C$2:$C$756,Cleaned_Futures_Data!$B$2:$B$756,A248)</f>
        <v>46021</v>
      </c>
      <c r="C248" s="40" t="n">
        <f aca="false">B248-A248</f>
        <v>1</v>
      </c>
      <c r="D248" s="41" t="n">
        <f aca="false">IFERROR(AVERAGEIFS(Cleaned_Futures_Data!$G$2:$G$756,Cleaned_Futures_Data!$B$2:$B$756,A248,Cleaned_Futures_Data!$W$2:$W$756,1),"")</f>
        <v>25957.2</v>
      </c>
      <c r="E248" s="41" t="n">
        <f aca="false">IFERROR(AVERAGEIFS(Cleaned_Futures_Data!$N$2:$N$756,Cleaned_Futures_Data!$B$2:$B$756,A248,Cleaned_Futures_Data!$W$2:$W$756,1),"")</f>
        <v>25942.1</v>
      </c>
      <c r="F248" s="42" t="n">
        <f aca="false">IF(AND(ISNUMBER(D248),ISNUMBER(E248)),D248-E248,"")</f>
        <v>15.1000000000022</v>
      </c>
      <c r="G248" s="43" t="n">
        <f aca="false">SUMIFS(Cleaned_Futures_Data!$J$2:$J$756,Cleaned_Futures_Data!$B$2:$B$756,A248,Cleaned_Futures_Data!$W$2:$W$756,1)</f>
        <v>86313</v>
      </c>
      <c r="H248" s="43" t="n">
        <f aca="false">SUMIFS(Cleaned_Futures_Data!$L$2:$L$756,Cleaned_Futures_Data!$B$2:$B$756,A248,Cleaned_Futures_Data!$W$2:$W$756,1)</f>
        <v>7395750</v>
      </c>
      <c r="I248" s="43" t="n">
        <f aca="false">SUMIFS(Cleaned_Futures_Data!$J$2:$J$756,Cleaned_Futures_Data!$B$2:$B$756,A248)</f>
        <v>186288</v>
      </c>
    </row>
    <row r="249" customFormat="false" ht="15" hidden="false" customHeight="true" outlineLevel="0" collapsed="false">
      <c r="A249" s="39" t="n">
        <v>46021</v>
      </c>
      <c r="B249" s="39" t="n">
        <f aca="false">_xlfn.MINIFS(Cleaned_Futures_Data!$C$2:$C$756,Cleaned_Futures_Data!$B$2:$B$756,A249)</f>
        <v>46021</v>
      </c>
      <c r="C249" s="40" t="n">
        <f aca="false">B249-A249</f>
        <v>0</v>
      </c>
      <c r="D249" s="41" t="n">
        <f aca="false">IFERROR(AVERAGEIFS(Cleaned_Futures_Data!$G$2:$G$756,Cleaned_Futures_Data!$B$2:$B$756,A249,Cleaned_Futures_Data!$W$2:$W$756,1),"")</f>
        <v>25936.8</v>
      </c>
      <c r="E249" s="41" t="n">
        <f aca="false">IFERROR(AVERAGEIFS(Cleaned_Futures_Data!$N$2:$N$756,Cleaned_Futures_Data!$B$2:$B$756,A249,Cleaned_Futures_Data!$W$2:$W$756,1),"")</f>
        <v>25938.85</v>
      </c>
      <c r="F249" s="42" t="n">
        <f aca="false">IF(AND(ISNUMBER(D249),ISNUMBER(E249)),D249-E249,"")</f>
        <v>-2.04999999999927</v>
      </c>
      <c r="G249" s="43" t="n">
        <f aca="false">SUMIFS(Cleaned_Futures_Data!$J$2:$J$756,Cleaned_Futures_Data!$B$2:$B$756,A249,Cleaned_Futures_Data!$W$2:$W$756,1)</f>
        <v>71715</v>
      </c>
      <c r="H249" s="43" t="n">
        <f aca="false">SUMIFS(Cleaned_Futures_Data!$L$2:$L$756,Cleaned_Futures_Data!$B$2:$B$756,A249,Cleaned_Futures_Data!$W$2:$W$756,1)</f>
        <v>5790000</v>
      </c>
      <c r="I249" s="43" t="n">
        <f aca="false">SUMIFS(Cleaned_Futures_Data!$J$2:$J$756,Cleaned_Futures_Data!$B$2:$B$756,A249)</f>
        <v>187370</v>
      </c>
    </row>
    <row r="250" customFormat="false" ht="15" hidden="false" customHeight="true" outlineLevel="0" collapsed="false">
      <c r="A250" s="39" t="n">
        <v>46022</v>
      </c>
      <c r="B250" s="39" t="n">
        <f aca="false">_xlfn.MINIFS(Cleaned_Futures_Data!$C$2:$C$756,Cleaned_Futures_Data!$B$2:$B$756,A250)</f>
        <v>46049</v>
      </c>
      <c r="C250" s="40" t="n">
        <f aca="false">B250-A250</f>
        <v>27</v>
      </c>
      <c r="D250" s="41" t="n">
        <f aca="false">IFERROR(AVERAGEIFS(Cleaned_Futures_Data!$G$2:$G$756,Cleaned_Futures_Data!$B$2:$B$756,A250,Cleaned_Futures_Data!$W$2:$W$756,1),"")</f>
        <v>26296.3</v>
      </c>
      <c r="E250" s="41" t="n">
        <f aca="false">IFERROR(AVERAGEIFS(Cleaned_Futures_Data!$N$2:$N$756,Cleaned_Futures_Data!$B$2:$B$756,A250,Cleaned_Futures_Data!$W$2:$W$756,1),"")</f>
        <v>26129.6</v>
      </c>
      <c r="F250" s="42" t="n">
        <f aca="false">IF(AND(ISNUMBER(D250),ISNUMBER(E250)),D250-E250,"")</f>
        <v>166.700000000001</v>
      </c>
      <c r="G250" s="43" t="n">
        <f aca="false">SUMIFS(Cleaned_Futures_Data!$J$2:$J$756,Cleaned_Futures_Data!$B$2:$B$756,A250,Cleaned_Futures_Data!$W$2:$W$756,1)</f>
        <v>72942</v>
      </c>
      <c r="H250" s="43" t="n">
        <f aca="false">SUMIFS(Cleaned_Futures_Data!$L$2:$L$756,Cleaned_Futures_Data!$B$2:$B$756,A250,Cleaned_Futures_Data!$W$2:$W$756,1)</f>
        <v>14026480</v>
      </c>
      <c r="I250" s="43" t="n">
        <f aca="false">SUMIFS(Cleaned_Futures_Data!$J$2:$J$756,Cleaned_Futures_Data!$B$2:$B$756,A250)</f>
        <v>80592</v>
      </c>
    </row>
  </sheetData>
  <autoFilter ref="A1:I2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7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true" zeroHeight="false" outlineLevelRow="0" outlineLevelCol="0"/>
  <cols>
    <col collapsed="false" customWidth="true" hidden="false" outlineLevel="0" max="28" min="1" style="1" width="18"/>
  </cols>
  <sheetData>
    <row r="1" customFormat="false" ht="31.5" hidden="false" customHeight="true" outlineLevel="0" collapsed="false">
      <c r="A1" s="44" t="s">
        <v>250</v>
      </c>
      <c r="B1" s="44" t="s">
        <v>240</v>
      </c>
      <c r="C1" s="44" t="s">
        <v>162</v>
      </c>
      <c r="D1" s="44" t="s">
        <v>251</v>
      </c>
      <c r="E1" s="44" t="s">
        <v>252</v>
      </c>
      <c r="F1" s="44" t="s">
        <v>253</v>
      </c>
      <c r="G1" s="44" t="s">
        <v>254</v>
      </c>
      <c r="H1" s="44" t="s">
        <v>255</v>
      </c>
      <c r="I1" s="44" t="s">
        <v>256</v>
      </c>
      <c r="J1" s="44" t="s">
        <v>257</v>
      </c>
      <c r="K1" s="44" t="s">
        <v>258</v>
      </c>
      <c r="L1" s="44" t="s">
        <v>259</v>
      </c>
      <c r="M1" s="44" t="s">
        <v>260</v>
      </c>
      <c r="N1" s="44" t="s">
        <v>261</v>
      </c>
      <c r="O1" s="44" t="s">
        <v>262</v>
      </c>
      <c r="P1" s="44" t="s">
        <v>263</v>
      </c>
      <c r="Q1" s="44" t="s">
        <v>242</v>
      </c>
      <c r="R1" s="44" t="s">
        <v>264</v>
      </c>
      <c r="S1" s="44" t="s">
        <v>265</v>
      </c>
      <c r="T1" s="44" t="s">
        <v>266</v>
      </c>
      <c r="U1" s="44" t="s">
        <v>267</v>
      </c>
      <c r="V1" s="45" t="s">
        <v>137</v>
      </c>
      <c r="W1" s="45" t="s">
        <v>268</v>
      </c>
      <c r="X1" s="45" t="s">
        <v>269</v>
      </c>
      <c r="Y1" s="45" t="s">
        <v>270</v>
      </c>
      <c r="Z1" s="45" t="s">
        <v>271</v>
      </c>
      <c r="AA1" s="45" t="s">
        <v>272</v>
      </c>
      <c r="AB1" s="45" t="s">
        <v>273</v>
      </c>
    </row>
    <row r="2" customFormat="false" ht="15" hidden="false" customHeight="true" outlineLevel="0" collapsed="false">
      <c r="A2" s="1" t="s">
        <v>274</v>
      </c>
      <c r="B2" s="46" t="n">
        <v>45658</v>
      </c>
      <c r="C2" s="46" t="n">
        <v>45687</v>
      </c>
      <c r="D2" s="47" t="n">
        <v>23500</v>
      </c>
      <c r="E2" s="47" t="n">
        <v>23964</v>
      </c>
      <c r="F2" s="47" t="n">
        <v>23500</v>
      </c>
      <c r="G2" s="47" t="n">
        <v>23897.85</v>
      </c>
      <c r="H2" s="47" t="n">
        <v>23907</v>
      </c>
      <c r="I2" s="47" t="n">
        <v>23897.85</v>
      </c>
      <c r="J2" s="48" t="n">
        <v>175729</v>
      </c>
      <c r="K2" s="47" t="n">
        <v>1047986.82</v>
      </c>
      <c r="L2" s="48" t="n">
        <v>13270450</v>
      </c>
      <c r="M2" s="48" t="n">
        <v>-20750</v>
      </c>
      <c r="N2" s="47" t="n">
        <v>23742.9</v>
      </c>
      <c r="O2" s="47" t="n">
        <f aca="false">IF(AND(ISNUMBER(G2),ISNUMBER(N2)),G2-N2,"")</f>
        <v>154.949999999997</v>
      </c>
      <c r="P2" s="49" t="n">
        <f aca="false">IF(ISNUMBER(O2),O2/N2,"")</f>
        <v>0.00652616150512351</v>
      </c>
      <c r="Q2" s="50" t="n">
        <f aca="false">C2-B2</f>
        <v>29</v>
      </c>
      <c r="R2" s="51" t="str">
        <f aca="false">IF(AND(C2=C1,ISNUMBER(G2),ISNUMBER(G1)),(G2/G1-1)*100,"")</f>
        <v/>
      </c>
      <c r="S2" s="51" t="str">
        <f aca="false">IF(AND(C2=C1,ISNUMBER(L2),ISNUMBER(L1)),(L2/L1-1)*100,"")</f>
        <v/>
      </c>
      <c r="T2" s="51" t="str">
        <f aca="false">IF(AND(C2=C1,ISNUMBER(G2),ISNUMBER(G1)),G2-G1,"")</f>
        <v/>
      </c>
      <c r="U2" s="1" t="str">
        <f aca="false">IF(OR(NOT(ISNUMBER(R2)),NOT(ISNUMBER(S2))),"Not classified",IF(AND(R2&gt;0,S2&gt;0),"Long buildup (interpretation)",IF(AND(R2&lt;0,S2&gt;0),"Short buildup (interpretation)",IF(AND(R2&gt;0,S2&lt;0),"Short covering (interpretation)",IF(AND(R2&lt;0,S2&lt;0),"Long unwinding (interpretation)","Neutral")))))</f>
        <v>Not classified</v>
      </c>
      <c r="V2" s="52" t="str">
        <f aca="false">TEXT(B2,"yyyy-mm")</f>
        <v>2025-01</v>
      </c>
      <c r="W2" s="52" t="n">
        <f aca="false">1+COUNTIFS($B$2:$B$756,B2,$C$2:$C$756,"&lt;"&amp;C2)</f>
        <v>1</v>
      </c>
      <c r="X2" s="53" t="n">
        <f aca="false">IF(AND(ISNUMBER(P2),Q2&gt;0),P2*365/Q2,"")</f>
        <v>0.082139618943796</v>
      </c>
      <c r="Y2" s="42" t="n">
        <f aca="false">IF(AND(C3=C2,ISNUMBER(R3)),R3,"")</f>
        <v>1.61018669043451</v>
      </c>
      <c r="Z2" s="52" t="n">
        <f aca="false">IF(AND(W2=1,Q2&gt;Basis_Analysis!$B$3,ISNUMBER(Y2)),1,0)</f>
        <v>1</v>
      </c>
      <c r="AA2" s="43" t="n">
        <f aca="false">IF(W2=1,IF(SUMIFS($L$2:$L$756,$B$2:$B$756,B2,$W$2:$W$756,2)&gt;0,SUMIFS($L$2:$L$756,$B$2:$B$756,B2,$W$2:$W$756,2),""),"")</f>
        <v>1045725</v>
      </c>
      <c r="AB2" s="54" t="n">
        <f aca="false">IF(AND(W2=1,ISNUMBER(AA2)),L2/(L2+AA2),"")</f>
        <v>0.926955000200822</v>
      </c>
    </row>
    <row r="3" customFormat="false" ht="15" hidden="false" customHeight="true" outlineLevel="0" collapsed="false">
      <c r="A3" s="1" t="s">
        <v>274</v>
      </c>
      <c r="B3" s="46" t="n">
        <v>45659</v>
      </c>
      <c r="C3" s="46" t="n">
        <v>45687</v>
      </c>
      <c r="D3" s="47" t="n">
        <v>23911</v>
      </c>
      <c r="E3" s="47" t="n">
        <v>24314</v>
      </c>
      <c r="F3" s="47" t="n">
        <v>23863.1</v>
      </c>
      <c r="G3" s="47" t="n">
        <v>24282.65</v>
      </c>
      <c r="H3" s="47" t="n">
        <v>24270.1</v>
      </c>
      <c r="I3" s="47" t="n">
        <v>24282.65</v>
      </c>
      <c r="J3" s="48" t="n">
        <v>339021</v>
      </c>
      <c r="K3" s="47" t="n">
        <v>2044991.54</v>
      </c>
      <c r="L3" s="48" t="n">
        <v>12424650</v>
      </c>
      <c r="M3" s="48" t="n">
        <v>-845800</v>
      </c>
      <c r="N3" s="47" t="n">
        <v>24188.65</v>
      </c>
      <c r="O3" s="47" t="n">
        <f aca="false">IF(AND(ISNUMBER(G3),ISNUMBER(N3)),G3-N3,"")</f>
        <v>94</v>
      </c>
      <c r="P3" s="49" t="n">
        <f aca="false">IF(ISNUMBER(O3),O3/N3,"")</f>
        <v>0.00388612014312498</v>
      </c>
      <c r="Q3" s="50" t="n">
        <f aca="false">C3-B3</f>
        <v>28</v>
      </c>
      <c r="R3" s="51" t="n">
        <f aca="false">IF(AND(C3=C2,ISNUMBER(G3),ISNUMBER(G2)),(G3/G2-1)*100,"")</f>
        <v>1.61018669043451</v>
      </c>
      <c r="S3" s="51" t="n">
        <f aca="false">IF(AND(C3=C2,ISNUMBER(L3),ISNUMBER(L2)),(L3/L2-1)*100,"")</f>
        <v>-6.37355929904412</v>
      </c>
      <c r="T3" s="51" t="n">
        <f aca="false">IF(AND(C3=C2,ISNUMBER(G3),ISNUMBER(G2)),G3-G2,"")</f>
        <v>384.800000000003</v>
      </c>
      <c r="U3" s="1" t="str">
        <f aca="false">IF(OR(NOT(ISNUMBER(R3)),NOT(ISNUMBER(S3))),"Not classified",IF(AND(R3&gt;0,S3&gt;0),"Long buildup (interpretation)",IF(AND(R3&lt;0,S3&gt;0),"Short buildup (interpretation)",IF(AND(R3&gt;0,S3&lt;0),"Short covering (interpretation)",IF(AND(R3&lt;0,S3&lt;0),"Long unwinding (interpretation)","Neutral")))))</f>
        <v>Short covering (interpretation)</v>
      </c>
      <c r="V3" s="52" t="str">
        <f aca="false">TEXT(B3,"yyyy-mm")</f>
        <v>2025-01</v>
      </c>
      <c r="W3" s="52" t="n">
        <f aca="false">1+COUNTIFS($B$2:$B$756,B3,$C$2:$C$756,"&lt;"&amp;C3)</f>
        <v>1</v>
      </c>
      <c r="X3" s="53" t="n">
        <f aca="false">IF(AND(ISNUMBER(P3),Q3&gt;0),P3*365/Q3,"")</f>
        <v>0.0506583518657363</v>
      </c>
      <c r="Y3" s="42" t="n">
        <f aca="false">IF(AND(C4=C3,ISNUMBER(R4)),R4,"")</f>
        <v>-0.783481209835002</v>
      </c>
      <c r="Z3" s="52" t="n">
        <f aca="false">IF(AND(W3=1,Q3&gt;Basis_Analysis!$B$3,ISNUMBER(Y3)),1,0)</f>
        <v>1</v>
      </c>
      <c r="AA3" s="43" t="n">
        <f aca="false">IF(W3=1,IF(SUMIFS($L$2:$L$756,$B$2:$B$756,B3,$W$2:$W$756,2)&gt;0,SUMIFS($L$2:$L$756,$B$2:$B$756,B3,$W$2:$W$756,2),""),"")</f>
        <v>1093575</v>
      </c>
      <c r="AB3" s="54" t="n">
        <f aca="false">IF(AND(W3=1,ISNUMBER(AA3)),L3/(L3+AA3),"")</f>
        <v>0.919103654510855</v>
      </c>
    </row>
    <row r="4" customFormat="false" ht="15" hidden="false" customHeight="true" outlineLevel="0" collapsed="false">
      <c r="A4" s="1" t="s">
        <v>274</v>
      </c>
      <c r="B4" s="46" t="n">
        <v>45660</v>
      </c>
      <c r="C4" s="46" t="n">
        <v>45687</v>
      </c>
      <c r="D4" s="47" t="n">
        <v>24240</v>
      </c>
      <c r="E4" s="47" t="n">
        <v>24268.95</v>
      </c>
      <c r="F4" s="47" t="n">
        <v>24071.4</v>
      </c>
      <c r="G4" s="47" t="n">
        <v>24092.4</v>
      </c>
      <c r="H4" s="47" t="n">
        <v>24074.8</v>
      </c>
      <c r="I4" s="47" t="n">
        <v>24092.4</v>
      </c>
      <c r="J4" s="48" t="n">
        <v>262004</v>
      </c>
      <c r="K4" s="47" t="n">
        <v>1582146.61</v>
      </c>
      <c r="L4" s="48" t="n">
        <v>12608625</v>
      </c>
      <c r="M4" s="48" t="n">
        <v>183975</v>
      </c>
      <c r="N4" s="47" t="n">
        <v>24004.75</v>
      </c>
      <c r="O4" s="47" t="n">
        <f aca="false">IF(AND(ISNUMBER(G4),ISNUMBER(N4)),G4-N4,"")</f>
        <v>87.6500000000015</v>
      </c>
      <c r="P4" s="49" t="n">
        <f aca="false">IF(ISNUMBER(O4),O4/N4,"")</f>
        <v>0.00365136066820115</v>
      </c>
      <c r="Q4" s="50" t="n">
        <f aca="false">C4-B4</f>
        <v>27</v>
      </c>
      <c r="R4" s="51" t="n">
        <f aca="false">IF(AND(C4=C3,ISNUMBER(G4),ISNUMBER(G3)),(G4/G3-1)*100,"")</f>
        <v>-0.783481209835002</v>
      </c>
      <c r="S4" s="51" t="n">
        <f aca="false">IF(AND(C4=C3,ISNUMBER(L4),ISNUMBER(L3)),(L4/L3-1)*100,"")</f>
        <v>1.4807258152141</v>
      </c>
      <c r="T4" s="51" t="n">
        <f aca="false">IF(AND(C4=C3,ISNUMBER(G4),ISNUMBER(G3)),G4-G3,"")</f>
        <v>-190.25</v>
      </c>
      <c r="U4" s="1" t="str">
        <f aca="false">IF(OR(NOT(ISNUMBER(R4)),NOT(ISNUMBER(S4))),"Not classified",IF(AND(R4&gt;0,S4&gt;0),"Long buildup (interpretation)",IF(AND(R4&lt;0,S4&gt;0),"Short buildup (interpretation)",IF(AND(R4&gt;0,S4&lt;0),"Short covering (interpretation)",IF(AND(R4&lt;0,S4&lt;0),"Long unwinding (interpretation)","Neutral")))))</f>
        <v>Short buildup (interpretation)</v>
      </c>
      <c r="V4" s="52" t="str">
        <f aca="false">TEXT(B4,"yyyy-mm")</f>
        <v>2025-01</v>
      </c>
      <c r="W4" s="52" t="n">
        <f aca="false">1+COUNTIFS($B$2:$B$756,B4,$C$2:$C$756,"&lt;"&amp;C4)</f>
        <v>1</v>
      </c>
      <c r="X4" s="53" t="n">
        <f aca="false">IF(AND(ISNUMBER(P4),Q4&gt;0),P4*365/Q4,"")</f>
        <v>0.0493609868108673</v>
      </c>
      <c r="Y4" s="42" t="n">
        <f aca="false">IF(AND(C5=C4,ISNUMBER(R5)),R5,"")</f>
        <v>-1.54135744052067</v>
      </c>
      <c r="Z4" s="52" t="n">
        <f aca="false">IF(AND(W4=1,Q4&gt;Basis_Analysis!$B$3,ISNUMBER(Y4)),1,0)</f>
        <v>1</v>
      </c>
      <c r="AA4" s="43" t="n">
        <f aca="false">IF(W4=1,IF(SUMIFS($L$2:$L$756,$B$2:$B$756,B4,$W$2:$W$756,2)&gt;0,SUMIFS($L$2:$L$756,$B$2:$B$756,B4,$W$2:$W$756,2),""),"")</f>
        <v>1084650</v>
      </c>
      <c r="AB4" s="54" t="n">
        <f aca="false">IF(AND(W4=1,ISNUMBER(AA4)),L4/(L4+AA4),"")</f>
        <v>0.920789584668387</v>
      </c>
    </row>
    <row r="5" customFormat="false" ht="15" hidden="false" customHeight="true" outlineLevel="0" collapsed="false">
      <c r="A5" s="1" t="s">
        <v>274</v>
      </c>
      <c r="B5" s="46" t="n">
        <v>45663</v>
      </c>
      <c r="C5" s="46" t="n">
        <v>45687</v>
      </c>
      <c r="D5" s="47" t="n">
        <v>24145.1</v>
      </c>
      <c r="E5" s="47" t="n">
        <v>24150</v>
      </c>
      <c r="F5" s="47" t="n">
        <v>23660</v>
      </c>
      <c r="G5" s="47" t="n">
        <v>23721.05</v>
      </c>
      <c r="H5" s="47" t="n">
        <v>23730</v>
      </c>
      <c r="I5" s="47" t="n">
        <v>23721.05</v>
      </c>
      <c r="J5" s="48" t="n">
        <v>381394</v>
      </c>
      <c r="K5" s="47" t="n">
        <v>2275385.36</v>
      </c>
      <c r="L5" s="48" t="n">
        <v>12439200</v>
      </c>
      <c r="M5" s="48" t="n">
        <v>-169425</v>
      </c>
      <c r="N5" s="47" t="n">
        <v>23616.05</v>
      </c>
      <c r="O5" s="47" t="n">
        <f aca="false">IF(AND(ISNUMBER(G5),ISNUMBER(N5)),G5-N5,"")</f>
        <v>105</v>
      </c>
      <c r="P5" s="49" t="n">
        <f aca="false">IF(ISNUMBER(O5),O5/N5,"")</f>
        <v>0.00444612879799967</v>
      </c>
      <c r="Q5" s="50" t="n">
        <f aca="false">C5-B5</f>
        <v>24</v>
      </c>
      <c r="R5" s="51" t="n">
        <f aca="false">IF(AND(C5=C4,ISNUMBER(G5),ISNUMBER(G4)),(G5/G4-1)*100,"")</f>
        <v>-1.54135744052067</v>
      </c>
      <c r="S5" s="51" t="n">
        <f aca="false">IF(AND(C5=C4,ISNUMBER(L5),ISNUMBER(L4)),(L5/L4-1)*100,"")</f>
        <v>-1.34372304672397</v>
      </c>
      <c r="T5" s="51" t="n">
        <f aca="false">IF(AND(C5=C4,ISNUMBER(G5),ISNUMBER(G4)),G5-G4,"")</f>
        <v>-371.350000000002</v>
      </c>
      <c r="U5" s="1" t="str">
        <f aca="false">IF(OR(NOT(ISNUMBER(R5)),NOT(ISNUMBER(S5))),"Not classified",IF(AND(R5&gt;0,S5&gt;0),"Long buildup (interpretation)",IF(AND(R5&lt;0,S5&gt;0),"Short buildup (interpretation)",IF(AND(R5&gt;0,S5&lt;0),"Short covering (interpretation)",IF(AND(R5&lt;0,S5&lt;0),"Long unwinding (interpretation)","Neutral")))))</f>
        <v>Long unwinding (interpretation)</v>
      </c>
      <c r="V5" s="52" t="str">
        <f aca="false">TEXT(B5,"yyyy-mm")</f>
        <v>2025-01</v>
      </c>
      <c r="W5" s="52" t="n">
        <f aca="false">1+COUNTIFS($B$2:$B$756,B5,$C$2:$C$756,"&lt;"&amp;C5)</f>
        <v>1</v>
      </c>
      <c r="X5" s="53" t="n">
        <f aca="false">IF(AND(ISNUMBER(P5),Q5&gt;0),P5*365/Q5,"")</f>
        <v>0.0676182088029116</v>
      </c>
      <c r="Y5" s="42" t="n">
        <f aca="false">IF(AND(C6=C5,ISNUMBER(R6)),R6,"")</f>
        <v>0.311959209225554</v>
      </c>
      <c r="Z5" s="52" t="n">
        <f aca="false">IF(AND(W5=1,Q5&gt;Basis_Analysis!$B$3,ISNUMBER(Y5)),1,0)</f>
        <v>1</v>
      </c>
      <c r="AA5" s="43" t="n">
        <f aca="false">IF(W5=1,IF(SUMIFS($L$2:$L$756,$B$2:$B$756,B5,$W$2:$W$756,2)&gt;0,SUMIFS($L$2:$L$756,$B$2:$B$756,B5,$W$2:$W$756,2),""),"")</f>
        <v>1062075</v>
      </c>
      <c r="AB5" s="54" t="n">
        <f aca="false">IF(AND(W5=1,ISNUMBER(AA5)),L5/(L5+AA5),"")</f>
        <v>0.921335207230428</v>
      </c>
    </row>
    <row r="6" customFormat="false" ht="15" hidden="false" customHeight="true" outlineLevel="0" collapsed="false">
      <c r="A6" s="1" t="s">
        <v>274</v>
      </c>
      <c r="B6" s="46" t="n">
        <v>45664</v>
      </c>
      <c r="C6" s="46" t="n">
        <v>45687</v>
      </c>
      <c r="D6" s="47" t="n">
        <v>23800.2</v>
      </c>
      <c r="E6" s="47" t="n">
        <v>23890</v>
      </c>
      <c r="F6" s="47" t="n">
        <v>23738.75</v>
      </c>
      <c r="G6" s="47" t="n">
        <v>23795.05</v>
      </c>
      <c r="H6" s="47" t="n">
        <v>23785.45</v>
      </c>
      <c r="I6" s="47" t="n">
        <v>23795.05</v>
      </c>
      <c r="J6" s="48" t="n">
        <v>170033</v>
      </c>
      <c r="K6" s="47" t="n">
        <v>1012673.15</v>
      </c>
      <c r="L6" s="48" t="n">
        <v>12651100</v>
      </c>
      <c r="M6" s="48" t="n">
        <v>211900</v>
      </c>
      <c r="N6" s="47" t="n">
        <v>23707.9</v>
      </c>
      <c r="O6" s="47" t="n">
        <f aca="false">IF(AND(ISNUMBER(G6),ISNUMBER(N6)),G6-N6,"")</f>
        <v>87.1499999999978</v>
      </c>
      <c r="P6" s="49" t="n">
        <f aca="false">IF(ISNUMBER(O6),O6/N6,"")</f>
        <v>0.00367598985992002</v>
      </c>
      <c r="Q6" s="50" t="n">
        <f aca="false">C6-B6</f>
        <v>23</v>
      </c>
      <c r="R6" s="51" t="n">
        <f aca="false">IF(AND(C6=C5,ISNUMBER(G6),ISNUMBER(G5)),(G6/G5-1)*100,"")</f>
        <v>0.311959209225554</v>
      </c>
      <c r="S6" s="51" t="n">
        <f aca="false">IF(AND(C6=C5,ISNUMBER(L6),ISNUMBER(L5)),(L6/L5-1)*100,"")</f>
        <v>1.70348575471091</v>
      </c>
      <c r="T6" s="51" t="n">
        <f aca="false">IF(AND(C6=C5,ISNUMBER(G6),ISNUMBER(G5)),G6-G5,"")</f>
        <v>74</v>
      </c>
      <c r="U6" s="1" t="str">
        <f aca="false">IF(OR(NOT(ISNUMBER(R6)),NOT(ISNUMBER(S6))),"Not classified",IF(AND(R6&gt;0,S6&gt;0),"Long buildup (interpretation)",IF(AND(R6&lt;0,S6&gt;0),"Short buildup (interpretation)",IF(AND(R6&gt;0,S6&lt;0),"Short covering (interpretation)",IF(AND(R6&lt;0,S6&lt;0),"Long unwinding (interpretation)","Neutral")))))</f>
        <v>Long buildup (interpretation)</v>
      </c>
      <c r="V6" s="52" t="str">
        <f aca="false">TEXT(B6,"yyyy-mm")</f>
        <v>2025-01</v>
      </c>
      <c r="W6" s="52" t="n">
        <f aca="false">1+COUNTIFS($B$2:$B$756,B6,$C$2:$C$756,"&lt;"&amp;C6)</f>
        <v>1</v>
      </c>
      <c r="X6" s="53" t="n">
        <f aca="false">IF(AND(ISNUMBER(P6),Q6&gt;0),P6*365/Q6,"")</f>
        <v>0.0583363608204699</v>
      </c>
      <c r="Y6" s="42" t="n">
        <f aca="false">IF(AND(C7=C6,ISNUMBER(R7)),R7,"")</f>
        <v>-0.0575749998424024</v>
      </c>
      <c r="Z6" s="52" t="n">
        <f aca="false">IF(AND(W6=1,Q6&gt;Basis_Analysis!$B$3,ISNUMBER(Y6)),1,0)</f>
        <v>1</v>
      </c>
      <c r="AA6" s="43" t="n">
        <f aca="false">IF(W6=1,IF(SUMIFS($L$2:$L$756,$B$2:$B$756,B6,$W$2:$W$756,2)&gt;0,SUMIFS($L$2:$L$756,$B$2:$B$756,B6,$W$2:$W$756,2),""),"")</f>
        <v>1104225</v>
      </c>
      <c r="AB6" s="54" t="n">
        <f aca="false">IF(AND(W6=1,ISNUMBER(AA6)),L6/(L6+AA6),"")</f>
        <v>0.919723816049421</v>
      </c>
    </row>
    <row r="7" customFormat="false" ht="15" hidden="false" customHeight="true" outlineLevel="0" collapsed="false">
      <c r="A7" s="1" t="s">
        <v>274</v>
      </c>
      <c r="B7" s="46" t="n">
        <v>45665</v>
      </c>
      <c r="C7" s="46" t="n">
        <v>45687</v>
      </c>
      <c r="D7" s="47" t="n">
        <v>23800</v>
      </c>
      <c r="E7" s="47" t="n">
        <v>23839</v>
      </c>
      <c r="F7" s="47" t="n">
        <v>23593.3</v>
      </c>
      <c r="G7" s="47" t="n">
        <v>23781.35</v>
      </c>
      <c r="H7" s="47" t="n">
        <v>23776.35</v>
      </c>
      <c r="I7" s="47" t="n">
        <v>23781.35</v>
      </c>
      <c r="J7" s="48" t="n">
        <v>237903</v>
      </c>
      <c r="K7" s="47" t="n">
        <v>1411045.43</v>
      </c>
      <c r="L7" s="48" t="n">
        <v>12927575</v>
      </c>
      <c r="M7" s="48" t="n">
        <v>276475</v>
      </c>
      <c r="N7" s="47" t="n">
        <v>23688.95</v>
      </c>
      <c r="O7" s="47" t="n">
        <f aca="false">IF(AND(ISNUMBER(G7),ISNUMBER(N7)),G7-N7,"")</f>
        <v>92.3999999999978</v>
      </c>
      <c r="P7" s="49" t="n">
        <f aca="false">IF(ISNUMBER(O7),O7/N7,"")</f>
        <v>0.00390055278938061</v>
      </c>
      <c r="Q7" s="50" t="n">
        <f aca="false">C7-B7</f>
        <v>22</v>
      </c>
      <c r="R7" s="51" t="n">
        <f aca="false">IF(AND(C7=C6,ISNUMBER(G7),ISNUMBER(G6)),(G7/G6-1)*100,"")</f>
        <v>-0.0575749998424024</v>
      </c>
      <c r="S7" s="51" t="n">
        <f aca="false">IF(AND(C7=C6,ISNUMBER(L7),ISNUMBER(L6)),(L7/L6-1)*100,"")</f>
        <v>2.18538308921754</v>
      </c>
      <c r="T7" s="51" t="n">
        <f aca="false">IF(AND(C7=C6,ISNUMBER(G7),ISNUMBER(G6)),G7-G6,"")</f>
        <v>-13.7000000000007</v>
      </c>
      <c r="U7" s="1" t="str">
        <f aca="false">IF(OR(NOT(ISNUMBER(R7)),NOT(ISNUMBER(S7))),"Not classified",IF(AND(R7&gt;0,S7&gt;0),"Long buildup (interpretation)",IF(AND(R7&lt;0,S7&gt;0),"Short buildup (interpretation)",IF(AND(R7&gt;0,S7&lt;0),"Short covering (interpretation)",IF(AND(R7&lt;0,S7&lt;0),"Long unwinding (interpretation)","Neutral")))))</f>
        <v>Short buildup (interpretation)</v>
      </c>
      <c r="V7" s="52" t="str">
        <f aca="false">TEXT(B7,"yyyy-mm")</f>
        <v>2025-01</v>
      </c>
      <c r="W7" s="52" t="n">
        <f aca="false">1+COUNTIFS($B$2:$B$756,B7,$C$2:$C$756,"&lt;"&amp;C7)</f>
        <v>1</v>
      </c>
      <c r="X7" s="53" t="n">
        <f aca="false">IF(AND(ISNUMBER(P7),Q7&gt;0),P7*365/Q7,"")</f>
        <v>0.0647137167329056</v>
      </c>
      <c r="Y7" s="42" t="n">
        <f aca="false">IF(AND(C8=C7,ISNUMBER(R8)),R8,"")</f>
        <v>-0.560313018394665</v>
      </c>
      <c r="Z7" s="52" t="n">
        <f aca="false">IF(AND(W7=1,Q7&gt;Basis_Analysis!$B$3,ISNUMBER(Y7)),1,0)</f>
        <v>1</v>
      </c>
      <c r="AA7" s="43" t="n">
        <f aca="false">IF(W7=1,IF(SUMIFS($L$2:$L$756,$B$2:$B$756,B7,$W$2:$W$756,2)&gt;0,SUMIFS($L$2:$L$756,$B$2:$B$756,B7,$W$2:$W$756,2),""),"")</f>
        <v>1231575</v>
      </c>
      <c r="AB7" s="54" t="n">
        <f aca="false">IF(AND(W7=1,ISNUMBER(AA7)),L7/(L7+AA7),"")</f>
        <v>0.913019143098279</v>
      </c>
    </row>
    <row r="8" customFormat="false" ht="15" hidden="false" customHeight="true" outlineLevel="0" collapsed="false">
      <c r="A8" s="1" t="s">
        <v>274</v>
      </c>
      <c r="B8" s="46" t="n">
        <v>45666</v>
      </c>
      <c r="C8" s="46" t="n">
        <v>45687</v>
      </c>
      <c r="D8" s="47" t="n">
        <v>23759</v>
      </c>
      <c r="E8" s="47" t="n">
        <v>23759</v>
      </c>
      <c r="F8" s="47" t="n">
        <v>23612.9</v>
      </c>
      <c r="G8" s="47" t="n">
        <v>23648.1</v>
      </c>
      <c r="H8" s="47" t="n">
        <v>23671.1</v>
      </c>
      <c r="I8" s="47" t="n">
        <v>23648.1</v>
      </c>
      <c r="J8" s="48" t="n">
        <v>182951</v>
      </c>
      <c r="K8" s="47" t="n">
        <v>1082342.06</v>
      </c>
      <c r="L8" s="48" t="n">
        <v>13641200</v>
      </c>
      <c r="M8" s="48" t="n">
        <v>713625</v>
      </c>
      <c r="N8" s="47" t="n">
        <v>23526.5</v>
      </c>
      <c r="O8" s="47" t="n">
        <f aca="false">IF(AND(ISNUMBER(G8),ISNUMBER(N8)),G8-N8,"")</f>
        <v>121.599999999999</v>
      </c>
      <c r="P8" s="49" t="n">
        <f aca="false">IF(ISNUMBER(O8),O8/N8,"")</f>
        <v>0.00516863961915281</v>
      </c>
      <c r="Q8" s="50" t="n">
        <f aca="false">C8-B8</f>
        <v>21</v>
      </c>
      <c r="R8" s="51" t="n">
        <f aca="false">IF(AND(C8=C7,ISNUMBER(G8),ISNUMBER(G7)),(G8/G7-1)*100,"")</f>
        <v>-0.560313018394665</v>
      </c>
      <c r="S8" s="51" t="n">
        <f aca="false">IF(AND(C8=C7,ISNUMBER(L8),ISNUMBER(L7)),(L8/L7-1)*100,"")</f>
        <v>5.52017683130828</v>
      </c>
      <c r="T8" s="51" t="n">
        <f aca="false">IF(AND(C8=C7,ISNUMBER(G8),ISNUMBER(G7)),G8-G7,"")</f>
        <v>-133.25</v>
      </c>
      <c r="U8" s="1" t="str">
        <f aca="false">IF(OR(NOT(ISNUMBER(R8)),NOT(ISNUMBER(S8))),"Not classified",IF(AND(R8&gt;0,S8&gt;0),"Long buildup (interpretation)",IF(AND(R8&lt;0,S8&gt;0),"Short buildup (interpretation)",IF(AND(R8&gt;0,S8&lt;0),"Short covering (interpretation)",IF(AND(R8&lt;0,S8&lt;0),"Long unwinding (interpretation)","Neutral")))))</f>
        <v>Short buildup (interpretation)</v>
      </c>
      <c r="V8" s="52" t="str">
        <f aca="false">TEXT(B8,"yyyy-mm")</f>
        <v>2025-01</v>
      </c>
      <c r="W8" s="52" t="n">
        <f aca="false">1+COUNTIFS($B$2:$B$756,B8,$C$2:$C$756,"&lt;"&amp;C8)</f>
        <v>1</v>
      </c>
      <c r="X8" s="53" t="n">
        <f aca="false">IF(AND(ISNUMBER(P8),Q8&gt;0),P8*365/Q8,"")</f>
        <v>0.0898358790947988</v>
      </c>
      <c r="Y8" s="42" t="n">
        <f aca="false">IF(AND(C9=C8,ISNUMBER(R9)),R9,"")</f>
        <v>-0.623517322744738</v>
      </c>
      <c r="Z8" s="52" t="n">
        <f aca="false">IF(AND(W8=1,Q8&gt;Basis_Analysis!$B$3,ISNUMBER(Y8)),1,0)</f>
        <v>1</v>
      </c>
      <c r="AA8" s="43" t="n">
        <f aca="false">IF(W8=1,IF(SUMIFS($L$2:$L$756,$B$2:$B$756,B8,$W$2:$W$756,2)&gt;0,SUMIFS($L$2:$L$756,$B$2:$B$756,B8,$W$2:$W$756,2),""),"")</f>
        <v>1442700</v>
      </c>
      <c r="AB8" s="54" t="n">
        <f aca="false">IF(AND(W8=1,ISNUMBER(AA8)),L8/(L8+AA8),"")</f>
        <v>0.904354974509245</v>
      </c>
    </row>
    <row r="9" customFormat="false" ht="15" hidden="false" customHeight="true" outlineLevel="0" collapsed="false">
      <c r="A9" s="1" t="s">
        <v>274</v>
      </c>
      <c r="B9" s="46" t="n">
        <v>45667</v>
      </c>
      <c r="C9" s="46" t="n">
        <v>45687</v>
      </c>
      <c r="D9" s="47" t="n">
        <v>23625.05</v>
      </c>
      <c r="E9" s="47" t="n">
        <v>23684.9</v>
      </c>
      <c r="F9" s="47" t="n">
        <v>23430</v>
      </c>
      <c r="G9" s="47" t="n">
        <v>23500.65</v>
      </c>
      <c r="H9" s="47" t="n">
        <v>23515</v>
      </c>
      <c r="I9" s="47" t="n">
        <v>23500.65</v>
      </c>
      <c r="J9" s="48" t="n">
        <v>261703</v>
      </c>
      <c r="K9" s="47" t="n">
        <v>1541207.83</v>
      </c>
      <c r="L9" s="48" t="n">
        <v>13543325</v>
      </c>
      <c r="M9" s="48" t="n">
        <v>-97875</v>
      </c>
      <c r="N9" s="47" t="n">
        <v>23431.5</v>
      </c>
      <c r="O9" s="47" t="n">
        <f aca="false">IF(AND(ISNUMBER(G9),ISNUMBER(N9)),G9-N9,"")</f>
        <v>69.1500000000015</v>
      </c>
      <c r="P9" s="49" t="n">
        <f aca="false">IF(ISNUMBER(O9),O9/N9,"")</f>
        <v>0.00295115549580699</v>
      </c>
      <c r="Q9" s="50" t="n">
        <f aca="false">C9-B9</f>
        <v>20</v>
      </c>
      <c r="R9" s="51" t="n">
        <f aca="false">IF(AND(C9=C8,ISNUMBER(G9),ISNUMBER(G8)),(G9/G8-1)*100,"")</f>
        <v>-0.623517322744738</v>
      </c>
      <c r="S9" s="51" t="n">
        <f aca="false">IF(AND(C9=C8,ISNUMBER(L9),ISNUMBER(L8)),(L9/L8-1)*100,"")</f>
        <v>-0.717495528252643</v>
      </c>
      <c r="T9" s="51" t="n">
        <f aca="false">IF(AND(C9=C8,ISNUMBER(G9),ISNUMBER(G8)),G9-G8,"")</f>
        <v>-147.449999999997</v>
      </c>
      <c r="U9" s="1" t="str">
        <f aca="false">IF(OR(NOT(ISNUMBER(R9)),NOT(ISNUMBER(S9))),"Not classified",IF(AND(R9&gt;0,S9&gt;0),"Long buildup (interpretation)",IF(AND(R9&lt;0,S9&gt;0),"Short buildup (interpretation)",IF(AND(R9&gt;0,S9&lt;0),"Short covering (interpretation)",IF(AND(R9&lt;0,S9&lt;0),"Long unwinding (interpretation)","Neutral")))))</f>
        <v>Long unwinding (interpretation)</v>
      </c>
      <c r="V9" s="52" t="str">
        <f aca="false">TEXT(B9,"yyyy-mm")</f>
        <v>2025-01</v>
      </c>
      <c r="W9" s="52" t="n">
        <f aca="false">1+COUNTIFS($B$2:$B$756,B9,$C$2:$C$756,"&lt;"&amp;C9)</f>
        <v>1</v>
      </c>
      <c r="X9" s="53" t="n">
        <f aca="false">IF(AND(ISNUMBER(P9),Q9&gt;0),P9*365/Q9,"")</f>
        <v>0.0538585877984775</v>
      </c>
      <c r="Y9" s="42" t="n">
        <f aca="false">IF(AND(C10=C9,ISNUMBER(R10)),R10,"")</f>
        <v>-1.4405984515322</v>
      </c>
      <c r="Z9" s="52" t="n">
        <f aca="false">IF(AND(W9=1,Q9&gt;Basis_Analysis!$B$3,ISNUMBER(Y9)),1,0)</f>
        <v>1</v>
      </c>
      <c r="AA9" s="43" t="n">
        <f aca="false">IF(W9=1,IF(SUMIFS($L$2:$L$756,$B$2:$B$756,B9,$W$2:$W$756,2)&gt;0,SUMIFS($L$2:$L$756,$B$2:$B$756,B9,$W$2:$W$756,2),""),"")</f>
        <v>1833600</v>
      </c>
      <c r="AB9" s="54" t="n">
        <f aca="false">IF(AND(W9=1,ISNUMBER(AA9)),L9/(L9+AA9),"")</f>
        <v>0.880756393102002</v>
      </c>
    </row>
    <row r="10" customFormat="false" ht="15" hidden="false" customHeight="true" outlineLevel="0" collapsed="false">
      <c r="A10" s="1" t="s">
        <v>274</v>
      </c>
      <c r="B10" s="46" t="n">
        <v>45670</v>
      </c>
      <c r="C10" s="46" t="n">
        <v>45687</v>
      </c>
      <c r="D10" s="47" t="n">
        <v>23400</v>
      </c>
      <c r="E10" s="47" t="n">
        <v>23408.3</v>
      </c>
      <c r="F10" s="47" t="n">
        <v>23112.1</v>
      </c>
      <c r="G10" s="47" t="n">
        <v>23162.1</v>
      </c>
      <c r="H10" s="47" t="n">
        <v>23168.05</v>
      </c>
      <c r="I10" s="47" t="n">
        <v>23162.1</v>
      </c>
      <c r="J10" s="48" t="n">
        <v>278782</v>
      </c>
      <c r="K10" s="47" t="n">
        <v>1620516.06</v>
      </c>
      <c r="L10" s="48" t="n">
        <v>13866925</v>
      </c>
      <c r="M10" s="48" t="n">
        <v>323600</v>
      </c>
      <c r="N10" s="47" t="n">
        <v>23085.95</v>
      </c>
      <c r="O10" s="47" t="n">
        <f aca="false">IF(AND(ISNUMBER(G10),ISNUMBER(N10)),G10-N10,"")</f>
        <v>76.1499999999978</v>
      </c>
      <c r="P10" s="49" t="n">
        <f aca="false">IF(ISNUMBER(O10),O10/N10,"")</f>
        <v>0.00329854305324225</v>
      </c>
      <c r="Q10" s="50" t="n">
        <f aca="false">C10-B10</f>
        <v>17</v>
      </c>
      <c r="R10" s="51" t="n">
        <f aca="false">IF(AND(C10=C9,ISNUMBER(G10),ISNUMBER(G9)),(G10/G9-1)*100,"")</f>
        <v>-1.4405984515322</v>
      </c>
      <c r="S10" s="51" t="n">
        <f aca="false">IF(AND(C10=C9,ISNUMBER(L10),ISNUMBER(L9)),(L10/L9-1)*100,"")</f>
        <v>2.3893689326661</v>
      </c>
      <c r="T10" s="51" t="n">
        <f aca="false">IF(AND(C10=C9,ISNUMBER(G10),ISNUMBER(G9)),G10-G9,"")</f>
        <v>-338.550000000003</v>
      </c>
      <c r="U10" s="1" t="str">
        <f aca="false">IF(OR(NOT(ISNUMBER(R10)),NOT(ISNUMBER(S10))),"Not classified",IF(AND(R10&gt;0,S10&gt;0),"Long buildup (interpretation)",IF(AND(R10&lt;0,S10&gt;0),"Short buildup (interpretation)",IF(AND(R10&gt;0,S10&lt;0),"Short covering (interpretation)",IF(AND(R10&lt;0,S10&lt;0),"Long unwinding (interpretation)","Neutral")))))</f>
        <v>Short buildup (interpretation)</v>
      </c>
      <c r="V10" s="52" t="str">
        <f aca="false">TEXT(B10,"yyyy-mm")</f>
        <v>2025-01</v>
      </c>
      <c r="W10" s="52" t="n">
        <f aca="false">1+COUNTIFS($B$2:$B$756,B10,$C$2:$C$756,"&lt;"&amp;C10)</f>
        <v>1</v>
      </c>
      <c r="X10" s="53" t="n">
        <f aca="false">IF(AND(ISNUMBER(P10),Q10&gt;0),P10*365/Q10,"")</f>
        <v>0.0708216596725541</v>
      </c>
      <c r="Y10" s="42" t="n">
        <f aca="false">IF(AND(C11=C10,ISNUMBER(R11)),R11,"")</f>
        <v>0.473402670742296</v>
      </c>
      <c r="Z10" s="52" t="n">
        <f aca="false">IF(AND(W10=1,Q10&gt;Basis_Analysis!$B$3,ISNUMBER(Y10)),1,0)</f>
        <v>1</v>
      </c>
      <c r="AA10" s="43" t="n">
        <f aca="false">IF(W10=1,IF(SUMIFS($L$2:$L$756,$B$2:$B$756,B10,$W$2:$W$756,2)&gt;0,SUMIFS($L$2:$L$756,$B$2:$B$756,B10,$W$2:$W$756,2),""),"")</f>
        <v>2335725</v>
      </c>
      <c r="AB10" s="54" t="n">
        <f aca="false">IF(AND(W10=1,ISNUMBER(AA10)),L10/(L10+AA10),"")</f>
        <v>0.855843025677898</v>
      </c>
    </row>
    <row r="11" customFormat="false" ht="15" hidden="false" customHeight="true" outlineLevel="0" collapsed="false">
      <c r="A11" s="1" t="s">
        <v>274</v>
      </c>
      <c r="B11" s="46" t="n">
        <v>45671</v>
      </c>
      <c r="C11" s="46" t="n">
        <v>45687</v>
      </c>
      <c r="D11" s="47" t="n">
        <v>23248</v>
      </c>
      <c r="E11" s="47" t="n">
        <v>23339</v>
      </c>
      <c r="F11" s="47" t="n">
        <v>23198.45</v>
      </c>
      <c r="G11" s="47" t="n">
        <v>23271.75</v>
      </c>
      <c r="H11" s="47" t="n">
        <v>23280</v>
      </c>
      <c r="I11" s="47" t="n">
        <v>23271.75</v>
      </c>
      <c r="J11" s="48" t="n">
        <v>194699</v>
      </c>
      <c r="K11" s="47" t="n">
        <v>1132412.67</v>
      </c>
      <c r="L11" s="48" t="n">
        <v>13753850</v>
      </c>
      <c r="M11" s="48" t="n">
        <v>-113075</v>
      </c>
      <c r="N11" s="47" t="n">
        <v>23176.05</v>
      </c>
      <c r="O11" s="47" t="n">
        <f aca="false">IF(AND(ISNUMBER(G11),ISNUMBER(N11)),G11-N11,"")</f>
        <v>95.7000000000007</v>
      </c>
      <c r="P11" s="49" t="n">
        <f aca="false">IF(ISNUMBER(O11),O11/N11,"")</f>
        <v>0.00412926275184946</v>
      </c>
      <c r="Q11" s="50" t="n">
        <f aca="false">C11-B11</f>
        <v>16</v>
      </c>
      <c r="R11" s="51" t="n">
        <f aca="false">IF(AND(C11=C10,ISNUMBER(G11),ISNUMBER(G10)),(G11/G10-1)*100,"")</f>
        <v>0.473402670742296</v>
      </c>
      <c r="S11" s="51" t="n">
        <f aca="false">IF(AND(C11=C10,ISNUMBER(L11),ISNUMBER(L10)),(L11/L10-1)*100,"")</f>
        <v>-0.815429520243316</v>
      </c>
      <c r="T11" s="51" t="n">
        <f aca="false">IF(AND(C11=C10,ISNUMBER(G11),ISNUMBER(G10)),G11-G10,"")</f>
        <v>109.650000000001</v>
      </c>
      <c r="U11" s="1" t="str">
        <f aca="false">IF(OR(NOT(ISNUMBER(R11)),NOT(ISNUMBER(S11))),"Not classified",IF(AND(R11&gt;0,S11&gt;0),"Long buildup (interpretation)",IF(AND(R11&lt;0,S11&gt;0),"Short buildup (interpretation)",IF(AND(R11&gt;0,S11&lt;0),"Short covering (interpretation)",IF(AND(R11&lt;0,S11&lt;0),"Long unwinding (interpretation)","Neutral")))))</f>
        <v>Short covering (interpretation)</v>
      </c>
      <c r="V11" s="52" t="str">
        <f aca="false">TEXT(B11,"yyyy-mm")</f>
        <v>2025-01</v>
      </c>
      <c r="W11" s="52" t="n">
        <f aca="false">1+COUNTIFS($B$2:$B$756,B11,$C$2:$C$756,"&lt;"&amp;C11)</f>
        <v>1</v>
      </c>
      <c r="X11" s="53" t="n">
        <f aca="false">IF(AND(ISNUMBER(P11),Q11&gt;0),P11*365/Q11,"")</f>
        <v>0.0941988065265658</v>
      </c>
      <c r="Y11" s="42" t="n">
        <f aca="false">IF(AND(C12=C11,ISNUMBER(R12)),R12,"")</f>
        <v>-0.0251377743401227</v>
      </c>
      <c r="Z11" s="52" t="n">
        <f aca="false">IF(AND(W11=1,Q11&gt;Basis_Analysis!$B$3,ISNUMBER(Y11)),1,0)</f>
        <v>1</v>
      </c>
      <c r="AA11" s="43" t="n">
        <f aca="false">IF(W11=1,IF(SUMIFS($L$2:$L$756,$B$2:$B$756,B11,$W$2:$W$756,2)&gt;0,SUMIFS($L$2:$L$756,$B$2:$B$756,B11,$W$2:$W$756,2),""),"")</f>
        <v>2802150</v>
      </c>
      <c r="AB11" s="54" t="n">
        <f aca="false">IF(AND(W11=1,ISNUMBER(AA11)),L11/(L11+AA11),"")</f>
        <v>0.830747161150036</v>
      </c>
    </row>
    <row r="12" customFormat="false" ht="15" hidden="false" customHeight="true" outlineLevel="0" collapsed="false">
      <c r="A12" s="1" t="s">
        <v>274</v>
      </c>
      <c r="B12" s="46" t="n">
        <v>45672</v>
      </c>
      <c r="C12" s="46" t="n">
        <v>45687</v>
      </c>
      <c r="D12" s="47" t="n">
        <v>23302.05</v>
      </c>
      <c r="E12" s="47" t="n">
        <v>23345</v>
      </c>
      <c r="F12" s="47" t="n">
        <v>23201</v>
      </c>
      <c r="G12" s="47" t="n">
        <v>23265.9</v>
      </c>
      <c r="H12" s="47" t="n">
        <v>23275.95</v>
      </c>
      <c r="I12" s="47" t="n">
        <v>23265.9</v>
      </c>
      <c r="J12" s="48" t="n">
        <v>143790</v>
      </c>
      <c r="K12" s="47" t="n">
        <v>836498.9</v>
      </c>
      <c r="L12" s="48" t="n">
        <v>13536300</v>
      </c>
      <c r="M12" s="48" t="n">
        <v>-217550</v>
      </c>
      <c r="N12" s="47" t="n">
        <v>23213.2</v>
      </c>
      <c r="O12" s="47" t="n">
        <f aca="false">IF(AND(ISNUMBER(G12),ISNUMBER(N12)),G12-N12,"")</f>
        <v>52.7000000000007</v>
      </c>
      <c r="P12" s="49" t="n">
        <f aca="false">IF(ISNUMBER(O12),O12/N12,"")</f>
        <v>0.00227026002446887</v>
      </c>
      <c r="Q12" s="50" t="n">
        <f aca="false">C12-B12</f>
        <v>15</v>
      </c>
      <c r="R12" s="51" t="n">
        <f aca="false">IF(AND(C12=C11,ISNUMBER(G12),ISNUMBER(G11)),(G12/G11-1)*100,"")</f>
        <v>-0.0251377743401227</v>
      </c>
      <c r="S12" s="51" t="n">
        <f aca="false">IF(AND(C12=C11,ISNUMBER(L12),ISNUMBER(L11)),(L12/L11-1)*100,"")</f>
        <v>-1.58173893128106</v>
      </c>
      <c r="T12" s="51" t="n">
        <f aca="false">IF(AND(C12=C11,ISNUMBER(G12),ISNUMBER(G11)),G12-G11,"")</f>
        <v>-5.84999999999855</v>
      </c>
      <c r="U12" s="1" t="str">
        <f aca="false">IF(OR(NOT(ISNUMBER(R12)),NOT(ISNUMBER(S12))),"Not classified",IF(AND(R12&gt;0,S12&gt;0),"Long buildup (interpretation)",IF(AND(R12&lt;0,S12&gt;0),"Short buildup (interpretation)",IF(AND(R12&gt;0,S12&lt;0),"Short covering (interpretation)",IF(AND(R12&lt;0,S12&lt;0),"Long unwinding (interpretation)","Neutral")))))</f>
        <v>Long unwinding (interpretation)</v>
      </c>
      <c r="V12" s="52" t="str">
        <f aca="false">TEXT(B12,"yyyy-mm")</f>
        <v>2025-01</v>
      </c>
      <c r="W12" s="52" t="n">
        <f aca="false">1+COUNTIFS($B$2:$B$756,B12,$C$2:$C$756,"&lt;"&amp;C12)</f>
        <v>1</v>
      </c>
      <c r="X12" s="53" t="n">
        <f aca="false">IF(AND(ISNUMBER(P12),Q12&gt;0),P12*365/Q12,"")</f>
        <v>0.0552429939287425</v>
      </c>
      <c r="Y12" s="42" t="n">
        <f aca="false">IF(AND(C13=C12,ISNUMBER(R13)),R13,"")</f>
        <v>0.479886873063151</v>
      </c>
      <c r="Z12" s="52" t="n">
        <f aca="false">IF(AND(W12=1,Q12&gt;Basis_Analysis!$B$3,ISNUMBER(Y12)),1,0)</f>
        <v>1</v>
      </c>
      <c r="AA12" s="43" t="n">
        <f aca="false">IF(W12=1,IF(SUMIFS($L$2:$L$756,$B$2:$B$756,B12,$W$2:$W$756,2)&gt;0,SUMIFS($L$2:$L$756,$B$2:$B$756,B12,$W$2:$W$756,2),""),"")</f>
        <v>2906625</v>
      </c>
      <c r="AB12" s="54" t="n">
        <f aca="false">IF(AND(W12=1,ISNUMBER(AA12)),L12/(L12+AA12),"")</f>
        <v>0.823229443666501</v>
      </c>
    </row>
    <row r="13" customFormat="false" ht="15" hidden="false" customHeight="true" outlineLevel="0" collapsed="false">
      <c r="A13" s="1" t="s">
        <v>274</v>
      </c>
      <c r="B13" s="46" t="n">
        <v>45673</v>
      </c>
      <c r="C13" s="46" t="n">
        <v>45687</v>
      </c>
      <c r="D13" s="47" t="n">
        <v>23406</v>
      </c>
      <c r="E13" s="47" t="n">
        <v>23423.9</v>
      </c>
      <c r="F13" s="47" t="n">
        <v>23346.15</v>
      </c>
      <c r="G13" s="47" t="n">
        <v>23377.55</v>
      </c>
      <c r="H13" s="47" t="n">
        <v>23406.9</v>
      </c>
      <c r="I13" s="47" t="n">
        <v>23377.55</v>
      </c>
      <c r="J13" s="48" t="n">
        <v>171198</v>
      </c>
      <c r="K13" s="47" t="n">
        <v>1000856.55</v>
      </c>
      <c r="L13" s="48" t="n">
        <v>13500850</v>
      </c>
      <c r="M13" s="48" t="n">
        <v>-35450</v>
      </c>
      <c r="N13" s="47" t="n">
        <v>23311.8</v>
      </c>
      <c r="O13" s="47" t="n">
        <f aca="false">IF(AND(ISNUMBER(G13),ISNUMBER(N13)),G13-N13,"")</f>
        <v>65.75</v>
      </c>
      <c r="P13" s="49" t="n">
        <f aca="false">IF(ISNUMBER(O13),O13/N13,"")</f>
        <v>0.00282046002453693</v>
      </c>
      <c r="Q13" s="50" t="n">
        <f aca="false">C13-B13</f>
        <v>14</v>
      </c>
      <c r="R13" s="51" t="n">
        <f aca="false">IF(AND(C13=C12,ISNUMBER(G13),ISNUMBER(G12)),(G13/G12-1)*100,"")</f>
        <v>0.479886873063151</v>
      </c>
      <c r="S13" s="51" t="n">
        <f aca="false">IF(AND(C13=C12,ISNUMBER(L13),ISNUMBER(L12)),(L13/L12-1)*100,"")</f>
        <v>-0.261888403773558</v>
      </c>
      <c r="T13" s="51" t="n">
        <f aca="false">IF(AND(C13=C12,ISNUMBER(G13),ISNUMBER(G12)),G13-G12,"")</f>
        <v>111.649999999998</v>
      </c>
      <c r="U13" s="1" t="str">
        <f aca="false">IF(OR(NOT(ISNUMBER(R13)),NOT(ISNUMBER(S13))),"Not classified",IF(AND(R13&gt;0,S13&gt;0),"Long buildup (interpretation)",IF(AND(R13&lt;0,S13&gt;0),"Short buildup (interpretation)",IF(AND(R13&gt;0,S13&lt;0),"Short covering (interpretation)",IF(AND(R13&lt;0,S13&lt;0),"Long unwinding (interpretation)","Neutral")))))</f>
        <v>Short covering (interpretation)</v>
      </c>
      <c r="V13" s="52" t="str">
        <f aca="false">TEXT(B13,"yyyy-mm")</f>
        <v>2025-01</v>
      </c>
      <c r="W13" s="52" t="n">
        <f aca="false">1+COUNTIFS($B$2:$B$756,B13,$C$2:$C$756,"&lt;"&amp;C13)</f>
        <v>1</v>
      </c>
      <c r="X13" s="53" t="n">
        <f aca="false">IF(AND(ISNUMBER(P13),Q13&gt;0),P13*365/Q13,"")</f>
        <v>0.0735334220682842</v>
      </c>
      <c r="Y13" s="42" t="n">
        <f aca="false">IF(AND(C14=C13,ISNUMBER(R14)),R14,"")</f>
        <v>-0.47203406687184</v>
      </c>
      <c r="Z13" s="52" t="n">
        <f aca="false">IF(AND(W13=1,Q13&gt;Basis_Analysis!$B$3,ISNUMBER(Y13)),1,0)</f>
        <v>1</v>
      </c>
      <c r="AA13" s="43" t="n">
        <f aca="false">IF(W13=1,IF(SUMIFS($L$2:$L$756,$B$2:$B$756,B13,$W$2:$W$756,2)&gt;0,SUMIFS($L$2:$L$756,$B$2:$B$756,B13,$W$2:$W$756,2),""),"")</f>
        <v>3265050</v>
      </c>
      <c r="AB13" s="54" t="n">
        <f aca="false">IF(AND(W13=1,ISNUMBER(AA13)),L13/(L13+AA13),"")</f>
        <v>0.805256502782433</v>
      </c>
    </row>
    <row r="14" customFormat="false" ht="15" hidden="false" customHeight="true" outlineLevel="0" collapsed="false">
      <c r="A14" s="1" t="s">
        <v>274</v>
      </c>
      <c r="B14" s="46" t="n">
        <v>45674</v>
      </c>
      <c r="C14" s="46" t="n">
        <v>45687</v>
      </c>
      <c r="D14" s="47" t="n">
        <v>23344.9</v>
      </c>
      <c r="E14" s="47" t="n">
        <v>23353.8</v>
      </c>
      <c r="F14" s="47" t="n">
        <v>23150.1</v>
      </c>
      <c r="G14" s="47" t="n">
        <v>23267.2</v>
      </c>
      <c r="H14" s="47" t="n">
        <v>23261.75</v>
      </c>
      <c r="I14" s="47" t="n">
        <v>23267.2</v>
      </c>
      <c r="J14" s="48" t="n">
        <v>218388</v>
      </c>
      <c r="K14" s="47" t="n">
        <v>1269772.3</v>
      </c>
      <c r="L14" s="48" t="n">
        <v>14032150</v>
      </c>
      <c r="M14" s="48" t="n">
        <v>531300</v>
      </c>
      <c r="N14" s="47" t="n">
        <v>23203.2</v>
      </c>
      <c r="O14" s="47" t="n">
        <f aca="false">IF(AND(ISNUMBER(G14),ISNUMBER(N14)),G14-N14,"")</f>
        <v>64</v>
      </c>
      <c r="P14" s="49" t="n">
        <f aca="false">IF(ISNUMBER(O14),O14/N14,"")</f>
        <v>0.00275824024272514</v>
      </c>
      <c r="Q14" s="50" t="n">
        <f aca="false">C14-B14</f>
        <v>13</v>
      </c>
      <c r="R14" s="51" t="n">
        <f aca="false">IF(AND(C14=C13,ISNUMBER(G14),ISNUMBER(G13)),(G14/G13-1)*100,"")</f>
        <v>-0.47203406687184</v>
      </c>
      <c r="S14" s="51" t="n">
        <f aca="false">IF(AND(C14=C13,ISNUMBER(L14),ISNUMBER(L13)),(L14/L13-1)*100,"")</f>
        <v>3.93530777691775</v>
      </c>
      <c r="T14" s="51" t="n">
        <f aca="false">IF(AND(C14=C13,ISNUMBER(G14),ISNUMBER(G13)),G14-G13,"")</f>
        <v>-110.349999999999</v>
      </c>
      <c r="U14" s="1" t="str">
        <f aca="false">IF(OR(NOT(ISNUMBER(R14)),NOT(ISNUMBER(S14))),"Not classified",IF(AND(R14&gt;0,S14&gt;0),"Long buildup (interpretation)",IF(AND(R14&lt;0,S14&gt;0),"Short buildup (interpretation)",IF(AND(R14&gt;0,S14&lt;0),"Short covering (interpretation)",IF(AND(R14&lt;0,S14&lt;0),"Long unwinding (interpretation)","Neutral")))))</f>
        <v>Short buildup (interpretation)</v>
      </c>
      <c r="V14" s="52" t="str">
        <f aca="false">TEXT(B14,"yyyy-mm")</f>
        <v>2025-01</v>
      </c>
      <c r="W14" s="52" t="n">
        <f aca="false">1+COUNTIFS($B$2:$B$756,B14,$C$2:$C$756,"&lt;"&amp;C14)</f>
        <v>1</v>
      </c>
      <c r="X14" s="53" t="n">
        <f aca="false">IF(AND(ISNUMBER(P14),Q14&gt;0),P14*365/Q14,"")</f>
        <v>0.0774428991226674</v>
      </c>
      <c r="Y14" s="42" t="n">
        <f aca="false">IF(AND(C15=C14,ISNUMBER(R15)),R15,"")</f>
        <v>0.571620134782003</v>
      </c>
      <c r="Z14" s="52" t="n">
        <f aca="false">IF(AND(W14=1,Q14&gt;Basis_Analysis!$B$3,ISNUMBER(Y14)),1,0)</f>
        <v>1</v>
      </c>
      <c r="AA14" s="43" t="n">
        <f aca="false">IF(W14=1,IF(SUMIFS($L$2:$L$756,$B$2:$B$756,B14,$W$2:$W$756,2)&gt;0,SUMIFS($L$2:$L$756,$B$2:$B$756,B14,$W$2:$W$756,2),""),"")</f>
        <v>3522600</v>
      </c>
      <c r="AB14" s="54" t="n">
        <f aca="false">IF(AND(W14=1,ISNUMBER(AA14)),L14/(L14+AA14),"")</f>
        <v>0.799336361953318</v>
      </c>
    </row>
    <row r="15" customFormat="false" ht="15" hidden="false" customHeight="true" outlineLevel="0" collapsed="false">
      <c r="A15" s="1" t="s">
        <v>274</v>
      </c>
      <c r="B15" s="46" t="n">
        <v>45677</v>
      </c>
      <c r="C15" s="46" t="n">
        <v>45687</v>
      </c>
      <c r="D15" s="47" t="n">
        <v>23339.95</v>
      </c>
      <c r="E15" s="47" t="n">
        <v>23449</v>
      </c>
      <c r="F15" s="47" t="n">
        <v>23220</v>
      </c>
      <c r="G15" s="47" t="n">
        <v>23400.2</v>
      </c>
      <c r="H15" s="47" t="n">
        <v>23393</v>
      </c>
      <c r="I15" s="47" t="n">
        <v>23400.2</v>
      </c>
      <c r="J15" s="48" t="n">
        <v>163712</v>
      </c>
      <c r="K15" s="47" t="n">
        <v>956036.45</v>
      </c>
      <c r="L15" s="48" t="n">
        <v>14133750</v>
      </c>
      <c r="M15" s="48" t="n">
        <v>101600</v>
      </c>
      <c r="N15" s="47" t="n">
        <v>23344.75</v>
      </c>
      <c r="O15" s="47" t="n">
        <f aca="false">IF(AND(ISNUMBER(G15),ISNUMBER(N15)),G15-N15,"")</f>
        <v>55.4500000000007</v>
      </c>
      <c r="P15" s="49" t="n">
        <f aca="false">IF(ISNUMBER(O15),O15/N15,"")</f>
        <v>0.00237526638751757</v>
      </c>
      <c r="Q15" s="50" t="n">
        <f aca="false">C15-B15</f>
        <v>10</v>
      </c>
      <c r="R15" s="51" t="n">
        <f aca="false">IF(AND(C15=C14,ISNUMBER(G15),ISNUMBER(G14)),(G15/G14-1)*100,"")</f>
        <v>0.571620134782003</v>
      </c>
      <c r="S15" s="51" t="n">
        <f aca="false">IF(AND(C15=C14,ISNUMBER(L15),ISNUMBER(L14)),(L15/L14-1)*100,"")</f>
        <v>0.724051553040694</v>
      </c>
      <c r="T15" s="51" t="n">
        <f aca="false">IF(AND(C15=C14,ISNUMBER(G15),ISNUMBER(G14)),G15-G14,"")</f>
        <v>133</v>
      </c>
      <c r="U15" s="1" t="str">
        <f aca="false">IF(OR(NOT(ISNUMBER(R15)),NOT(ISNUMBER(S15))),"Not classified",IF(AND(R15&gt;0,S15&gt;0),"Long buildup (interpretation)",IF(AND(R15&lt;0,S15&gt;0),"Short buildup (interpretation)",IF(AND(R15&gt;0,S15&lt;0),"Short covering (interpretation)",IF(AND(R15&lt;0,S15&lt;0),"Long unwinding (interpretation)","Neutral")))))</f>
        <v>Long buildup (interpretation)</v>
      </c>
      <c r="V15" s="52" t="str">
        <f aca="false">TEXT(B15,"yyyy-mm")</f>
        <v>2025-01</v>
      </c>
      <c r="W15" s="52" t="n">
        <f aca="false">1+COUNTIFS($B$2:$B$756,B15,$C$2:$C$756,"&lt;"&amp;C15)</f>
        <v>1</v>
      </c>
      <c r="X15" s="53" t="n">
        <f aca="false">IF(AND(ISNUMBER(P15),Q15&gt;0),P15*365/Q15,"")</f>
        <v>0.0866972231443912</v>
      </c>
      <c r="Y15" s="42" t="n">
        <f aca="false">IF(AND(C16=C15,ISNUMBER(R16)),R16,"")</f>
        <v>-1.26921992119725</v>
      </c>
      <c r="Z15" s="52" t="n">
        <f aca="false">IF(AND(W15=1,Q15&gt;Basis_Analysis!$B$3,ISNUMBER(Y15)),1,0)</f>
        <v>1</v>
      </c>
      <c r="AA15" s="43" t="n">
        <f aca="false">IF(W15=1,IF(SUMIFS($L$2:$L$756,$B$2:$B$756,B15,$W$2:$W$756,2)&gt;0,SUMIFS($L$2:$L$756,$B$2:$B$756,B15,$W$2:$W$756,2),""),"")</f>
        <v>3653700</v>
      </c>
      <c r="AB15" s="54" t="n">
        <f aca="false">IF(AND(W15=1,ISNUMBER(AA15)),L15/(L15+AA15),"")</f>
        <v>0.794591130263191</v>
      </c>
    </row>
    <row r="16" customFormat="false" ht="15" hidden="false" customHeight="true" outlineLevel="0" collapsed="false">
      <c r="A16" s="1" t="s">
        <v>274</v>
      </c>
      <c r="B16" s="46" t="n">
        <v>45678</v>
      </c>
      <c r="C16" s="46" t="n">
        <v>45687</v>
      </c>
      <c r="D16" s="47" t="n">
        <v>23424.95</v>
      </c>
      <c r="E16" s="47" t="n">
        <v>23460.65</v>
      </c>
      <c r="F16" s="47" t="n">
        <v>23051.65</v>
      </c>
      <c r="G16" s="47" t="n">
        <v>23103.2</v>
      </c>
      <c r="H16" s="47" t="n">
        <v>23105.1</v>
      </c>
      <c r="I16" s="47" t="n">
        <v>23103.2</v>
      </c>
      <c r="J16" s="48" t="n">
        <v>388434</v>
      </c>
      <c r="K16" s="47" t="n">
        <v>2257461.36</v>
      </c>
      <c r="L16" s="48" t="n">
        <v>14572600</v>
      </c>
      <c r="M16" s="48" t="n">
        <v>438850</v>
      </c>
      <c r="N16" s="47" t="n">
        <v>23024.65</v>
      </c>
      <c r="O16" s="47" t="n">
        <f aca="false">IF(AND(ISNUMBER(G16),ISNUMBER(N16)),G16-N16,"")</f>
        <v>78.5499999999993</v>
      </c>
      <c r="P16" s="49" t="n">
        <f aca="false">IF(ISNUMBER(O16),O16/N16,"")</f>
        <v>0.00341156108779066</v>
      </c>
      <c r="Q16" s="50" t="n">
        <f aca="false">C16-B16</f>
        <v>9</v>
      </c>
      <c r="R16" s="51" t="n">
        <f aca="false">IF(AND(C16=C15,ISNUMBER(G16),ISNUMBER(G15)),(G16/G15-1)*100,"")</f>
        <v>-1.26921992119725</v>
      </c>
      <c r="S16" s="51" t="n">
        <f aca="false">IF(AND(C16=C15,ISNUMBER(L16),ISNUMBER(L15)),(L16/L15-1)*100,"")</f>
        <v>3.10497921641462</v>
      </c>
      <c r="T16" s="51" t="n">
        <f aca="false">IF(AND(C16=C15,ISNUMBER(G16),ISNUMBER(G15)),G16-G15,"")</f>
        <v>-297</v>
      </c>
      <c r="U16" s="1" t="str">
        <f aca="false">IF(OR(NOT(ISNUMBER(R16)),NOT(ISNUMBER(S16))),"Not classified",IF(AND(R16&gt;0,S16&gt;0),"Long buildup (interpretation)",IF(AND(R16&lt;0,S16&gt;0),"Short buildup (interpretation)",IF(AND(R16&gt;0,S16&lt;0),"Short covering (interpretation)",IF(AND(R16&lt;0,S16&lt;0),"Long unwinding (interpretation)","Neutral")))))</f>
        <v>Short buildup (interpretation)</v>
      </c>
      <c r="V16" s="52" t="str">
        <f aca="false">TEXT(B16,"yyyy-mm")</f>
        <v>2025-01</v>
      </c>
      <c r="W16" s="52" t="n">
        <f aca="false">1+COUNTIFS($B$2:$B$756,B16,$C$2:$C$756,"&lt;"&amp;C16)</f>
        <v>1</v>
      </c>
      <c r="X16" s="53" t="n">
        <f aca="false">IF(AND(ISNUMBER(P16),Q16&gt;0),P16*365/Q16,"")</f>
        <v>0.138357755227066</v>
      </c>
      <c r="Y16" s="42" t="n">
        <f aca="false">IF(AND(C17=C16,ISNUMBER(R17)),R17,"")</f>
        <v>0.414444752242105</v>
      </c>
      <c r="Z16" s="52" t="n">
        <f aca="false">IF(AND(W16=1,Q16&gt;Basis_Analysis!$B$3,ISNUMBER(Y16)),1,0)</f>
        <v>1</v>
      </c>
      <c r="AA16" s="43" t="n">
        <f aca="false">IF(W16=1,IF(SUMIFS($L$2:$L$756,$B$2:$B$756,B16,$W$2:$W$756,2)&gt;0,SUMIFS($L$2:$L$756,$B$2:$B$756,B16,$W$2:$W$756,2),""),"")</f>
        <v>4345575</v>
      </c>
      <c r="AB16" s="54" t="n">
        <f aca="false">IF(AND(W16=1,ISNUMBER(AA16)),L16/(L16+AA16),"")</f>
        <v>0.770296289150513</v>
      </c>
    </row>
    <row r="17" customFormat="false" ht="15" hidden="false" customHeight="true" outlineLevel="0" collapsed="false">
      <c r="A17" s="1" t="s">
        <v>274</v>
      </c>
      <c r="B17" s="46" t="n">
        <v>45679</v>
      </c>
      <c r="C17" s="46" t="n">
        <v>45687</v>
      </c>
      <c r="D17" s="47" t="n">
        <v>23164</v>
      </c>
      <c r="E17" s="47" t="n">
        <v>23219.9</v>
      </c>
      <c r="F17" s="47" t="n">
        <v>23020</v>
      </c>
      <c r="G17" s="47" t="n">
        <v>23198.95</v>
      </c>
      <c r="H17" s="47" t="n">
        <v>23198</v>
      </c>
      <c r="I17" s="47" t="n">
        <v>23198.95</v>
      </c>
      <c r="J17" s="48" t="n">
        <v>211777</v>
      </c>
      <c r="K17" s="47" t="n">
        <v>1224559.28</v>
      </c>
      <c r="L17" s="48" t="n">
        <v>14085325</v>
      </c>
      <c r="M17" s="48" t="n">
        <v>-487275</v>
      </c>
      <c r="N17" s="47" t="n">
        <v>23155.35</v>
      </c>
      <c r="O17" s="47" t="n">
        <f aca="false">IF(AND(ISNUMBER(G17),ISNUMBER(N17)),G17-N17,"")</f>
        <v>43.6000000000022</v>
      </c>
      <c r="P17" s="49" t="n">
        <f aca="false">IF(ISNUMBER(O17),O17/N17,"")</f>
        <v>0.00188293418151754</v>
      </c>
      <c r="Q17" s="50" t="n">
        <f aca="false">C17-B17</f>
        <v>8</v>
      </c>
      <c r="R17" s="51" t="n">
        <f aca="false">IF(AND(C17=C16,ISNUMBER(G17),ISNUMBER(G16)),(G17/G16-1)*100,"")</f>
        <v>0.414444752242105</v>
      </c>
      <c r="S17" s="51" t="n">
        <f aca="false">IF(AND(C17=C16,ISNUMBER(L17),ISNUMBER(L16)),(L17/L16-1)*100,"")</f>
        <v>-3.34377530433828</v>
      </c>
      <c r="T17" s="51" t="n">
        <f aca="false">IF(AND(C17=C16,ISNUMBER(G17),ISNUMBER(G16)),G17-G16,"")</f>
        <v>95.75</v>
      </c>
      <c r="U17" s="1" t="str">
        <f aca="false">IF(OR(NOT(ISNUMBER(R17)),NOT(ISNUMBER(S17))),"Not classified",IF(AND(R17&gt;0,S17&gt;0),"Long buildup (interpretation)",IF(AND(R17&lt;0,S17&gt;0),"Short buildup (interpretation)",IF(AND(R17&gt;0,S17&lt;0),"Short covering (interpretation)",IF(AND(R17&lt;0,S17&lt;0),"Long unwinding (interpretation)","Neutral")))))</f>
        <v>Short covering (interpretation)</v>
      </c>
      <c r="V17" s="52" t="str">
        <f aca="false">TEXT(B17,"yyyy-mm")</f>
        <v>2025-01</v>
      </c>
      <c r="W17" s="52" t="n">
        <f aca="false">1+COUNTIFS($B$2:$B$756,B17,$C$2:$C$756,"&lt;"&amp;C17)</f>
        <v>1</v>
      </c>
      <c r="X17" s="53" t="n">
        <f aca="false">IF(AND(ISNUMBER(P17),Q17&gt;0),P17*365/Q17,"")</f>
        <v>0.0859088720317378</v>
      </c>
      <c r="Y17" s="42" t="n">
        <f aca="false">IF(AND(C18=C17,ISNUMBER(R18)),R18,"")</f>
        <v>0.279107459604844</v>
      </c>
      <c r="Z17" s="52" t="n">
        <f aca="false">IF(AND(W17=1,Q17&gt;Basis_Analysis!$B$3,ISNUMBER(Y17)),1,0)</f>
        <v>1</v>
      </c>
      <c r="AA17" s="43" t="n">
        <f aca="false">IF(W17=1,IF(SUMIFS($L$2:$L$756,$B$2:$B$756,B17,$W$2:$W$756,2)&gt;0,SUMIFS($L$2:$L$756,$B$2:$B$756,B17,$W$2:$W$756,2),""),"")</f>
        <v>4927200</v>
      </c>
      <c r="AB17" s="54" t="n">
        <f aca="false">IF(AND(W17=1,ISNUMBER(AA17)),L17/(L17+AA17),"")</f>
        <v>0.740844522229425</v>
      </c>
    </row>
    <row r="18" customFormat="false" ht="15" hidden="false" customHeight="true" outlineLevel="0" collapsed="false">
      <c r="A18" s="1" t="s">
        <v>274</v>
      </c>
      <c r="B18" s="46" t="n">
        <v>45680</v>
      </c>
      <c r="C18" s="46" t="n">
        <v>45687</v>
      </c>
      <c r="D18" s="47" t="n">
        <v>23150</v>
      </c>
      <c r="E18" s="47" t="n">
        <v>23319.85</v>
      </c>
      <c r="F18" s="47" t="n">
        <v>23126.9</v>
      </c>
      <c r="G18" s="47" t="n">
        <v>23263.7</v>
      </c>
      <c r="H18" s="47" t="n">
        <v>23267</v>
      </c>
      <c r="I18" s="47" t="n">
        <v>23263.7</v>
      </c>
      <c r="J18" s="48" t="n">
        <v>161222</v>
      </c>
      <c r="K18" s="47" t="n">
        <v>937349.24</v>
      </c>
      <c r="L18" s="48" t="n">
        <v>13637050</v>
      </c>
      <c r="M18" s="48" t="n">
        <v>-448275</v>
      </c>
      <c r="N18" s="47" t="n">
        <v>23205.35</v>
      </c>
      <c r="O18" s="47" t="n">
        <f aca="false">IF(AND(ISNUMBER(G18),ISNUMBER(N18)),G18-N18,"")</f>
        <v>58.3500000000022</v>
      </c>
      <c r="P18" s="49" t="n">
        <f aca="false">IF(ISNUMBER(O18),O18/N18,"")</f>
        <v>0.00251450635306092</v>
      </c>
      <c r="Q18" s="50" t="n">
        <f aca="false">C18-B18</f>
        <v>7</v>
      </c>
      <c r="R18" s="51" t="n">
        <f aca="false">IF(AND(C18=C17,ISNUMBER(G18),ISNUMBER(G17)),(G18/G17-1)*100,"")</f>
        <v>0.279107459604844</v>
      </c>
      <c r="S18" s="51" t="n">
        <f aca="false">IF(AND(C18=C17,ISNUMBER(L18),ISNUMBER(L17)),(L18/L17-1)*100,"")</f>
        <v>-3.18256767238243</v>
      </c>
      <c r="T18" s="51" t="n">
        <f aca="false">IF(AND(C18=C17,ISNUMBER(G18),ISNUMBER(G17)),G18-G17,"")</f>
        <v>64.75</v>
      </c>
      <c r="U18" s="1" t="str">
        <f aca="false">IF(OR(NOT(ISNUMBER(R18)),NOT(ISNUMBER(S18))),"Not classified",IF(AND(R18&gt;0,S18&gt;0),"Long buildup (interpretation)",IF(AND(R18&lt;0,S18&gt;0),"Short buildup (interpretation)",IF(AND(R18&gt;0,S18&lt;0),"Short covering (interpretation)",IF(AND(R18&lt;0,S18&lt;0),"Long unwinding (interpretation)","Neutral")))))</f>
        <v>Short covering (interpretation)</v>
      </c>
      <c r="V18" s="52" t="str">
        <f aca="false">TEXT(B18,"yyyy-mm")</f>
        <v>2025-01</v>
      </c>
      <c r="W18" s="52" t="n">
        <f aca="false">1+COUNTIFS($B$2:$B$756,B18,$C$2:$C$756,"&lt;"&amp;C18)</f>
        <v>1</v>
      </c>
      <c r="X18" s="53" t="n">
        <f aca="false">IF(AND(ISNUMBER(P18),Q18&gt;0),P18*365/Q18,"")</f>
        <v>0.131113545552462</v>
      </c>
      <c r="Y18" s="42" t="n">
        <f aca="false">IF(AND(C19=C18,ISNUMBER(R19)),R19,"")</f>
        <v>-0.643921646169776</v>
      </c>
      <c r="Z18" s="52" t="n">
        <f aca="false">IF(AND(W18=1,Q18&gt;Basis_Analysis!$B$3,ISNUMBER(Y18)),1,0)</f>
        <v>1</v>
      </c>
      <c r="AA18" s="43" t="n">
        <f aca="false">IF(W18=1,IF(SUMIFS($L$2:$L$756,$B$2:$B$756,B18,$W$2:$W$756,2)&gt;0,SUMIFS($L$2:$L$756,$B$2:$B$756,B18,$W$2:$W$756,2),""),"")</f>
        <v>5358825</v>
      </c>
      <c r="AB18" s="54" t="n">
        <f aca="false">IF(AND(W18=1,ISNUMBER(AA18)),L18/(L18+AA18),"")</f>
        <v>0.717895332539301</v>
      </c>
    </row>
    <row r="19" customFormat="false" ht="15" hidden="false" customHeight="true" outlineLevel="0" collapsed="false">
      <c r="A19" s="1" t="s">
        <v>274</v>
      </c>
      <c r="B19" s="46" t="n">
        <v>45681</v>
      </c>
      <c r="C19" s="46" t="n">
        <v>45687</v>
      </c>
      <c r="D19" s="47" t="n">
        <v>23275.1</v>
      </c>
      <c r="E19" s="47" t="n">
        <v>23375</v>
      </c>
      <c r="F19" s="47" t="n">
        <v>23071.45</v>
      </c>
      <c r="G19" s="47" t="n">
        <v>23113.9</v>
      </c>
      <c r="H19" s="47" t="n">
        <v>23114</v>
      </c>
      <c r="I19" s="47" t="n">
        <v>23113.9</v>
      </c>
      <c r="J19" s="48" t="n">
        <v>275484</v>
      </c>
      <c r="K19" s="47" t="n">
        <v>1599043.63</v>
      </c>
      <c r="L19" s="48" t="n">
        <v>13209950</v>
      </c>
      <c r="M19" s="48" t="n">
        <v>-427100</v>
      </c>
      <c r="N19" s="47" t="n">
        <v>23092.2</v>
      </c>
      <c r="O19" s="47" t="n">
        <f aca="false">IF(AND(ISNUMBER(G19),ISNUMBER(N19)),G19-N19,"")</f>
        <v>21.7000000000007</v>
      </c>
      <c r="P19" s="49" t="n">
        <f aca="false">IF(ISNUMBER(O19),O19/N19,"")</f>
        <v>0.000939711244489513</v>
      </c>
      <c r="Q19" s="50" t="n">
        <f aca="false">C19-B19</f>
        <v>6</v>
      </c>
      <c r="R19" s="51" t="n">
        <f aca="false">IF(AND(C19=C18,ISNUMBER(G19),ISNUMBER(G18)),(G19/G18-1)*100,"")</f>
        <v>-0.643921646169776</v>
      </c>
      <c r="S19" s="51" t="n">
        <f aca="false">IF(AND(C19=C18,ISNUMBER(L19),ISNUMBER(L18)),(L19/L18-1)*100,"")</f>
        <v>-3.13190902724563</v>
      </c>
      <c r="T19" s="51" t="n">
        <f aca="false">IF(AND(C19=C18,ISNUMBER(G19),ISNUMBER(G18)),G19-G18,"")</f>
        <v>-149.799999999999</v>
      </c>
      <c r="U19" s="1" t="str">
        <f aca="false">IF(OR(NOT(ISNUMBER(R19)),NOT(ISNUMBER(S19))),"Not classified",IF(AND(R19&gt;0,S19&gt;0),"Long buildup (interpretation)",IF(AND(R19&lt;0,S19&gt;0),"Short buildup (interpretation)",IF(AND(R19&gt;0,S19&lt;0),"Short covering (interpretation)",IF(AND(R19&lt;0,S19&lt;0),"Long unwinding (interpretation)","Neutral")))))</f>
        <v>Long unwinding (interpretation)</v>
      </c>
      <c r="V19" s="52" t="str">
        <f aca="false">TEXT(B19,"yyyy-mm")</f>
        <v>2025-01</v>
      </c>
      <c r="W19" s="52" t="n">
        <f aca="false">1+COUNTIFS($B$2:$B$756,B19,$C$2:$C$756,"&lt;"&amp;C19)</f>
        <v>1</v>
      </c>
      <c r="X19" s="53" t="n">
        <f aca="false">IF(AND(ISNUMBER(P19),Q19&gt;0),P19*365/Q19,"")</f>
        <v>0.057165767373112</v>
      </c>
      <c r="Y19" s="42" t="n">
        <f aca="false">IF(AND(C20=C19,ISNUMBER(R20)),R20,"")</f>
        <v>-1.15709594659491</v>
      </c>
      <c r="Z19" s="52" t="n">
        <f aca="false">IF(AND(W19=1,Q19&gt;Basis_Analysis!$B$3,ISNUMBER(Y19)),1,0)</f>
        <v>1</v>
      </c>
      <c r="AA19" s="43" t="n">
        <f aca="false">IF(W19=1,IF(SUMIFS($L$2:$L$756,$B$2:$B$756,B19,$W$2:$W$756,2)&gt;0,SUMIFS($L$2:$L$756,$B$2:$B$756,B19,$W$2:$W$756,2),""),"")</f>
        <v>5896575</v>
      </c>
      <c r="AB19" s="54" t="n">
        <f aca="false">IF(AND(W19=1,ISNUMBER(AA19)),L19/(L19+AA19),"")</f>
        <v>0.691384226069366</v>
      </c>
    </row>
    <row r="20" customFormat="false" ht="15" hidden="false" customHeight="true" outlineLevel="0" collapsed="false">
      <c r="A20" s="1" t="s">
        <v>274</v>
      </c>
      <c r="B20" s="46" t="n">
        <v>45684</v>
      </c>
      <c r="C20" s="46" t="n">
        <v>45687</v>
      </c>
      <c r="D20" s="47" t="n">
        <v>22972</v>
      </c>
      <c r="E20" s="47" t="n">
        <v>23028.9</v>
      </c>
      <c r="F20" s="47" t="n">
        <v>22809</v>
      </c>
      <c r="G20" s="47" t="n">
        <v>22846.45</v>
      </c>
      <c r="H20" s="47" t="n">
        <v>22831.65</v>
      </c>
      <c r="I20" s="47" t="n">
        <v>22846.45</v>
      </c>
      <c r="J20" s="48" t="n">
        <v>241956</v>
      </c>
      <c r="K20" s="47" t="n">
        <v>1385054.88</v>
      </c>
      <c r="L20" s="48" t="n">
        <v>11804150</v>
      </c>
      <c r="M20" s="48" t="n">
        <v>-1405800</v>
      </c>
      <c r="N20" s="47" t="n">
        <v>22829.15</v>
      </c>
      <c r="O20" s="47" t="n">
        <f aca="false">IF(AND(ISNUMBER(G20),ISNUMBER(N20)),G20-N20,"")</f>
        <v>17.2999999999993</v>
      </c>
      <c r="P20" s="49" t="n">
        <f aca="false">IF(ISNUMBER(O20),O20/N20,"")</f>
        <v>0.000757803071949647</v>
      </c>
      <c r="Q20" s="50" t="n">
        <f aca="false">C20-B20</f>
        <v>3</v>
      </c>
      <c r="R20" s="51" t="n">
        <f aca="false">IF(AND(C20=C19,ISNUMBER(G20),ISNUMBER(G19)),(G20/G19-1)*100,"")</f>
        <v>-1.15709594659491</v>
      </c>
      <c r="S20" s="51" t="n">
        <f aca="false">IF(AND(C20=C19,ISNUMBER(L20),ISNUMBER(L19)),(L20/L19-1)*100,"")</f>
        <v>-10.6419782058221</v>
      </c>
      <c r="T20" s="51" t="n">
        <f aca="false">IF(AND(C20=C19,ISNUMBER(G20),ISNUMBER(G19)),G20-G19,"")</f>
        <v>-267.450000000001</v>
      </c>
      <c r="U20" s="1" t="str">
        <f aca="false">IF(OR(NOT(ISNUMBER(R20)),NOT(ISNUMBER(S20))),"Not classified",IF(AND(R20&gt;0,S20&gt;0),"Long buildup (interpretation)",IF(AND(R20&lt;0,S20&gt;0),"Short buildup (interpretation)",IF(AND(R20&gt;0,S20&lt;0),"Short covering (interpretation)",IF(AND(R20&lt;0,S20&lt;0),"Long unwinding (interpretation)","Neutral")))))</f>
        <v>Long unwinding (interpretation)</v>
      </c>
      <c r="V20" s="52" t="str">
        <f aca="false">TEXT(B20,"yyyy-mm")</f>
        <v>2025-01</v>
      </c>
      <c r="W20" s="52" t="n">
        <f aca="false">1+COUNTIFS($B$2:$B$756,B20,$C$2:$C$756,"&lt;"&amp;C20)</f>
        <v>1</v>
      </c>
      <c r="X20" s="53" t="n">
        <f aca="false">IF(AND(ISNUMBER(P20),Q20&gt;0),P20*365/Q20,"")</f>
        <v>0.0921993737538737</v>
      </c>
      <c r="Y20" s="42" t="n">
        <f aca="false">IF(AND(C21=C20,ISNUMBER(R21)),R21,"")</f>
        <v>0.57448750243474</v>
      </c>
      <c r="Z20" s="52" t="n">
        <f aca="false">IF(AND(W20=1,Q20&gt;Basis_Analysis!$B$3,ISNUMBER(Y20)),1,0)</f>
        <v>0</v>
      </c>
      <c r="AA20" s="43" t="n">
        <f aca="false">IF(W20=1,IF(SUMIFS($L$2:$L$756,$B$2:$B$756,B20,$W$2:$W$756,2)&gt;0,SUMIFS($L$2:$L$756,$B$2:$B$756,B20,$W$2:$W$756,2),""),"")</f>
        <v>7708275</v>
      </c>
      <c r="AB20" s="54" t="n">
        <f aca="false">IF(AND(W20=1,ISNUMBER(AA20)),L20/(L20+AA20),"")</f>
        <v>0.604955560367305</v>
      </c>
    </row>
    <row r="21" customFormat="false" ht="15" hidden="false" customHeight="true" outlineLevel="0" collapsed="false">
      <c r="A21" s="1" t="s">
        <v>274</v>
      </c>
      <c r="B21" s="46" t="n">
        <v>45685</v>
      </c>
      <c r="C21" s="46" t="n">
        <v>45687</v>
      </c>
      <c r="D21" s="47" t="n">
        <v>22948</v>
      </c>
      <c r="E21" s="47" t="n">
        <v>23158.45</v>
      </c>
      <c r="F21" s="47" t="n">
        <v>22871</v>
      </c>
      <c r="G21" s="47" t="n">
        <v>22977.7</v>
      </c>
      <c r="H21" s="47" t="n">
        <v>22990</v>
      </c>
      <c r="I21" s="47" t="n">
        <v>22977.7</v>
      </c>
      <c r="J21" s="48" t="n">
        <v>323967</v>
      </c>
      <c r="K21" s="47" t="n">
        <v>1863062.34</v>
      </c>
      <c r="L21" s="48" t="n">
        <v>8969500</v>
      </c>
      <c r="M21" s="48" t="n">
        <v>-2834650</v>
      </c>
      <c r="N21" s="47" t="n">
        <v>22957.25</v>
      </c>
      <c r="O21" s="47" t="n">
        <f aca="false">IF(AND(ISNUMBER(G21),ISNUMBER(N21)),G21-N21,"")</f>
        <v>20.4500000000007</v>
      </c>
      <c r="P21" s="49" t="n">
        <f aca="false">IF(ISNUMBER(O21),O21/N21,"")</f>
        <v>0.000890786135098966</v>
      </c>
      <c r="Q21" s="50" t="n">
        <f aca="false">C21-B21</f>
        <v>2</v>
      </c>
      <c r="R21" s="51" t="n">
        <f aca="false">IF(AND(C21=C20,ISNUMBER(G21),ISNUMBER(G20)),(G21/G20-1)*100,"")</f>
        <v>0.57448750243474</v>
      </c>
      <c r="S21" s="51" t="n">
        <f aca="false">IF(AND(C21=C20,ISNUMBER(L21),ISNUMBER(L20)),(L21/L20-1)*100,"")</f>
        <v>-24.0140120211959</v>
      </c>
      <c r="T21" s="51" t="n">
        <f aca="false">IF(AND(C21=C20,ISNUMBER(G21),ISNUMBER(G20)),G21-G20,"")</f>
        <v>131.25</v>
      </c>
      <c r="U21" s="1" t="str">
        <f aca="false">IF(OR(NOT(ISNUMBER(R21)),NOT(ISNUMBER(S21))),"Not classified",IF(AND(R21&gt;0,S21&gt;0),"Long buildup (interpretation)",IF(AND(R21&lt;0,S21&gt;0),"Short buildup (interpretation)",IF(AND(R21&gt;0,S21&lt;0),"Short covering (interpretation)",IF(AND(R21&lt;0,S21&lt;0),"Long unwinding (interpretation)","Neutral")))))</f>
        <v>Short covering (interpretation)</v>
      </c>
      <c r="V21" s="52" t="str">
        <f aca="false">TEXT(B21,"yyyy-mm")</f>
        <v>2025-01</v>
      </c>
      <c r="W21" s="52" t="n">
        <f aca="false">1+COUNTIFS($B$2:$B$756,B21,$C$2:$C$756,"&lt;"&amp;C21)</f>
        <v>1</v>
      </c>
      <c r="X21" s="53" t="n">
        <f aca="false">IF(AND(ISNUMBER(P21),Q21&gt;0),P21*365/Q21,"")</f>
        <v>0.162568469655561</v>
      </c>
      <c r="Y21" s="42" t="n">
        <f aca="false">IF(AND(C22=C21,ISNUMBER(R22)),R22,"")</f>
        <v>0.742241390565623</v>
      </c>
      <c r="Z21" s="52" t="n">
        <f aca="false">IF(AND(W21=1,Q21&gt;Basis_Analysis!$B$3,ISNUMBER(Y21)),1,0)</f>
        <v>0</v>
      </c>
      <c r="AA21" s="43" t="n">
        <f aca="false">IF(W21=1,IF(SUMIFS($L$2:$L$756,$B$2:$B$756,B21,$W$2:$W$756,2)&gt;0,SUMIFS($L$2:$L$756,$B$2:$B$756,B21,$W$2:$W$756,2),""),"")</f>
        <v>11127525</v>
      </c>
      <c r="AB21" s="54" t="n">
        <f aca="false">IF(AND(W21=1,ISNUMBER(AA21)),L21/(L21+AA21),"")</f>
        <v>0.446309839391651</v>
      </c>
    </row>
    <row r="22" customFormat="false" ht="15" hidden="false" customHeight="true" outlineLevel="0" collapsed="false">
      <c r="A22" s="1" t="s">
        <v>274</v>
      </c>
      <c r="B22" s="46" t="n">
        <v>45686</v>
      </c>
      <c r="C22" s="46" t="n">
        <v>45687</v>
      </c>
      <c r="D22" s="47" t="n">
        <v>23034</v>
      </c>
      <c r="E22" s="47" t="n">
        <v>23185.5</v>
      </c>
      <c r="F22" s="47" t="n">
        <v>22963.7</v>
      </c>
      <c r="G22" s="47" t="n">
        <v>23148.25</v>
      </c>
      <c r="H22" s="47" t="n">
        <v>23176.9</v>
      </c>
      <c r="I22" s="47" t="n">
        <v>23148.25</v>
      </c>
      <c r="J22" s="48" t="n">
        <v>298123</v>
      </c>
      <c r="K22" s="47" t="n">
        <v>1722338.65</v>
      </c>
      <c r="L22" s="48" t="n">
        <v>6367950</v>
      </c>
      <c r="M22" s="48" t="n">
        <v>-2601550</v>
      </c>
      <c r="N22" s="47" t="n">
        <v>23163.1</v>
      </c>
      <c r="O22" s="47" t="n">
        <f aca="false">IF(AND(ISNUMBER(G22),ISNUMBER(N22)),G22-N22,"")</f>
        <v>-14.8499999999985</v>
      </c>
      <c r="P22" s="49" t="n">
        <f aca="false">IF(ISNUMBER(O22),O22/N22,"")</f>
        <v>-0.000641105896879025</v>
      </c>
      <c r="Q22" s="50" t="n">
        <f aca="false">C22-B22</f>
        <v>1</v>
      </c>
      <c r="R22" s="51" t="n">
        <f aca="false">IF(AND(C22=C21,ISNUMBER(G22),ISNUMBER(G21)),(G22/G21-1)*100,"")</f>
        <v>0.742241390565623</v>
      </c>
      <c r="S22" s="51" t="n">
        <f aca="false">IF(AND(C22=C21,ISNUMBER(L22),ISNUMBER(L21)),(L22/L21-1)*100,"")</f>
        <v>-29.0044038129216</v>
      </c>
      <c r="T22" s="51" t="n">
        <f aca="false">IF(AND(C22=C21,ISNUMBER(G22),ISNUMBER(G21)),G22-G21,"")</f>
        <v>170.549999999999</v>
      </c>
      <c r="U22" s="1" t="str">
        <f aca="false">IF(OR(NOT(ISNUMBER(R22)),NOT(ISNUMBER(S22))),"Not classified",IF(AND(R22&gt;0,S22&gt;0),"Long buildup (interpretation)",IF(AND(R22&lt;0,S22&gt;0),"Short buildup (interpretation)",IF(AND(R22&gt;0,S22&lt;0),"Short covering (interpretation)",IF(AND(R22&lt;0,S22&lt;0),"Long unwinding (interpretation)","Neutral")))))</f>
        <v>Short covering (interpretation)</v>
      </c>
      <c r="V22" s="52" t="str">
        <f aca="false">TEXT(B22,"yyyy-mm")</f>
        <v>2025-01</v>
      </c>
      <c r="W22" s="52" t="n">
        <f aca="false">1+COUNTIFS($B$2:$B$756,B22,$C$2:$C$756,"&lt;"&amp;C22)</f>
        <v>1</v>
      </c>
      <c r="X22" s="53" t="n">
        <f aca="false">IF(AND(ISNUMBER(P22),Q22&gt;0),P22*365/Q22,"")</f>
        <v>-0.234003652360844</v>
      </c>
      <c r="Y22" s="42" t="n">
        <f aca="false">IF(AND(C23=C22,ISNUMBER(R23)),R23,"")</f>
        <v>0.375190349162446</v>
      </c>
      <c r="Z22" s="52" t="n">
        <f aca="false">IF(AND(W22=1,Q22&gt;Basis_Analysis!$B$3,ISNUMBER(Y22)),1,0)</f>
        <v>0</v>
      </c>
      <c r="AA22" s="43" t="n">
        <f aca="false">IF(W22=1,IF(SUMIFS($L$2:$L$756,$B$2:$B$756,B22,$W$2:$W$756,2)&gt;0,SUMIFS($L$2:$L$756,$B$2:$B$756,B22,$W$2:$W$756,2),""),"")</f>
        <v>13918125</v>
      </c>
      <c r="AB22" s="54" t="n">
        <f aca="false">IF(AND(W22=1,ISNUMBER(AA22)),L22/(L22+AA22),"")</f>
        <v>0.31390744636407</v>
      </c>
    </row>
    <row r="23" customFormat="false" ht="15" hidden="false" customHeight="true" outlineLevel="0" collapsed="false">
      <c r="A23" s="1" t="s">
        <v>274</v>
      </c>
      <c r="B23" s="46" t="n">
        <v>45687</v>
      </c>
      <c r="C23" s="46" t="n">
        <v>45687</v>
      </c>
      <c r="D23" s="47" t="n">
        <v>23150</v>
      </c>
      <c r="E23" s="47" t="n">
        <v>23310</v>
      </c>
      <c r="F23" s="47" t="n">
        <v>23120</v>
      </c>
      <c r="G23" s="47" t="n">
        <v>23235.1</v>
      </c>
      <c r="H23" s="47" t="n">
        <v>23249</v>
      </c>
      <c r="I23" s="47" t="n">
        <v>23249.5</v>
      </c>
      <c r="J23" s="48" t="n">
        <v>269241</v>
      </c>
      <c r="K23" s="47" t="n">
        <v>1563391.14</v>
      </c>
      <c r="L23" s="48" t="n">
        <v>4310725</v>
      </c>
      <c r="M23" s="48" t="n">
        <v>-2057225</v>
      </c>
      <c r="N23" s="47" t="n">
        <v>23249.5</v>
      </c>
      <c r="O23" s="47" t="n">
        <f aca="false">IF(AND(ISNUMBER(G23),ISNUMBER(N23)),G23-N23,"")</f>
        <v>-14.4000000000015</v>
      </c>
      <c r="P23" s="49" t="n">
        <f aca="false">IF(ISNUMBER(O23),O23/N23,"")</f>
        <v>-0.000619368158455083</v>
      </c>
      <c r="Q23" s="50" t="n">
        <f aca="false">C23-B23</f>
        <v>0</v>
      </c>
      <c r="R23" s="51" t="n">
        <f aca="false">IF(AND(C23=C22,ISNUMBER(G23),ISNUMBER(G22)),(G23/G22-1)*100,"")</f>
        <v>0.375190349162446</v>
      </c>
      <c r="S23" s="51" t="n">
        <f aca="false">IF(AND(C23=C22,ISNUMBER(L23),ISNUMBER(L22)),(L23/L22-1)*100,"")</f>
        <v>-32.3059226281613</v>
      </c>
      <c r="T23" s="51" t="n">
        <f aca="false">IF(AND(C23=C22,ISNUMBER(G23),ISNUMBER(G22)),G23-G22,"")</f>
        <v>86.8499999999985</v>
      </c>
      <c r="U23" s="1" t="str">
        <f aca="false">IF(OR(NOT(ISNUMBER(R23)),NOT(ISNUMBER(S23))),"Not classified",IF(AND(R23&gt;0,S23&gt;0),"Long buildup (interpretation)",IF(AND(R23&lt;0,S23&gt;0),"Short buildup (interpretation)",IF(AND(R23&gt;0,S23&lt;0),"Short covering (interpretation)",IF(AND(R23&lt;0,S23&lt;0),"Long unwinding (interpretation)","Neutral")))))</f>
        <v>Short covering (interpretation)</v>
      </c>
      <c r="V23" s="52" t="str">
        <f aca="false">TEXT(B23,"yyyy-mm")</f>
        <v>2025-01</v>
      </c>
      <c r="W23" s="52" t="n">
        <f aca="false">1+COUNTIFS($B$2:$B$756,B23,$C$2:$C$756,"&lt;"&amp;C23)</f>
        <v>1</v>
      </c>
      <c r="X23" s="53" t="str">
        <f aca="false">IF(AND(ISNUMBER(P23),Q23&gt;0),P23*365/Q23,"")</f>
        <v/>
      </c>
      <c r="Y23" s="42" t="str">
        <f aca="false">IF(AND(C24=C23,ISNUMBER(R24)),R24,"")</f>
        <v/>
      </c>
      <c r="Z23" s="52" t="n">
        <f aca="false">IF(AND(W23=1,Q23&gt;Basis_Analysis!$B$3,ISNUMBER(Y23)),1,0)</f>
        <v>0</v>
      </c>
      <c r="AA23" s="43" t="n">
        <f aca="false">IF(W23=1,IF(SUMIFS($L$2:$L$756,$B$2:$B$756,B23,$W$2:$W$756,2)&gt;0,SUMIFS($L$2:$L$756,$B$2:$B$756,B23,$W$2:$W$756,2),""),"")</f>
        <v>17296050</v>
      </c>
      <c r="AB23" s="54" t="n">
        <f aca="false">IF(AND(W23=1,ISNUMBER(AA23)),L23/(L23+AA23),"")</f>
        <v>0.199508024682073</v>
      </c>
    </row>
    <row r="24" customFormat="false" ht="15" hidden="false" customHeight="true" outlineLevel="0" collapsed="false">
      <c r="A24" s="1" t="s">
        <v>274</v>
      </c>
      <c r="B24" s="46" t="n">
        <v>45658</v>
      </c>
      <c r="C24" s="46" t="n">
        <v>45715</v>
      </c>
      <c r="D24" s="47" t="n">
        <v>23910.05</v>
      </c>
      <c r="E24" s="47" t="n">
        <v>24100</v>
      </c>
      <c r="F24" s="47" t="n">
        <v>23855</v>
      </c>
      <c r="G24" s="47" t="n">
        <v>24039.75</v>
      </c>
      <c r="H24" s="47" t="n">
        <v>24050</v>
      </c>
      <c r="I24" s="47" t="n">
        <v>24039.75</v>
      </c>
      <c r="J24" s="48" t="n">
        <v>2888</v>
      </c>
      <c r="K24" s="47" t="n">
        <v>51971.44</v>
      </c>
      <c r="L24" s="48" t="n">
        <v>1045725</v>
      </c>
      <c r="M24" s="48" t="n">
        <v>23250</v>
      </c>
      <c r="N24" s="47" t="n">
        <v>23742.9</v>
      </c>
      <c r="O24" s="47" t="n">
        <f aca="false">IF(AND(ISNUMBER(G24),ISNUMBER(N24)),G24-N24,"")</f>
        <v>296.849999999999</v>
      </c>
      <c r="P24" s="49" t="n">
        <f aca="false">IF(ISNUMBER(O24),O24/N24,"")</f>
        <v>0.0125026850132039</v>
      </c>
      <c r="Q24" s="50" t="n">
        <f aca="false">C24-B24</f>
        <v>57</v>
      </c>
      <c r="R24" s="51" t="str">
        <f aca="false">IF(AND(C24=C23,ISNUMBER(G24),ISNUMBER(G23)),(G24/G23-1)*100,"")</f>
        <v/>
      </c>
      <c r="S24" s="51" t="str">
        <f aca="false">IF(AND(C24=C23,ISNUMBER(L24),ISNUMBER(L23)),(L24/L23-1)*100,"")</f>
        <v/>
      </c>
      <c r="T24" s="51" t="str">
        <f aca="false">IF(AND(C24=C23,ISNUMBER(G24),ISNUMBER(G23)),G24-G23,"")</f>
        <v/>
      </c>
      <c r="U24" s="1" t="str">
        <f aca="false">IF(OR(NOT(ISNUMBER(R24)),NOT(ISNUMBER(S24))),"Not classified",IF(AND(R24&gt;0,S24&gt;0),"Long buildup (interpretation)",IF(AND(R24&lt;0,S24&gt;0),"Short buildup (interpretation)",IF(AND(R24&gt;0,S24&lt;0),"Short covering (interpretation)",IF(AND(R24&lt;0,S24&lt;0),"Long unwinding (interpretation)","Neutral")))))</f>
        <v>Not classified</v>
      </c>
      <c r="V24" s="52" t="str">
        <f aca="false">TEXT(B24,"yyyy-mm")</f>
        <v>2025-01</v>
      </c>
      <c r="W24" s="52" t="n">
        <f aca="false">1+COUNTIFS($B$2:$B$756,B24,$C$2:$C$756,"&lt;"&amp;C24)</f>
        <v>2</v>
      </c>
      <c r="X24" s="53" t="n">
        <f aca="false">IF(AND(ISNUMBER(P24),Q24&gt;0),P24*365/Q24,"")</f>
        <v>0.0800610531547266</v>
      </c>
      <c r="Y24" s="42" t="n">
        <f aca="false">IF(AND(C25=C24,ISNUMBER(R25)),R25,"")</f>
        <v>1.54369325804136</v>
      </c>
      <c r="Z24" s="52" t="n">
        <f aca="false">IF(AND(W24=1,Q24&gt;Basis_Analysis!$B$3,ISNUMBER(Y24)),1,0)</f>
        <v>0</v>
      </c>
      <c r="AA24" s="43" t="str">
        <f aca="false">IF(W24=1,IF(SUMIFS($L$2:$L$756,$B$2:$B$756,B24,$W$2:$W$756,2)&gt;0,SUMIFS($L$2:$L$756,$B$2:$B$756,B24,$W$2:$W$756,2),""),"")</f>
        <v/>
      </c>
      <c r="AB24" s="54" t="str">
        <f aca="false">IF(AND(W24=1,ISNUMBER(AA24)),L24/(L24+AA24),"")</f>
        <v/>
      </c>
    </row>
    <row r="25" customFormat="false" ht="15" hidden="false" customHeight="true" outlineLevel="0" collapsed="false">
      <c r="A25" s="1" t="s">
        <v>274</v>
      </c>
      <c r="B25" s="46" t="n">
        <v>45659</v>
      </c>
      <c r="C25" s="46" t="n">
        <v>45715</v>
      </c>
      <c r="D25" s="47" t="n">
        <v>24062</v>
      </c>
      <c r="E25" s="47" t="n">
        <v>24444</v>
      </c>
      <c r="F25" s="47" t="n">
        <v>24008.45</v>
      </c>
      <c r="G25" s="47" t="n">
        <v>24410.85</v>
      </c>
      <c r="H25" s="47" t="n">
        <v>24406.25</v>
      </c>
      <c r="I25" s="47" t="n">
        <v>24410.85</v>
      </c>
      <c r="J25" s="48" t="n">
        <v>7037</v>
      </c>
      <c r="K25" s="47" t="n">
        <v>128082.56</v>
      </c>
      <c r="L25" s="48" t="n">
        <v>1093575</v>
      </c>
      <c r="M25" s="48" t="n">
        <v>47850</v>
      </c>
      <c r="N25" s="47" t="n">
        <v>24188.65</v>
      </c>
      <c r="O25" s="47" t="n">
        <f aca="false">IF(AND(ISNUMBER(G25),ISNUMBER(N25)),G25-N25,"")</f>
        <v>222.199999999997</v>
      </c>
      <c r="P25" s="49" t="n">
        <f aca="false">IF(ISNUMBER(O25),O25/N25,"")</f>
        <v>0.00918612655108892</v>
      </c>
      <c r="Q25" s="50" t="n">
        <f aca="false">C25-B25</f>
        <v>56</v>
      </c>
      <c r="R25" s="51" t="n">
        <f aca="false">IF(AND(C25=C24,ISNUMBER(G25),ISNUMBER(G24)),(G25/G24-1)*100,"")</f>
        <v>1.54369325804136</v>
      </c>
      <c r="S25" s="51" t="n">
        <f aca="false">IF(AND(C25=C24,ISNUMBER(L25),ISNUMBER(L24)),(L25/L24-1)*100,"")</f>
        <v>4.57577278921322</v>
      </c>
      <c r="T25" s="51" t="n">
        <f aca="false">IF(AND(C25=C24,ISNUMBER(G25),ISNUMBER(G24)),G25-G24,"")</f>
        <v>371.099999999999</v>
      </c>
      <c r="U25" s="1" t="str">
        <f aca="false">IF(OR(NOT(ISNUMBER(R25)),NOT(ISNUMBER(S25))),"Not classified",IF(AND(R25&gt;0,S25&gt;0),"Long buildup (interpretation)",IF(AND(R25&lt;0,S25&gt;0),"Short buildup (interpretation)",IF(AND(R25&gt;0,S25&lt;0),"Short covering (interpretation)",IF(AND(R25&lt;0,S25&lt;0),"Long unwinding (interpretation)","Neutral")))))</f>
        <v>Long buildup (interpretation)</v>
      </c>
      <c r="V25" s="52" t="str">
        <f aca="false">TEXT(B25,"yyyy-mm")</f>
        <v>2025-01</v>
      </c>
      <c r="W25" s="52" t="n">
        <f aca="false">1+COUNTIFS($B$2:$B$756,B25,$C$2:$C$756,"&lt;"&amp;C25)</f>
        <v>2</v>
      </c>
      <c r="X25" s="53" t="n">
        <f aca="false">IF(AND(ISNUMBER(P25),Q25&gt;0),P25*365/Q25,"")</f>
        <v>0.0598738605562046</v>
      </c>
      <c r="Y25" s="42" t="n">
        <f aca="false">IF(AND(C26=C25,ISNUMBER(R26)),R26,"")</f>
        <v>-0.72385844819004</v>
      </c>
      <c r="Z25" s="52" t="n">
        <f aca="false">IF(AND(W25=1,Q25&gt;Basis_Analysis!$B$3,ISNUMBER(Y25)),1,0)</f>
        <v>0</v>
      </c>
      <c r="AA25" s="43" t="str">
        <f aca="false">IF(W25=1,IF(SUMIFS($L$2:$L$756,$B$2:$B$756,B25,$W$2:$W$756,2)&gt;0,SUMIFS($L$2:$L$756,$B$2:$B$756,B25,$W$2:$W$756,2),""),"")</f>
        <v/>
      </c>
      <c r="AB25" s="54" t="str">
        <f aca="false">IF(AND(W25=1,ISNUMBER(AA25)),L25/(L25+AA25),"")</f>
        <v/>
      </c>
    </row>
    <row r="26" customFormat="false" ht="15" hidden="false" customHeight="true" outlineLevel="0" collapsed="false">
      <c r="A26" s="1" t="s">
        <v>274</v>
      </c>
      <c r="B26" s="46" t="n">
        <v>45660</v>
      </c>
      <c r="C26" s="46" t="n">
        <v>45715</v>
      </c>
      <c r="D26" s="47" t="n">
        <v>24370.1</v>
      </c>
      <c r="E26" s="47" t="n">
        <v>24400</v>
      </c>
      <c r="F26" s="47" t="n">
        <v>24213</v>
      </c>
      <c r="G26" s="47" t="n">
        <v>24234.15</v>
      </c>
      <c r="H26" s="47" t="n">
        <v>24216.05</v>
      </c>
      <c r="I26" s="47" t="n">
        <v>24234.15</v>
      </c>
      <c r="J26" s="48" t="n">
        <v>6029</v>
      </c>
      <c r="K26" s="47" t="n">
        <v>109844.11</v>
      </c>
      <c r="L26" s="48" t="n">
        <v>1084650</v>
      </c>
      <c r="M26" s="48" t="n">
        <v>-8925</v>
      </c>
      <c r="N26" s="47" t="n">
        <v>24004.75</v>
      </c>
      <c r="O26" s="47" t="n">
        <f aca="false">IF(AND(ISNUMBER(G26),ISNUMBER(N26)),G26-N26,"")</f>
        <v>229.400000000001</v>
      </c>
      <c r="P26" s="49" t="n">
        <f aca="false">IF(ISNUMBER(O26),O26/N26,"")</f>
        <v>0.00955644195419663</v>
      </c>
      <c r="Q26" s="50" t="n">
        <f aca="false">C26-B26</f>
        <v>55</v>
      </c>
      <c r="R26" s="51" t="n">
        <f aca="false">IF(AND(C26=C25,ISNUMBER(G26),ISNUMBER(G25)),(G26/G25-1)*100,"")</f>
        <v>-0.72385844819004</v>
      </c>
      <c r="S26" s="51" t="n">
        <f aca="false">IF(AND(C26=C25,ISNUMBER(L26),ISNUMBER(L25)),(L26/L25-1)*100,"")</f>
        <v>-0.816130580892938</v>
      </c>
      <c r="T26" s="51" t="n">
        <f aca="false">IF(AND(C26=C25,ISNUMBER(G26),ISNUMBER(G25)),G26-G25,"")</f>
        <v>-176.699999999997</v>
      </c>
      <c r="U26" s="1" t="str">
        <f aca="false">IF(OR(NOT(ISNUMBER(R26)),NOT(ISNUMBER(S26))),"Not classified",IF(AND(R26&gt;0,S26&gt;0),"Long buildup (interpretation)",IF(AND(R26&lt;0,S26&gt;0),"Short buildup (interpretation)",IF(AND(R26&gt;0,S26&lt;0),"Short covering (interpretation)",IF(AND(R26&lt;0,S26&lt;0),"Long unwinding (interpretation)","Neutral")))))</f>
        <v>Long unwinding (interpretation)</v>
      </c>
      <c r="V26" s="52" t="str">
        <f aca="false">TEXT(B26,"yyyy-mm")</f>
        <v>2025-01</v>
      </c>
      <c r="W26" s="52" t="n">
        <f aca="false">1+COUNTIFS($B$2:$B$756,B26,$C$2:$C$756,"&lt;"&amp;C26)</f>
        <v>2</v>
      </c>
      <c r="X26" s="53" t="n">
        <f aca="false">IF(AND(ISNUMBER(P26),Q26&gt;0),P26*365/Q26,"")</f>
        <v>0.0634200238778503</v>
      </c>
      <c r="Y26" s="42" t="n">
        <f aca="false">IF(AND(C27=C26,ISNUMBER(R27)),R27,"")</f>
        <v>-1.55483068314756</v>
      </c>
      <c r="Z26" s="52" t="n">
        <f aca="false">IF(AND(W26=1,Q26&gt;Basis_Analysis!$B$3,ISNUMBER(Y26)),1,0)</f>
        <v>0</v>
      </c>
      <c r="AA26" s="43" t="str">
        <f aca="false">IF(W26=1,IF(SUMIFS($L$2:$L$756,$B$2:$B$756,B26,$W$2:$W$756,2)&gt;0,SUMIFS($L$2:$L$756,$B$2:$B$756,B26,$W$2:$W$756,2),""),"")</f>
        <v/>
      </c>
      <c r="AB26" s="54" t="str">
        <f aca="false">IF(AND(W26=1,ISNUMBER(AA26)),L26/(L26+AA26),"")</f>
        <v/>
      </c>
    </row>
    <row r="27" customFormat="false" ht="15" hidden="false" customHeight="true" outlineLevel="0" collapsed="false">
      <c r="A27" s="1" t="s">
        <v>274</v>
      </c>
      <c r="B27" s="46" t="n">
        <v>45663</v>
      </c>
      <c r="C27" s="46" t="n">
        <v>45715</v>
      </c>
      <c r="D27" s="47" t="n">
        <v>24276</v>
      </c>
      <c r="E27" s="47" t="n">
        <v>24286</v>
      </c>
      <c r="F27" s="47" t="n">
        <v>23801</v>
      </c>
      <c r="G27" s="47" t="n">
        <v>23857.35</v>
      </c>
      <c r="H27" s="47" t="n">
        <v>23865</v>
      </c>
      <c r="I27" s="47" t="n">
        <v>23857.35</v>
      </c>
      <c r="J27" s="48" t="n">
        <v>9547</v>
      </c>
      <c r="K27" s="47" t="n">
        <v>171757.35</v>
      </c>
      <c r="L27" s="48" t="n">
        <v>1062075</v>
      </c>
      <c r="M27" s="48" t="n">
        <v>-22575</v>
      </c>
      <c r="N27" s="47" t="n">
        <v>23616.05</v>
      </c>
      <c r="O27" s="47" t="n">
        <f aca="false">IF(AND(ISNUMBER(G27),ISNUMBER(N27)),G27-N27,"")</f>
        <v>241.299999999999</v>
      </c>
      <c r="P27" s="49" t="n">
        <f aca="false">IF(ISNUMBER(O27),O27/N27,"")</f>
        <v>0.0102176274186411</v>
      </c>
      <c r="Q27" s="50" t="n">
        <f aca="false">C27-B27</f>
        <v>52</v>
      </c>
      <c r="R27" s="51" t="n">
        <f aca="false">IF(AND(C27=C26,ISNUMBER(G27),ISNUMBER(G26)),(G27/G26-1)*100,"")</f>
        <v>-1.55483068314756</v>
      </c>
      <c r="S27" s="51" t="n">
        <f aca="false">IF(AND(C27=C26,ISNUMBER(L27),ISNUMBER(L26)),(L27/L26-1)*100,"")</f>
        <v>-2.08131655372701</v>
      </c>
      <c r="T27" s="51" t="n">
        <f aca="false">IF(AND(C27=C26,ISNUMBER(G27),ISNUMBER(G26)),G27-G26,"")</f>
        <v>-376.800000000003</v>
      </c>
      <c r="U27" s="1" t="str">
        <f aca="false">IF(OR(NOT(ISNUMBER(R27)),NOT(ISNUMBER(S27))),"Not classified",IF(AND(R27&gt;0,S27&gt;0),"Long buildup (interpretation)",IF(AND(R27&lt;0,S27&gt;0),"Short buildup (interpretation)",IF(AND(R27&gt;0,S27&lt;0),"Short covering (interpretation)",IF(AND(R27&lt;0,S27&lt;0),"Long unwinding (interpretation)","Neutral")))))</f>
        <v>Long unwinding (interpretation)</v>
      </c>
      <c r="V27" s="52" t="str">
        <f aca="false">TEXT(B27,"yyyy-mm")</f>
        <v>2025-01</v>
      </c>
      <c r="W27" s="52" t="n">
        <f aca="false">1+COUNTIFS($B$2:$B$756,B27,$C$2:$C$756,"&lt;"&amp;C27)</f>
        <v>2</v>
      </c>
      <c r="X27" s="53" t="n">
        <f aca="false">IF(AND(ISNUMBER(P27),Q27&gt;0),P27*365/Q27,"")</f>
        <v>0.0717198847654616</v>
      </c>
      <c r="Y27" s="42" t="n">
        <f aca="false">IF(AND(C28=C27,ISNUMBER(R28)),R28,"")</f>
        <v>0.322961267701571</v>
      </c>
      <c r="Z27" s="52" t="n">
        <f aca="false">IF(AND(W27=1,Q27&gt;Basis_Analysis!$B$3,ISNUMBER(Y27)),1,0)</f>
        <v>0</v>
      </c>
      <c r="AA27" s="43" t="str">
        <f aca="false">IF(W27=1,IF(SUMIFS($L$2:$L$756,$B$2:$B$756,B27,$W$2:$W$756,2)&gt;0,SUMIFS($L$2:$L$756,$B$2:$B$756,B27,$W$2:$W$756,2),""),"")</f>
        <v/>
      </c>
      <c r="AB27" s="54" t="str">
        <f aca="false">IF(AND(W27=1,ISNUMBER(AA27)),L27/(L27+AA27),"")</f>
        <v/>
      </c>
    </row>
    <row r="28" customFormat="false" ht="15" hidden="false" customHeight="true" outlineLevel="0" collapsed="false">
      <c r="A28" s="1" t="s">
        <v>274</v>
      </c>
      <c r="B28" s="46" t="n">
        <v>45664</v>
      </c>
      <c r="C28" s="46" t="n">
        <v>45715</v>
      </c>
      <c r="D28" s="47" t="n">
        <v>23919.95</v>
      </c>
      <c r="E28" s="47" t="n">
        <v>24017.45</v>
      </c>
      <c r="F28" s="47" t="n">
        <v>23877</v>
      </c>
      <c r="G28" s="47" t="n">
        <v>23934.4</v>
      </c>
      <c r="H28" s="47" t="n">
        <v>23932</v>
      </c>
      <c r="I28" s="47" t="n">
        <v>23934.4</v>
      </c>
      <c r="J28" s="48" t="n">
        <v>4951</v>
      </c>
      <c r="K28" s="47" t="n">
        <v>88971.72</v>
      </c>
      <c r="L28" s="48" t="n">
        <v>1104225</v>
      </c>
      <c r="M28" s="48" t="n">
        <v>42150</v>
      </c>
      <c r="N28" s="47" t="n">
        <v>23707.9</v>
      </c>
      <c r="O28" s="47" t="n">
        <f aca="false">IF(AND(ISNUMBER(G28),ISNUMBER(N28)),G28-N28,"")</f>
        <v>226.5</v>
      </c>
      <c r="P28" s="49" t="n">
        <f aca="false">IF(ISNUMBER(O28),O28/N28,"")</f>
        <v>0.00955377743283884</v>
      </c>
      <c r="Q28" s="50" t="n">
        <f aca="false">C28-B28</f>
        <v>51</v>
      </c>
      <c r="R28" s="51" t="n">
        <f aca="false">IF(AND(C28=C27,ISNUMBER(G28),ISNUMBER(G27)),(G28/G27-1)*100,"")</f>
        <v>0.322961267701571</v>
      </c>
      <c r="S28" s="51" t="n">
        <f aca="false">IF(AND(C28=C27,ISNUMBER(L28),ISNUMBER(L27)),(L28/L27-1)*100,"")</f>
        <v>3.96864628204223</v>
      </c>
      <c r="T28" s="51" t="n">
        <f aca="false">IF(AND(C28=C27,ISNUMBER(G28),ISNUMBER(G27)),G28-G27,"")</f>
        <v>77.0500000000029</v>
      </c>
      <c r="U28" s="1" t="str">
        <f aca="false">IF(OR(NOT(ISNUMBER(R28)),NOT(ISNUMBER(S28))),"Not classified",IF(AND(R28&gt;0,S28&gt;0),"Long buildup (interpretation)",IF(AND(R28&lt;0,S28&gt;0),"Short buildup (interpretation)",IF(AND(R28&gt;0,S28&lt;0),"Short covering (interpretation)",IF(AND(R28&lt;0,S28&lt;0),"Long unwinding (interpretation)","Neutral")))))</f>
        <v>Long buildup (interpretation)</v>
      </c>
      <c r="V28" s="52" t="str">
        <f aca="false">TEXT(B28,"yyyy-mm")</f>
        <v>2025-01</v>
      </c>
      <c r="W28" s="52" t="n">
        <f aca="false">1+COUNTIFS($B$2:$B$756,B28,$C$2:$C$756,"&lt;"&amp;C28)</f>
        <v>2</v>
      </c>
      <c r="X28" s="53" t="n">
        <f aca="false">IF(AND(ISNUMBER(P28),Q28&gt;0),P28*365/Q28,"")</f>
        <v>0.0683750737840427</v>
      </c>
      <c r="Y28" s="42" t="n">
        <f aca="false">IF(AND(C29=C28,ISNUMBER(R29)),R29,"")</f>
        <v>-0.0480479978608228</v>
      </c>
      <c r="Z28" s="52" t="n">
        <f aca="false">IF(AND(W28=1,Q28&gt;Basis_Analysis!$B$3,ISNUMBER(Y28)),1,0)</f>
        <v>0</v>
      </c>
      <c r="AA28" s="43" t="str">
        <f aca="false">IF(W28=1,IF(SUMIFS($L$2:$L$756,$B$2:$B$756,B28,$W$2:$W$756,2)&gt;0,SUMIFS($L$2:$L$756,$B$2:$B$756,B28,$W$2:$W$756,2),""),"")</f>
        <v/>
      </c>
      <c r="AB28" s="54" t="str">
        <f aca="false">IF(AND(W28=1,ISNUMBER(AA28)),L28/(L28+AA28),"")</f>
        <v/>
      </c>
    </row>
    <row r="29" customFormat="false" ht="15" hidden="false" customHeight="true" outlineLevel="0" collapsed="false">
      <c r="A29" s="1" t="s">
        <v>274</v>
      </c>
      <c r="B29" s="46" t="n">
        <v>45665</v>
      </c>
      <c r="C29" s="46" t="n">
        <v>45715</v>
      </c>
      <c r="D29" s="47" t="n">
        <v>23952</v>
      </c>
      <c r="E29" s="47" t="n">
        <v>23975.7</v>
      </c>
      <c r="F29" s="47" t="n">
        <v>23737.05</v>
      </c>
      <c r="G29" s="47" t="n">
        <v>23922.9</v>
      </c>
      <c r="H29" s="47" t="n">
        <v>23915</v>
      </c>
      <c r="I29" s="47" t="n">
        <v>23922.9</v>
      </c>
      <c r="J29" s="48" t="n">
        <v>8429</v>
      </c>
      <c r="K29" s="47" t="n">
        <v>150781.74</v>
      </c>
      <c r="L29" s="48" t="n">
        <v>1231575</v>
      </c>
      <c r="M29" s="48" t="n">
        <v>127350</v>
      </c>
      <c r="N29" s="47" t="n">
        <v>23688.95</v>
      </c>
      <c r="O29" s="47" t="n">
        <f aca="false">IF(AND(ISNUMBER(G29),ISNUMBER(N29)),G29-N29,"")</f>
        <v>233.950000000001</v>
      </c>
      <c r="P29" s="49" t="n">
        <f aca="false">IF(ISNUMBER(O29),O29/N29,"")</f>
        <v>0.00987591260904349</v>
      </c>
      <c r="Q29" s="50" t="n">
        <f aca="false">C29-B29</f>
        <v>50</v>
      </c>
      <c r="R29" s="51" t="n">
        <f aca="false">IF(AND(C29=C28,ISNUMBER(G29),ISNUMBER(G28)),(G29/G28-1)*100,"")</f>
        <v>-0.0480479978608228</v>
      </c>
      <c r="S29" s="51" t="n">
        <f aca="false">IF(AND(C29=C28,ISNUMBER(L29),ISNUMBER(L28)),(L29/L28-1)*100,"")</f>
        <v>11.5329756163825</v>
      </c>
      <c r="T29" s="51" t="n">
        <f aca="false">IF(AND(C29=C28,ISNUMBER(G29),ISNUMBER(G28)),G29-G28,"")</f>
        <v>-11.5</v>
      </c>
      <c r="U29" s="1" t="str">
        <f aca="false">IF(OR(NOT(ISNUMBER(R29)),NOT(ISNUMBER(S29))),"Not classified",IF(AND(R29&gt;0,S29&gt;0),"Long buildup (interpretation)",IF(AND(R29&lt;0,S29&gt;0),"Short buildup (interpretation)",IF(AND(R29&gt;0,S29&lt;0),"Short covering (interpretation)",IF(AND(R29&lt;0,S29&lt;0),"Long unwinding (interpretation)","Neutral")))))</f>
        <v>Short buildup (interpretation)</v>
      </c>
      <c r="V29" s="52" t="str">
        <f aca="false">TEXT(B29,"yyyy-mm")</f>
        <v>2025-01</v>
      </c>
      <c r="W29" s="52" t="n">
        <f aca="false">1+COUNTIFS($B$2:$B$756,B29,$C$2:$C$756,"&lt;"&amp;C29)</f>
        <v>2</v>
      </c>
      <c r="X29" s="53" t="n">
        <f aca="false">IF(AND(ISNUMBER(P29),Q29&gt;0),P29*365/Q29,"")</f>
        <v>0.0720941620460175</v>
      </c>
      <c r="Y29" s="42" t="n">
        <f aca="false">IF(AND(C30=C29,ISNUMBER(R30)),R30,"")</f>
        <v>-0.558460721735254</v>
      </c>
      <c r="Z29" s="52" t="n">
        <f aca="false">IF(AND(W29=1,Q29&gt;Basis_Analysis!$B$3,ISNUMBER(Y29)),1,0)</f>
        <v>0</v>
      </c>
      <c r="AA29" s="43" t="str">
        <f aca="false">IF(W29=1,IF(SUMIFS($L$2:$L$756,$B$2:$B$756,B29,$W$2:$W$756,2)&gt;0,SUMIFS($L$2:$L$756,$B$2:$B$756,B29,$W$2:$W$756,2),""),"")</f>
        <v/>
      </c>
      <c r="AB29" s="54" t="str">
        <f aca="false">IF(AND(W29=1,ISNUMBER(AA29)),L29/(L29+AA29),"")</f>
        <v/>
      </c>
    </row>
    <row r="30" customFormat="false" ht="15" hidden="false" customHeight="true" outlineLevel="0" collapsed="false">
      <c r="A30" s="1" t="s">
        <v>274</v>
      </c>
      <c r="B30" s="46" t="n">
        <v>45666</v>
      </c>
      <c r="C30" s="46" t="n">
        <v>45715</v>
      </c>
      <c r="D30" s="47" t="n">
        <v>23911</v>
      </c>
      <c r="E30" s="47" t="n">
        <v>23911</v>
      </c>
      <c r="F30" s="47" t="n">
        <v>23755.05</v>
      </c>
      <c r="G30" s="47" t="n">
        <v>23789.3</v>
      </c>
      <c r="H30" s="47" t="n">
        <v>23812.15</v>
      </c>
      <c r="I30" s="47" t="n">
        <v>23789.3</v>
      </c>
      <c r="J30" s="48" t="n">
        <v>6827</v>
      </c>
      <c r="K30" s="47" t="n">
        <v>121850.5</v>
      </c>
      <c r="L30" s="48" t="n">
        <v>1442700</v>
      </c>
      <c r="M30" s="48" t="n">
        <v>211125</v>
      </c>
      <c r="N30" s="47" t="n">
        <v>23526.5</v>
      </c>
      <c r="O30" s="47" t="n">
        <f aca="false">IF(AND(ISNUMBER(G30),ISNUMBER(N30)),G30-N30,"")</f>
        <v>262.799999999999</v>
      </c>
      <c r="P30" s="49" t="n">
        <f aca="false">IF(ISNUMBER(O30),O30/N30,"")</f>
        <v>0.0111703823348139</v>
      </c>
      <c r="Q30" s="50" t="n">
        <f aca="false">C30-B30</f>
        <v>49</v>
      </c>
      <c r="R30" s="51" t="n">
        <f aca="false">IF(AND(C30=C29,ISNUMBER(G30),ISNUMBER(G29)),(G30/G29-1)*100,"")</f>
        <v>-0.558460721735254</v>
      </c>
      <c r="S30" s="51" t="n">
        <f aca="false">IF(AND(C30=C29,ISNUMBER(L30),ISNUMBER(L29)),(L30/L29-1)*100,"")</f>
        <v>17.1426831496255</v>
      </c>
      <c r="T30" s="51" t="n">
        <f aca="false">IF(AND(C30=C29,ISNUMBER(G30),ISNUMBER(G29)),G30-G29,"")</f>
        <v>-133.600000000002</v>
      </c>
      <c r="U30" s="1" t="str">
        <f aca="false">IF(OR(NOT(ISNUMBER(R30)),NOT(ISNUMBER(S30))),"Not classified",IF(AND(R30&gt;0,S30&gt;0),"Long buildup (interpretation)",IF(AND(R30&lt;0,S30&gt;0),"Short buildup (interpretation)",IF(AND(R30&gt;0,S30&lt;0),"Short covering (interpretation)",IF(AND(R30&lt;0,S30&lt;0),"Long unwinding (interpretation)","Neutral")))))</f>
        <v>Short buildup (interpretation)</v>
      </c>
      <c r="V30" s="52" t="str">
        <f aca="false">TEXT(B30,"yyyy-mm")</f>
        <v>2025-01</v>
      </c>
      <c r="W30" s="52" t="n">
        <f aca="false">1+COUNTIFS($B$2:$B$756,B30,$C$2:$C$756,"&lt;"&amp;C30)</f>
        <v>2</v>
      </c>
      <c r="X30" s="53" t="n">
        <f aca="false">IF(AND(ISNUMBER(P30),Q30&gt;0),P30*365/Q30,"")</f>
        <v>0.0832079500450423</v>
      </c>
      <c r="Y30" s="42" t="n">
        <f aca="false">IF(AND(C31=C30,ISNUMBER(R31)),R31,"")</f>
        <v>-0.626962541983156</v>
      </c>
      <c r="Z30" s="52" t="n">
        <f aca="false">IF(AND(W30=1,Q30&gt;Basis_Analysis!$B$3,ISNUMBER(Y30)),1,0)</f>
        <v>0</v>
      </c>
      <c r="AA30" s="43" t="str">
        <f aca="false">IF(W30=1,IF(SUMIFS($L$2:$L$756,$B$2:$B$756,B30,$W$2:$W$756,2)&gt;0,SUMIFS($L$2:$L$756,$B$2:$B$756,B30,$W$2:$W$756,2),""),"")</f>
        <v/>
      </c>
      <c r="AB30" s="54" t="str">
        <f aca="false">IF(AND(W30=1,ISNUMBER(AA30)),L30/(L30+AA30),"")</f>
        <v/>
      </c>
    </row>
    <row r="31" customFormat="false" ht="15" hidden="false" customHeight="true" outlineLevel="0" collapsed="false">
      <c r="A31" s="1" t="s">
        <v>274</v>
      </c>
      <c r="B31" s="46" t="n">
        <v>45667</v>
      </c>
      <c r="C31" s="46" t="n">
        <v>45715</v>
      </c>
      <c r="D31" s="47" t="n">
        <v>23770.3</v>
      </c>
      <c r="E31" s="47" t="n">
        <v>23822.45</v>
      </c>
      <c r="F31" s="47" t="n">
        <v>23567.75</v>
      </c>
      <c r="G31" s="47" t="n">
        <v>23640.15</v>
      </c>
      <c r="H31" s="47" t="n">
        <v>23653</v>
      </c>
      <c r="I31" s="47" t="n">
        <v>23640.15</v>
      </c>
      <c r="J31" s="48" t="n">
        <v>12065</v>
      </c>
      <c r="K31" s="47" t="n">
        <v>214238.9</v>
      </c>
      <c r="L31" s="48" t="n">
        <v>1833600</v>
      </c>
      <c r="M31" s="48" t="n">
        <v>390900</v>
      </c>
      <c r="N31" s="47" t="n">
        <v>23431.5</v>
      </c>
      <c r="O31" s="47" t="n">
        <f aca="false">IF(AND(ISNUMBER(G31),ISNUMBER(N31)),G31-N31,"")</f>
        <v>208.650000000001</v>
      </c>
      <c r="P31" s="49" t="n">
        <f aca="false">IF(ISNUMBER(O31),O31/N31,"")</f>
        <v>0.00890467959797714</v>
      </c>
      <c r="Q31" s="50" t="n">
        <f aca="false">C31-B31</f>
        <v>48</v>
      </c>
      <c r="R31" s="51" t="n">
        <f aca="false">IF(AND(C31=C30,ISNUMBER(G31),ISNUMBER(G30)),(G31/G30-1)*100,"")</f>
        <v>-0.626962541983156</v>
      </c>
      <c r="S31" s="51" t="n">
        <f aca="false">IF(AND(C31=C30,ISNUMBER(L31),ISNUMBER(L30)),(L31/L30-1)*100,"")</f>
        <v>27.0950301517987</v>
      </c>
      <c r="T31" s="51" t="n">
        <f aca="false">IF(AND(C31=C30,ISNUMBER(G31),ISNUMBER(G30)),G31-G30,"")</f>
        <v>-149.149999999998</v>
      </c>
      <c r="U31" s="1" t="str">
        <f aca="false">IF(OR(NOT(ISNUMBER(R31)),NOT(ISNUMBER(S31))),"Not classified",IF(AND(R31&gt;0,S31&gt;0),"Long buildup (interpretation)",IF(AND(R31&lt;0,S31&gt;0),"Short buildup (interpretation)",IF(AND(R31&gt;0,S31&lt;0),"Short covering (interpretation)",IF(AND(R31&lt;0,S31&lt;0),"Long unwinding (interpretation)","Neutral")))))</f>
        <v>Short buildup (interpretation)</v>
      </c>
      <c r="V31" s="52" t="str">
        <f aca="false">TEXT(B31,"yyyy-mm")</f>
        <v>2025-01</v>
      </c>
      <c r="W31" s="52" t="n">
        <f aca="false">1+COUNTIFS($B$2:$B$756,B31,$C$2:$C$756,"&lt;"&amp;C31)</f>
        <v>2</v>
      </c>
      <c r="X31" s="53" t="n">
        <f aca="false">IF(AND(ISNUMBER(P31),Q31&gt;0),P31*365/Q31,"")</f>
        <v>0.0677126677762845</v>
      </c>
      <c r="Y31" s="42" t="n">
        <f aca="false">IF(AND(C32=C31,ISNUMBER(R32)),R32,"")</f>
        <v>-1.44711433726098</v>
      </c>
      <c r="Z31" s="52" t="n">
        <f aca="false">IF(AND(W31=1,Q31&gt;Basis_Analysis!$B$3,ISNUMBER(Y31)),1,0)</f>
        <v>0</v>
      </c>
      <c r="AA31" s="43" t="str">
        <f aca="false">IF(W31=1,IF(SUMIFS($L$2:$L$756,$B$2:$B$756,B31,$W$2:$W$756,2)&gt;0,SUMIFS($L$2:$L$756,$B$2:$B$756,B31,$W$2:$W$756,2),""),"")</f>
        <v/>
      </c>
      <c r="AB31" s="54" t="str">
        <f aca="false">IF(AND(W31=1,ISNUMBER(AA31)),L31/(L31+AA31),"")</f>
        <v/>
      </c>
    </row>
    <row r="32" customFormat="false" ht="15" hidden="false" customHeight="true" outlineLevel="0" collapsed="false">
      <c r="A32" s="1" t="s">
        <v>274</v>
      </c>
      <c r="B32" s="46" t="n">
        <v>45670</v>
      </c>
      <c r="C32" s="46" t="n">
        <v>45715</v>
      </c>
      <c r="D32" s="47" t="n">
        <v>23453.05</v>
      </c>
      <c r="E32" s="47" t="n">
        <v>23550</v>
      </c>
      <c r="F32" s="47" t="n">
        <v>23250</v>
      </c>
      <c r="G32" s="47" t="n">
        <v>23298.05</v>
      </c>
      <c r="H32" s="47" t="n">
        <v>23298.8</v>
      </c>
      <c r="I32" s="47" t="n">
        <v>23298.05</v>
      </c>
      <c r="J32" s="48" t="n">
        <v>14690</v>
      </c>
      <c r="K32" s="47" t="n">
        <v>257518.87</v>
      </c>
      <c r="L32" s="48" t="n">
        <v>2335725</v>
      </c>
      <c r="M32" s="48" t="n">
        <v>502125</v>
      </c>
      <c r="N32" s="47" t="n">
        <v>23085.95</v>
      </c>
      <c r="O32" s="47" t="n">
        <f aca="false">IF(AND(ISNUMBER(G32),ISNUMBER(N32)),G32-N32,"")</f>
        <v>212.099999999999</v>
      </c>
      <c r="P32" s="49" t="n">
        <f aca="false">IF(ISNUMBER(O32),O32/N32,"")</f>
        <v>0.00918740619294413</v>
      </c>
      <c r="Q32" s="50" t="n">
        <f aca="false">C32-B32</f>
        <v>45</v>
      </c>
      <c r="R32" s="51" t="n">
        <f aca="false">IF(AND(C32=C31,ISNUMBER(G32),ISNUMBER(G31)),(G32/G31-1)*100,"")</f>
        <v>-1.44711433726098</v>
      </c>
      <c r="S32" s="51" t="n">
        <f aca="false">IF(AND(C32=C31,ISNUMBER(L32),ISNUMBER(L31)),(L32/L31-1)*100,"")</f>
        <v>27.3846531413612</v>
      </c>
      <c r="T32" s="51" t="n">
        <f aca="false">IF(AND(C32=C31,ISNUMBER(G32),ISNUMBER(G31)),G32-G31,"")</f>
        <v>-342.100000000002</v>
      </c>
      <c r="U32" s="1" t="str">
        <f aca="false">IF(OR(NOT(ISNUMBER(R32)),NOT(ISNUMBER(S32))),"Not classified",IF(AND(R32&gt;0,S32&gt;0),"Long buildup (interpretation)",IF(AND(R32&lt;0,S32&gt;0),"Short buildup (interpretation)",IF(AND(R32&gt;0,S32&lt;0),"Short covering (interpretation)",IF(AND(R32&lt;0,S32&lt;0),"Long unwinding (interpretation)","Neutral")))))</f>
        <v>Short buildup (interpretation)</v>
      </c>
      <c r="V32" s="52" t="str">
        <f aca="false">TEXT(B32,"yyyy-mm")</f>
        <v>2025-01</v>
      </c>
      <c r="W32" s="52" t="n">
        <f aca="false">1+COUNTIFS($B$2:$B$756,B32,$C$2:$C$756,"&lt;"&amp;C32)</f>
        <v>2</v>
      </c>
      <c r="X32" s="53" t="n">
        <f aca="false">IF(AND(ISNUMBER(P32),Q32&gt;0),P32*365/Q32,"")</f>
        <v>0.0745200724538802</v>
      </c>
      <c r="Y32" s="42" t="n">
        <f aca="false">IF(AND(C33=C32,ISNUMBER(R33)),R33,"")</f>
        <v>0.435873388545383</v>
      </c>
      <c r="Z32" s="52" t="n">
        <f aca="false">IF(AND(W32=1,Q32&gt;Basis_Analysis!$B$3,ISNUMBER(Y32)),1,0)</f>
        <v>0</v>
      </c>
      <c r="AA32" s="43" t="str">
        <f aca="false">IF(W32=1,IF(SUMIFS($L$2:$L$756,$B$2:$B$756,B32,$W$2:$W$756,2)&gt;0,SUMIFS($L$2:$L$756,$B$2:$B$756,B32,$W$2:$W$756,2),""),"")</f>
        <v/>
      </c>
      <c r="AB32" s="54" t="str">
        <f aca="false">IF(AND(W32=1,ISNUMBER(AA32)),L32/(L32+AA32),"")</f>
        <v/>
      </c>
    </row>
    <row r="33" customFormat="false" ht="15" hidden="false" customHeight="true" outlineLevel="0" collapsed="false">
      <c r="A33" s="1" t="s">
        <v>274</v>
      </c>
      <c r="B33" s="46" t="n">
        <v>45671</v>
      </c>
      <c r="C33" s="46" t="n">
        <v>45715</v>
      </c>
      <c r="D33" s="47" t="n">
        <v>23348</v>
      </c>
      <c r="E33" s="47" t="n">
        <v>23471.2</v>
      </c>
      <c r="F33" s="47" t="n">
        <v>23335.75</v>
      </c>
      <c r="G33" s="47" t="n">
        <v>23399.6</v>
      </c>
      <c r="H33" s="47" t="n">
        <v>23425.35</v>
      </c>
      <c r="I33" s="47" t="n">
        <v>23399.6</v>
      </c>
      <c r="J33" s="48" t="n">
        <v>10908</v>
      </c>
      <c r="K33" s="47" t="n">
        <v>191381.38</v>
      </c>
      <c r="L33" s="48" t="n">
        <v>2802150</v>
      </c>
      <c r="M33" s="48" t="n">
        <v>466425</v>
      </c>
      <c r="N33" s="47" t="n">
        <v>23176.05</v>
      </c>
      <c r="O33" s="47" t="n">
        <f aca="false">IF(AND(ISNUMBER(G33),ISNUMBER(N33)),G33-N33,"")</f>
        <v>223.549999999999</v>
      </c>
      <c r="P33" s="49" t="n">
        <f aca="false">IF(ISNUMBER(O33),O33/N33,"")</f>
        <v>0.00964573341876633</v>
      </c>
      <c r="Q33" s="50" t="n">
        <f aca="false">C33-B33</f>
        <v>44</v>
      </c>
      <c r="R33" s="51" t="n">
        <f aca="false">IF(AND(C33=C32,ISNUMBER(G33),ISNUMBER(G32)),(G33/G32-1)*100,"")</f>
        <v>0.435873388545383</v>
      </c>
      <c r="S33" s="51" t="n">
        <f aca="false">IF(AND(C33=C32,ISNUMBER(L33),ISNUMBER(L32)),(L33/L32-1)*100,"")</f>
        <v>19.9691744533282</v>
      </c>
      <c r="T33" s="51" t="n">
        <f aca="false">IF(AND(C33=C32,ISNUMBER(G33),ISNUMBER(G32)),G33-G32,"")</f>
        <v>101.549999999999</v>
      </c>
      <c r="U33" s="1" t="str">
        <f aca="false">IF(OR(NOT(ISNUMBER(R33)),NOT(ISNUMBER(S33))),"Not classified",IF(AND(R33&gt;0,S33&gt;0),"Long buildup (interpretation)",IF(AND(R33&lt;0,S33&gt;0),"Short buildup (interpretation)",IF(AND(R33&gt;0,S33&lt;0),"Short covering (interpretation)",IF(AND(R33&lt;0,S33&lt;0),"Long unwinding (interpretation)","Neutral")))))</f>
        <v>Long buildup (interpretation)</v>
      </c>
      <c r="V33" s="52" t="str">
        <f aca="false">TEXT(B33,"yyyy-mm")</f>
        <v>2025-01</v>
      </c>
      <c r="W33" s="52" t="n">
        <f aca="false">1+COUNTIFS($B$2:$B$756,B33,$C$2:$C$756,"&lt;"&amp;C33)</f>
        <v>2</v>
      </c>
      <c r="X33" s="53" t="n">
        <f aca="false">IF(AND(ISNUMBER(P33),Q33&gt;0),P33*365/Q33,"")</f>
        <v>0.0800157431329479</v>
      </c>
      <c r="Y33" s="42" t="n">
        <f aca="false">IF(AND(C34=C33,ISNUMBER(R34)),R34,"")</f>
        <v>0.0044872561924203</v>
      </c>
      <c r="Z33" s="52" t="n">
        <f aca="false">IF(AND(W33=1,Q33&gt;Basis_Analysis!$B$3,ISNUMBER(Y33)),1,0)</f>
        <v>0</v>
      </c>
      <c r="AA33" s="43" t="str">
        <f aca="false">IF(W33=1,IF(SUMIFS($L$2:$L$756,$B$2:$B$756,B33,$W$2:$W$756,2)&gt;0,SUMIFS($L$2:$L$756,$B$2:$B$756,B33,$W$2:$W$756,2),""),"")</f>
        <v/>
      </c>
      <c r="AB33" s="54" t="str">
        <f aca="false">IF(AND(W33=1,ISNUMBER(AA33)),L33/(L33+AA33),"")</f>
        <v/>
      </c>
    </row>
    <row r="34" customFormat="false" ht="15" hidden="false" customHeight="true" outlineLevel="0" collapsed="false">
      <c r="A34" s="1" t="s">
        <v>274</v>
      </c>
      <c r="B34" s="46" t="n">
        <v>45672</v>
      </c>
      <c r="C34" s="46" t="n">
        <v>45715</v>
      </c>
      <c r="D34" s="47" t="n">
        <v>23420.05</v>
      </c>
      <c r="E34" s="47" t="n">
        <v>23479.7</v>
      </c>
      <c r="F34" s="47" t="n">
        <v>23341.05</v>
      </c>
      <c r="G34" s="47" t="n">
        <v>23400.65</v>
      </c>
      <c r="H34" s="47" t="n">
        <v>23409</v>
      </c>
      <c r="I34" s="47" t="n">
        <v>23400.65</v>
      </c>
      <c r="J34" s="48" t="n">
        <v>4942</v>
      </c>
      <c r="K34" s="47" t="n">
        <v>86747.42</v>
      </c>
      <c r="L34" s="48" t="n">
        <v>2906625</v>
      </c>
      <c r="M34" s="48" t="n">
        <v>104475</v>
      </c>
      <c r="N34" s="47" t="n">
        <v>23213.2</v>
      </c>
      <c r="O34" s="47" t="n">
        <f aca="false">IF(AND(ISNUMBER(G34),ISNUMBER(N34)),G34-N34,"")</f>
        <v>187.450000000001</v>
      </c>
      <c r="P34" s="49" t="n">
        <f aca="false">IF(ISNUMBER(O34),O34/N34,"")</f>
        <v>0.00807514689917808</v>
      </c>
      <c r="Q34" s="50" t="n">
        <f aca="false">C34-B34</f>
        <v>43</v>
      </c>
      <c r="R34" s="51" t="n">
        <f aca="false">IF(AND(C34=C33,ISNUMBER(G34),ISNUMBER(G33)),(G34/G33-1)*100,"")</f>
        <v>0.0044872561924203</v>
      </c>
      <c r="S34" s="51" t="n">
        <f aca="false">IF(AND(C34=C33,ISNUMBER(L34),ISNUMBER(L33)),(L34/L33-1)*100,"")</f>
        <v>3.7283871313099</v>
      </c>
      <c r="T34" s="51" t="n">
        <f aca="false">IF(AND(C34=C33,ISNUMBER(G34),ISNUMBER(G33)),G34-G33,"")</f>
        <v>1.05000000000291</v>
      </c>
      <c r="U34" s="1" t="str">
        <f aca="false">IF(OR(NOT(ISNUMBER(R34)),NOT(ISNUMBER(S34))),"Not classified",IF(AND(R34&gt;0,S34&gt;0),"Long buildup (interpretation)",IF(AND(R34&lt;0,S34&gt;0),"Short buildup (interpretation)",IF(AND(R34&gt;0,S34&lt;0),"Short covering (interpretation)",IF(AND(R34&lt;0,S34&lt;0),"Long unwinding (interpretation)","Neutral")))))</f>
        <v>Long buildup (interpretation)</v>
      </c>
      <c r="V34" s="52" t="str">
        <f aca="false">TEXT(B34,"yyyy-mm")</f>
        <v>2025-01</v>
      </c>
      <c r="W34" s="52" t="n">
        <f aca="false">1+COUNTIFS($B$2:$B$756,B34,$C$2:$C$756,"&lt;"&amp;C34)</f>
        <v>2</v>
      </c>
      <c r="X34" s="53" t="n">
        <f aca="false">IF(AND(ISNUMBER(P34),Q34&gt;0),P34*365/Q34,"")</f>
        <v>0.0685448515860465</v>
      </c>
      <c r="Y34" s="42" t="n">
        <f aca="false">IF(AND(C35=C34,ISNUMBER(R35)),R35,"")</f>
        <v>0.461525641381755</v>
      </c>
      <c r="Z34" s="52" t="n">
        <f aca="false">IF(AND(W34=1,Q34&gt;Basis_Analysis!$B$3,ISNUMBER(Y34)),1,0)</f>
        <v>0</v>
      </c>
      <c r="AA34" s="43" t="str">
        <f aca="false">IF(W34=1,IF(SUMIFS($L$2:$L$756,$B$2:$B$756,B34,$W$2:$W$756,2)&gt;0,SUMIFS($L$2:$L$756,$B$2:$B$756,B34,$W$2:$W$756,2),""),"")</f>
        <v/>
      </c>
      <c r="AB34" s="54" t="str">
        <f aca="false">IF(AND(W34=1,ISNUMBER(AA34)),L34/(L34+AA34),"")</f>
        <v/>
      </c>
    </row>
    <row r="35" customFormat="false" ht="15" hidden="false" customHeight="true" outlineLevel="0" collapsed="false">
      <c r="A35" s="1" t="s">
        <v>274</v>
      </c>
      <c r="B35" s="46" t="n">
        <v>45673</v>
      </c>
      <c r="C35" s="46" t="n">
        <v>45715</v>
      </c>
      <c r="D35" s="47" t="n">
        <v>23529.7</v>
      </c>
      <c r="E35" s="47" t="n">
        <v>23550.9</v>
      </c>
      <c r="F35" s="47" t="n">
        <v>23480</v>
      </c>
      <c r="G35" s="47" t="n">
        <v>23508.65</v>
      </c>
      <c r="H35" s="47" t="n">
        <v>23539</v>
      </c>
      <c r="I35" s="47" t="n">
        <v>23508.65</v>
      </c>
      <c r="J35" s="48" t="n">
        <v>8901</v>
      </c>
      <c r="K35" s="47" t="n">
        <v>156992.72</v>
      </c>
      <c r="L35" s="48" t="n">
        <v>3265050</v>
      </c>
      <c r="M35" s="48" t="n">
        <v>358425</v>
      </c>
      <c r="N35" s="47" t="n">
        <v>23311.8</v>
      </c>
      <c r="O35" s="47" t="n">
        <f aca="false">IF(AND(ISNUMBER(G35),ISNUMBER(N35)),G35-N35,"")</f>
        <v>196.850000000002</v>
      </c>
      <c r="P35" s="49" t="n">
        <f aca="false">IF(ISNUMBER(O35),O35/N35,"")</f>
        <v>0.0084442213814464</v>
      </c>
      <c r="Q35" s="50" t="n">
        <f aca="false">C35-B35</f>
        <v>42</v>
      </c>
      <c r="R35" s="51" t="n">
        <f aca="false">IF(AND(C35=C34,ISNUMBER(G35),ISNUMBER(G34)),(G35/G34-1)*100,"")</f>
        <v>0.461525641381755</v>
      </c>
      <c r="S35" s="51" t="n">
        <f aca="false">IF(AND(C35=C34,ISNUMBER(L35),ISNUMBER(L34)),(L35/L34-1)*100,"")</f>
        <v>12.3313120887627</v>
      </c>
      <c r="T35" s="51" t="n">
        <f aca="false">IF(AND(C35=C34,ISNUMBER(G35),ISNUMBER(G34)),G35-G34,"")</f>
        <v>108</v>
      </c>
      <c r="U35" s="1" t="str">
        <f aca="false">IF(OR(NOT(ISNUMBER(R35)),NOT(ISNUMBER(S35))),"Not classified",IF(AND(R35&gt;0,S35&gt;0),"Long buildup (interpretation)",IF(AND(R35&lt;0,S35&gt;0),"Short buildup (interpretation)",IF(AND(R35&gt;0,S35&lt;0),"Short covering (interpretation)",IF(AND(R35&lt;0,S35&lt;0),"Long unwinding (interpretation)","Neutral")))))</f>
        <v>Long buildup (interpretation)</v>
      </c>
      <c r="V35" s="52" t="str">
        <f aca="false">TEXT(B35,"yyyy-mm")</f>
        <v>2025-01</v>
      </c>
      <c r="W35" s="52" t="n">
        <f aca="false">1+COUNTIFS($B$2:$B$756,B35,$C$2:$C$756,"&lt;"&amp;C35)</f>
        <v>2</v>
      </c>
      <c r="X35" s="53" t="n">
        <f aca="false">IF(AND(ISNUMBER(P35),Q35&gt;0),P35*365/Q35,"")</f>
        <v>0.0733843048625699</v>
      </c>
      <c r="Y35" s="42" t="n">
        <f aca="false">IF(AND(C36=C35,ISNUMBER(R36)),R36,"")</f>
        <v>-0.451110548670397</v>
      </c>
      <c r="Z35" s="52" t="n">
        <f aca="false">IF(AND(W35=1,Q35&gt;Basis_Analysis!$B$3,ISNUMBER(Y35)),1,0)</f>
        <v>0</v>
      </c>
      <c r="AA35" s="43" t="str">
        <f aca="false">IF(W35=1,IF(SUMIFS($L$2:$L$756,$B$2:$B$756,B35,$W$2:$W$756,2)&gt;0,SUMIFS($L$2:$L$756,$B$2:$B$756,B35,$W$2:$W$756,2),""),"")</f>
        <v/>
      </c>
      <c r="AB35" s="54" t="str">
        <f aca="false">IF(AND(W35=1,ISNUMBER(AA35)),L35/(L35+AA35),"")</f>
        <v/>
      </c>
    </row>
    <row r="36" customFormat="false" ht="15" hidden="false" customHeight="true" outlineLevel="0" collapsed="false">
      <c r="A36" s="1" t="s">
        <v>274</v>
      </c>
      <c r="B36" s="46" t="n">
        <v>45674</v>
      </c>
      <c r="C36" s="46" t="n">
        <v>45715</v>
      </c>
      <c r="D36" s="47" t="n">
        <v>23469.85</v>
      </c>
      <c r="E36" s="47" t="n">
        <v>23480</v>
      </c>
      <c r="F36" s="47" t="n">
        <v>23290</v>
      </c>
      <c r="G36" s="47" t="n">
        <v>23402.6</v>
      </c>
      <c r="H36" s="47" t="n">
        <v>23397.2</v>
      </c>
      <c r="I36" s="47" t="n">
        <v>23402.6</v>
      </c>
      <c r="J36" s="48" t="n">
        <v>10569</v>
      </c>
      <c r="K36" s="47" t="n">
        <v>185455.5</v>
      </c>
      <c r="L36" s="48" t="n">
        <v>3522600</v>
      </c>
      <c r="M36" s="48" t="n">
        <v>257550</v>
      </c>
      <c r="N36" s="47" t="n">
        <v>23203.2</v>
      </c>
      <c r="O36" s="47" t="n">
        <f aca="false">IF(AND(ISNUMBER(G36),ISNUMBER(N36)),G36-N36,"")</f>
        <v>199.399999999998</v>
      </c>
      <c r="P36" s="49" t="n">
        <f aca="false">IF(ISNUMBER(O36),O36/N36,"")</f>
        <v>0.00859364225624043</v>
      </c>
      <c r="Q36" s="50" t="n">
        <f aca="false">C36-B36</f>
        <v>41</v>
      </c>
      <c r="R36" s="51" t="n">
        <f aca="false">IF(AND(C36=C35,ISNUMBER(G36),ISNUMBER(G35)),(G36/G35-1)*100,"")</f>
        <v>-0.451110548670397</v>
      </c>
      <c r="S36" s="51" t="n">
        <f aca="false">IF(AND(C36=C35,ISNUMBER(L36),ISNUMBER(L35)),(L36/L35-1)*100,"")</f>
        <v>7.88808747186107</v>
      </c>
      <c r="T36" s="51" t="n">
        <f aca="false">IF(AND(C36=C35,ISNUMBER(G36),ISNUMBER(G35)),G36-G35,"")</f>
        <v>-106.050000000003</v>
      </c>
      <c r="U36" s="1" t="str">
        <f aca="false">IF(OR(NOT(ISNUMBER(R36)),NOT(ISNUMBER(S36))),"Not classified",IF(AND(R36&gt;0,S36&gt;0),"Long buildup (interpretation)",IF(AND(R36&lt;0,S36&gt;0),"Short buildup (interpretation)",IF(AND(R36&gt;0,S36&lt;0),"Short covering (interpretation)",IF(AND(R36&lt;0,S36&lt;0),"Long unwinding (interpretation)","Neutral")))))</f>
        <v>Short buildup (interpretation)</v>
      </c>
      <c r="V36" s="52" t="str">
        <f aca="false">TEXT(B36,"yyyy-mm")</f>
        <v>2025-01</v>
      </c>
      <c r="W36" s="52" t="n">
        <f aca="false">1+COUNTIFS($B$2:$B$756,B36,$C$2:$C$756,"&lt;"&amp;C36)</f>
        <v>2</v>
      </c>
      <c r="X36" s="53" t="n">
        <f aca="false">IF(AND(ISNUMBER(P36),Q36&gt;0),P36*365/Q36,"")</f>
        <v>0.0765043761836038</v>
      </c>
      <c r="Y36" s="42" t="n">
        <f aca="false">IF(AND(C37=C36,ISNUMBER(R37)),R37,"")</f>
        <v>0.562757984155615</v>
      </c>
      <c r="Z36" s="52" t="n">
        <f aca="false">IF(AND(W36=1,Q36&gt;Basis_Analysis!$B$3,ISNUMBER(Y36)),1,0)</f>
        <v>0</v>
      </c>
      <c r="AA36" s="43" t="str">
        <f aca="false">IF(W36=1,IF(SUMIFS($L$2:$L$756,$B$2:$B$756,B36,$W$2:$W$756,2)&gt;0,SUMIFS($L$2:$L$756,$B$2:$B$756,B36,$W$2:$W$756,2),""),"")</f>
        <v/>
      </c>
      <c r="AB36" s="54" t="str">
        <f aca="false">IF(AND(W36=1,ISNUMBER(AA36)),L36/(L36+AA36),"")</f>
        <v/>
      </c>
    </row>
    <row r="37" customFormat="false" ht="15" hidden="false" customHeight="true" outlineLevel="0" collapsed="false">
      <c r="A37" s="1" t="s">
        <v>274</v>
      </c>
      <c r="B37" s="46" t="n">
        <v>45677</v>
      </c>
      <c r="C37" s="46" t="n">
        <v>45715</v>
      </c>
      <c r="D37" s="47" t="n">
        <v>23457.8</v>
      </c>
      <c r="E37" s="47" t="n">
        <v>23580</v>
      </c>
      <c r="F37" s="47" t="n">
        <v>23360</v>
      </c>
      <c r="G37" s="47" t="n">
        <v>23534.3</v>
      </c>
      <c r="H37" s="47" t="n">
        <v>23522.1</v>
      </c>
      <c r="I37" s="47" t="n">
        <v>23534.3</v>
      </c>
      <c r="J37" s="48" t="n">
        <v>7122</v>
      </c>
      <c r="K37" s="47" t="n">
        <v>125505.6</v>
      </c>
      <c r="L37" s="48" t="n">
        <v>3653700</v>
      </c>
      <c r="M37" s="48" t="n">
        <v>131100</v>
      </c>
      <c r="N37" s="47" t="n">
        <v>23344.75</v>
      </c>
      <c r="O37" s="47" t="n">
        <f aca="false">IF(AND(ISNUMBER(G37),ISNUMBER(N37)),G37-N37,"")</f>
        <v>189.549999999999</v>
      </c>
      <c r="P37" s="49" t="n">
        <f aca="false">IF(ISNUMBER(O37),O37/N37,"")</f>
        <v>0.00811959862495847</v>
      </c>
      <c r="Q37" s="50" t="n">
        <f aca="false">C37-B37</f>
        <v>38</v>
      </c>
      <c r="R37" s="51" t="n">
        <f aca="false">IF(AND(C37=C36,ISNUMBER(G37),ISNUMBER(G36)),(G37/G36-1)*100,"")</f>
        <v>0.562757984155615</v>
      </c>
      <c r="S37" s="51" t="n">
        <f aca="false">IF(AND(C37=C36,ISNUMBER(L37),ISNUMBER(L36)),(L37/L36-1)*100,"")</f>
        <v>3.72168284789645</v>
      </c>
      <c r="T37" s="51" t="n">
        <f aca="false">IF(AND(C37=C36,ISNUMBER(G37),ISNUMBER(G36)),G37-G36,"")</f>
        <v>131.700000000001</v>
      </c>
      <c r="U37" s="1" t="str">
        <f aca="false">IF(OR(NOT(ISNUMBER(R37)),NOT(ISNUMBER(S37))),"Not classified",IF(AND(R37&gt;0,S37&gt;0),"Long buildup (interpretation)",IF(AND(R37&lt;0,S37&gt;0),"Short buildup (interpretation)",IF(AND(R37&gt;0,S37&lt;0),"Short covering (interpretation)",IF(AND(R37&lt;0,S37&lt;0),"Long unwinding (interpretation)","Neutral")))))</f>
        <v>Long buildup (interpretation)</v>
      </c>
      <c r="V37" s="52" t="str">
        <f aca="false">TEXT(B37,"yyyy-mm")</f>
        <v>2025-01</v>
      </c>
      <c r="W37" s="52" t="n">
        <f aca="false">1+COUNTIFS($B$2:$B$756,B37,$C$2:$C$756,"&lt;"&amp;C37)</f>
        <v>2</v>
      </c>
      <c r="X37" s="53" t="n">
        <f aca="false">IF(AND(ISNUMBER(P37),Q37&gt;0),P37*365/Q37,"")</f>
        <v>0.0779908815292064</v>
      </c>
      <c r="Y37" s="42" t="n">
        <f aca="false">IF(AND(C38=C37,ISNUMBER(R38)),R38,"")</f>
        <v>-1.26793658617421</v>
      </c>
      <c r="Z37" s="52" t="n">
        <f aca="false">IF(AND(W37=1,Q37&gt;Basis_Analysis!$B$3,ISNUMBER(Y37)),1,0)</f>
        <v>0</v>
      </c>
      <c r="AA37" s="43" t="str">
        <f aca="false">IF(W37=1,IF(SUMIFS($L$2:$L$756,$B$2:$B$756,B37,$W$2:$W$756,2)&gt;0,SUMIFS($L$2:$L$756,$B$2:$B$756,B37,$W$2:$W$756,2),""),"")</f>
        <v/>
      </c>
      <c r="AB37" s="54" t="str">
        <f aca="false">IF(AND(W37=1,ISNUMBER(AA37)),L37/(L37+AA37),"")</f>
        <v/>
      </c>
    </row>
    <row r="38" customFormat="false" ht="15" hidden="false" customHeight="true" outlineLevel="0" collapsed="false">
      <c r="A38" s="1" t="s">
        <v>274</v>
      </c>
      <c r="B38" s="46" t="n">
        <v>45678</v>
      </c>
      <c r="C38" s="46" t="n">
        <v>45715</v>
      </c>
      <c r="D38" s="47" t="n">
        <v>23598.95</v>
      </c>
      <c r="E38" s="47" t="n">
        <v>23598.95</v>
      </c>
      <c r="F38" s="47" t="n">
        <v>23190</v>
      </c>
      <c r="G38" s="47" t="n">
        <v>23235.9</v>
      </c>
      <c r="H38" s="47" t="n">
        <v>23242.85</v>
      </c>
      <c r="I38" s="47" t="n">
        <v>23235.9</v>
      </c>
      <c r="J38" s="48" t="n">
        <v>24194</v>
      </c>
      <c r="K38" s="47" t="n">
        <v>423931.12</v>
      </c>
      <c r="L38" s="48" t="n">
        <v>4345575</v>
      </c>
      <c r="M38" s="48" t="n">
        <v>691875</v>
      </c>
      <c r="N38" s="47" t="n">
        <v>23024.65</v>
      </c>
      <c r="O38" s="47" t="n">
        <f aca="false">IF(AND(ISNUMBER(G38),ISNUMBER(N38)),G38-N38,"")</f>
        <v>211.25</v>
      </c>
      <c r="P38" s="49" t="n">
        <f aca="false">IF(ISNUMBER(O38),O38/N38,"")</f>
        <v>0.00917494945634353</v>
      </c>
      <c r="Q38" s="50" t="n">
        <f aca="false">C38-B38</f>
        <v>37</v>
      </c>
      <c r="R38" s="51" t="n">
        <f aca="false">IF(AND(C38=C37,ISNUMBER(G38),ISNUMBER(G37)),(G38/G37-1)*100,"")</f>
        <v>-1.26793658617421</v>
      </c>
      <c r="S38" s="51" t="n">
        <f aca="false">IF(AND(C38=C37,ISNUMBER(L38),ISNUMBER(L37)),(L38/L37-1)*100,"")</f>
        <v>18.9362837671402</v>
      </c>
      <c r="T38" s="51" t="n">
        <f aca="false">IF(AND(C38=C37,ISNUMBER(G38),ISNUMBER(G37)),G38-G37,"")</f>
        <v>-298.399999999998</v>
      </c>
      <c r="U38" s="1" t="str">
        <f aca="false">IF(OR(NOT(ISNUMBER(R38)),NOT(ISNUMBER(S38))),"Not classified",IF(AND(R38&gt;0,S38&gt;0),"Long buildup (interpretation)",IF(AND(R38&lt;0,S38&gt;0),"Short buildup (interpretation)",IF(AND(R38&gt;0,S38&lt;0),"Short covering (interpretation)",IF(AND(R38&lt;0,S38&lt;0),"Long unwinding (interpretation)","Neutral")))))</f>
        <v>Short buildup (interpretation)</v>
      </c>
      <c r="V38" s="52" t="str">
        <f aca="false">TEXT(B38,"yyyy-mm")</f>
        <v>2025-01</v>
      </c>
      <c r="W38" s="52" t="n">
        <f aca="false">1+COUNTIFS($B$2:$B$756,B38,$C$2:$C$756,"&lt;"&amp;C38)</f>
        <v>2</v>
      </c>
      <c r="X38" s="53" t="n">
        <f aca="false">IF(AND(ISNUMBER(P38),Q38&gt;0),P38*365/Q38,"")</f>
        <v>0.0905096365287943</v>
      </c>
      <c r="Y38" s="42" t="n">
        <f aca="false">IF(AND(C39=C38,ISNUMBER(R39)),R39,"")</f>
        <v>0.410571572437468</v>
      </c>
      <c r="Z38" s="52" t="n">
        <f aca="false">IF(AND(W38=1,Q38&gt;Basis_Analysis!$B$3,ISNUMBER(Y38)),1,0)</f>
        <v>0</v>
      </c>
      <c r="AA38" s="43" t="str">
        <f aca="false">IF(W38=1,IF(SUMIFS($L$2:$L$756,$B$2:$B$756,B38,$W$2:$W$756,2)&gt;0,SUMIFS($L$2:$L$756,$B$2:$B$756,B38,$W$2:$W$756,2),""),"")</f>
        <v/>
      </c>
      <c r="AB38" s="54" t="str">
        <f aca="false">IF(AND(W38=1,ISNUMBER(AA38)),L38/(L38+AA38),"")</f>
        <v/>
      </c>
    </row>
    <row r="39" customFormat="false" ht="15" hidden="false" customHeight="true" outlineLevel="0" collapsed="false">
      <c r="A39" s="1" t="s">
        <v>274</v>
      </c>
      <c r="B39" s="46" t="n">
        <v>45679</v>
      </c>
      <c r="C39" s="46" t="n">
        <v>45715</v>
      </c>
      <c r="D39" s="47" t="n">
        <v>23279.95</v>
      </c>
      <c r="E39" s="47" t="n">
        <v>23349</v>
      </c>
      <c r="F39" s="47" t="n">
        <v>23150.1</v>
      </c>
      <c r="G39" s="47" t="n">
        <v>23331.3</v>
      </c>
      <c r="H39" s="47" t="n">
        <v>23330</v>
      </c>
      <c r="I39" s="47" t="n">
        <v>23331.3</v>
      </c>
      <c r="J39" s="48" t="n">
        <v>16359</v>
      </c>
      <c r="K39" s="47" t="n">
        <v>285305.72</v>
      </c>
      <c r="L39" s="48" t="n">
        <v>4927200</v>
      </c>
      <c r="M39" s="48" t="n">
        <v>581625</v>
      </c>
      <c r="N39" s="47" t="n">
        <v>23155.35</v>
      </c>
      <c r="O39" s="47" t="n">
        <f aca="false">IF(AND(ISNUMBER(G39),ISNUMBER(N39)),G39-N39,"")</f>
        <v>175.950000000001</v>
      </c>
      <c r="P39" s="49" t="n">
        <f aca="false">IF(ISNUMBER(O39),O39/N39,"")</f>
        <v>0.00759867589995404</v>
      </c>
      <c r="Q39" s="50" t="n">
        <f aca="false">C39-B39</f>
        <v>36</v>
      </c>
      <c r="R39" s="51" t="n">
        <f aca="false">IF(AND(C39=C38,ISNUMBER(G39),ISNUMBER(G38)),(G39/G38-1)*100,"")</f>
        <v>0.410571572437468</v>
      </c>
      <c r="S39" s="51" t="n">
        <f aca="false">IF(AND(C39=C38,ISNUMBER(L39),ISNUMBER(L38)),(L39/L38-1)*100,"")</f>
        <v>13.3843047237707</v>
      </c>
      <c r="T39" s="51" t="n">
        <f aca="false">IF(AND(C39=C38,ISNUMBER(G39),ISNUMBER(G38)),G39-G38,"")</f>
        <v>95.3999999999978</v>
      </c>
      <c r="U39" s="1" t="str">
        <f aca="false">IF(OR(NOT(ISNUMBER(R39)),NOT(ISNUMBER(S39))),"Not classified",IF(AND(R39&gt;0,S39&gt;0),"Long buildup (interpretation)",IF(AND(R39&lt;0,S39&gt;0),"Short buildup (interpretation)",IF(AND(R39&gt;0,S39&lt;0),"Short covering (interpretation)",IF(AND(R39&lt;0,S39&lt;0),"Long unwinding (interpretation)","Neutral")))))</f>
        <v>Long buildup (interpretation)</v>
      </c>
      <c r="V39" s="52" t="str">
        <f aca="false">TEXT(B39,"yyyy-mm")</f>
        <v>2025-01</v>
      </c>
      <c r="W39" s="52" t="n">
        <f aca="false">1+COUNTIFS($B$2:$B$756,B39,$C$2:$C$756,"&lt;"&amp;C39)</f>
        <v>2</v>
      </c>
      <c r="X39" s="53" t="n">
        <f aca="false">IF(AND(ISNUMBER(P39),Q39&gt;0),P39*365/Q39,"")</f>
        <v>0.0770421306523118</v>
      </c>
      <c r="Y39" s="42" t="n">
        <f aca="false">IF(AND(C40=C39,ISNUMBER(R40)),R40,"")</f>
        <v>0.270023530621955</v>
      </c>
      <c r="Z39" s="52" t="n">
        <f aca="false">IF(AND(W39=1,Q39&gt;Basis_Analysis!$B$3,ISNUMBER(Y39)),1,0)</f>
        <v>0</v>
      </c>
      <c r="AA39" s="43" t="str">
        <f aca="false">IF(W39=1,IF(SUMIFS($L$2:$L$756,$B$2:$B$756,B39,$W$2:$W$756,2)&gt;0,SUMIFS($L$2:$L$756,$B$2:$B$756,B39,$W$2:$W$756,2),""),"")</f>
        <v/>
      </c>
      <c r="AB39" s="54" t="str">
        <f aca="false">IF(AND(W39=1,ISNUMBER(AA39)),L39/(L39+AA39),"")</f>
        <v/>
      </c>
    </row>
    <row r="40" customFormat="false" ht="15" hidden="false" customHeight="true" outlineLevel="0" collapsed="false">
      <c r="A40" s="1" t="s">
        <v>274</v>
      </c>
      <c r="B40" s="46" t="n">
        <v>45680</v>
      </c>
      <c r="C40" s="46" t="n">
        <v>45715</v>
      </c>
      <c r="D40" s="47" t="n">
        <v>23321.05</v>
      </c>
      <c r="E40" s="47" t="n">
        <v>23449</v>
      </c>
      <c r="F40" s="47" t="n">
        <v>23264.3</v>
      </c>
      <c r="G40" s="47" t="n">
        <v>23394.3</v>
      </c>
      <c r="H40" s="47" t="n">
        <v>23390</v>
      </c>
      <c r="I40" s="47" t="n">
        <v>23394.3</v>
      </c>
      <c r="J40" s="48" t="n">
        <v>11767</v>
      </c>
      <c r="K40" s="47" t="n">
        <v>206408.62</v>
      </c>
      <c r="L40" s="48" t="n">
        <v>5358825</v>
      </c>
      <c r="M40" s="48" t="n">
        <v>431625</v>
      </c>
      <c r="N40" s="47" t="n">
        <v>23205.35</v>
      </c>
      <c r="O40" s="47" t="n">
        <f aca="false">IF(AND(ISNUMBER(G40),ISNUMBER(N40)),G40-N40,"")</f>
        <v>188.950000000001</v>
      </c>
      <c r="P40" s="49" t="n">
        <f aca="false">IF(ISNUMBER(O40),O40/N40,"")</f>
        <v>0.00814251885879768</v>
      </c>
      <c r="Q40" s="50" t="n">
        <f aca="false">C40-B40</f>
        <v>35</v>
      </c>
      <c r="R40" s="51" t="n">
        <f aca="false">IF(AND(C40=C39,ISNUMBER(G40),ISNUMBER(G39)),(G40/G39-1)*100,"")</f>
        <v>0.270023530621955</v>
      </c>
      <c r="S40" s="51" t="n">
        <f aca="false">IF(AND(C40=C39,ISNUMBER(L40),ISNUMBER(L39)),(L40/L39-1)*100,"")</f>
        <v>8.76004627374574</v>
      </c>
      <c r="T40" s="51" t="n">
        <f aca="false">IF(AND(C40=C39,ISNUMBER(G40),ISNUMBER(G39)),G40-G39,"")</f>
        <v>63</v>
      </c>
      <c r="U40" s="1" t="str">
        <f aca="false">IF(OR(NOT(ISNUMBER(R40)),NOT(ISNUMBER(S40))),"Not classified",IF(AND(R40&gt;0,S40&gt;0),"Long buildup (interpretation)",IF(AND(R40&lt;0,S40&gt;0),"Short buildup (interpretation)",IF(AND(R40&gt;0,S40&lt;0),"Short covering (interpretation)",IF(AND(R40&lt;0,S40&lt;0),"Long unwinding (interpretation)","Neutral")))))</f>
        <v>Long buildup (interpretation)</v>
      </c>
      <c r="V40" s="52" t="str">
        <f aca="false">TEXT(B40,"yyyy-mm")</f>
        <v>2025-01</v>
      </c>
      <c r="W40" s="52" t="n">
        <f aca="false">1+COUNTIFS($B$2:$B$756,B40,$C$2:$C$756,"&lt;"&amp;C40)</f>
        <v>2</v>
      </c>
      <c r="X40" s="53" t="n">
        <f aca="false">IF(AND(ISNUMBER(P40),Q40&gt;0),P40*365/Q40,"")</f>
        <v>0.0849148395274615</v>
      </c>
      <c r="Y40" s="42" t="n">
        <f aca="false">IF(AND(C41=C40,ISNUMBER(R41)),R41,"")</f>
        <v>-0.63113664439628</v>
      </c>
      <c r="Z40" s="52" t="n">
        <f aca="false">IF(AND(W40=1,Q40&gt;Basis_Analysis!$B$3,ISNUMBER(Y40)),1,0)</f>
        <v>0</v>
      </c>
      <c r="AA40" s="43" t="str">
        <f aca="false">IF(W40=1,IF(SUMIFS($L$2:$L$756,$B$2:$B$756,B40,$W$2:$W$756,2)&gt;0,SUMIFS($L$2:$L$756,$B$2:$B$756,B40,$W$2:$W$756,2),""),"")</f>
        <v/>
      </c>
      <c r="AB40" s="54" t="str">
        <f aca="false">IF(AND(W40=1,ISNUMBER(AA40)),L40/(L40+AA40),"")</f>
        <v/>
      </c>
    </row>
    <row r="41" customFormat="false" ht="15" hidden="false" customHeight="true" outlineLevel="0" collapsed="false">
      <c r="A41" s="1" t="s">
        <v>274</v>
      </c>
      <c r="B41" s="46" t="n">
        <v>45681</v>
      </c>
      <c r="C41" s="46" t="n">
        <v>45715</v>
      </c>
      <c r="D41" s="47" t="n">
        <v>23400.15</v>
      </c>
      <c r="E41" s="47" t="n">
        <v>23508.95</v>
      </c>
      <c r="F41" s="47" t="n">
        <v>23210</v>
      </c>
      <c r="G41" s="47" t="n">
        <v>23246.65</v>
      </c>
      <c r="H41" s="47" t="n">
        <v>23241.05</v>
      </c>
      <c r="I41" s="47" t="n">
        <v>23246.65</v>
      </c>
      <c r="J41" s="48" t="n">
        <v>24731</v>
      </c>
      <c r="K41" s="47" t="n">
        <v>432870.82</v>
      </c>
      <c r="L41" s="48" t="n">
        <v>5896575</v>
      </c>
      <c r="M41" s="48" t="n">
        <v>537750</v>
      </c>
      <c r="N41" s="47" t="n">
        <v>23092.2</v>
      </c>
      <c r="O41" s="47" t="n">
        <f aca="false">IF(AND(ISNUMBER(G41),ISNUMBER(N41)),G41-N41,"")</f>
        <v>154.450000000001</v>
      </c>
      <c r="P41" s="49" t="n">
        <f aca="false">IF(ISNUMBER(O41),O41/N41,"")</f>
        <v>0.00668840560882033</v>
      </c>
      <c r="Q41" s="50" t="n">
        <f aca="false">C41-B41</f>
        <v>34</v>
      </c>
      <c r="R41" s="51" t="n">
        <f aca="false">IF(AND(C41=C40,ISNUMBER(G41),ISNUMBER(G40)),(G41/G40-1)*100,"")</f>
        <v>-0.63113664439628</v>
      </c>
      <c r="S41" s="51" t="n">
        <f aca="false">IF(AND(C41=C40,ISNUMBER(L41),ISNUMBER(L40)),(L41/L40-1)*100,"")</f>
        <v>10.034849057396</v>
      </c>
      <c r="T41" s="51" t="n">
        <f aca="false">IF(AND(C41=C40,ISNUMBER(G41),ISNUMBER(G40)),G41-G40,"")</f>
        <v>-147.649999999998</v>
      </c>
      <c r="U41" s="1" t="str">
        <f aca="false">IF(OR(NOT(ISNUMBER(R41)),NOT(ISNUMBER(S41))),"Not classified",IF(AND(R41&gt;0,S41&gt;0),"Long buildup (interpretation)",IF(AND(R41&lt;0,S41&gt;0),"Short buildup (interpretation)",IF(AND(R41&gt;0,S41&lt;0),"Short covering (interpretation)",IF(AND(R41&lt;0,S41&lt;0),"Long unwinding (interpretation)","Neutral")))))</f>
        <v>Short buildup (interpretation)</v>
      </c>
      <c r="V41" s="52" t="str">
        <f aca="false">TEXT(B41,"yyyy-mm")</f>
        <v>2025-01</v>
      </c>
      <c r="W41" s="52" t="n">
        <f aca="false">1+COUNTIFS($B$2:$B$756,B41,$C$2:$C$756,"&lt;"&amp;C41)</f>
        <v>2</v>
      </c>
      <c r="X41" s="53" t="n">
        <f aca="false">IF(AND(ISNUMBER(P41),Q41&gt;0),P41*365/Q41,"")</f>
        <v>0.0718020013888064</v>
      </c>
      <c r="Y41" s="42" t="n">
        <f aca="false">IF(AND(C42=C41,ISNUMBER(R42)),R42,"")</f>
        <v>-1.19694665683012</v>
      </c>
      <c r="Z41" s="52" t="n">
        <f aca="false">IF(AND(W41=1,Q41&gt;Basis_Analysis!$B$3,ISNUMBER(Y41)),1,0)</f>
        <v>0</v>
      </c>
      <c r="AA41" s="43" t="str">
        <f aca="false">IF(W41=1,IF(SUMIFS($L$2:$L$756,$B$2:$B$756,B41,$W$2:$W$756,2)&gt;0,SUMIFS($L$2:$L$756,$B$2:$B$756,B41,$W$2:$W$756,2),""),"")</f>
        <v/>
      </c>
      <c r="AB41" s="54" t="str">
        <f aca="false">IF(AND(W41=1,ISNUMBER(AA41)),L41/(L41+AA41),"")</f>
        <v/>
      </c>
    </row>
    <row r="42" customFormat="false" ht="15" hidden="false" customHeight="true" outlineLevel="0" collapsed="false">
      <c r="A42" s="1" t="s">
        <v>274</v>
      </c>
      <c r="B42" s="46" t="n">
        <v>45684</v>
      </c>
      <c r="C42" s="46" t="n">
        <v>45715</v>
      </c>
      <c r="D42" s="47" t="n">
        <v>23125.05</v>
      </c>
      <c r="E42" s="47" t="n">
        <v>23150</v>
      </c>
      <c r="F42" s="47" t="n">
        <v>22931</v>
      </c>
      <c r="G42" s="47" t="n">
        <v>22968.4</v>
      </c>
      <c r="H42" s="47" t="n">
        <v>22959.1</v>
      </c>
      <c r="I42" s="47" t="n">
        <v>22968.4</v>
      </c>
      <c r="J42" s="48" t="n">
        <v>45381</v>
      </c>
      <c r="K42" s="47" t="n">
        <v>783413.95</v>
      </c>
      <c r="L42" s="48" t="n">
        <v>7708275</v>
      </c>
      <c r="M42" s="48" t="n">
        <v>1811700</v>
      </c>
      <c r="N42" s="47" t="n">
        <v>22829.15</v>
      </c>
      <c r="O42" s="47" t="n">
        <f aca="false">IF(AND(ISNUMBER(G42),ISNUMBER(N42)),G42-N42,"")</f>
        <v>139.25</v>
      </c>
      <c r="P42" s="49" t="n">
        <f aca="false">IF(ISNUMBER(O42),O42/N42,"")</f>
        <v>0.00609965767450825</v>
      </c>
      <c r="Q42" s="50" t="n">
        <f aca="false">C42-B42</f>
        <v>31</v>
      </c>
      <c r="R42" s="51" t="n">
        <f aca="false">IF(AND(C42=C41,ISNUMBER(G42),ISNUMBER(G41)),(G42/G41-1)*100,"")</f>
        <v>-1.19694665683012</v>
      </c>
      <c r="S42" s="51" t="n">
        <f aca="false">IF(AND(C42=C41,ISNUMBER(L42),ISNUMBER(L41)),(L42/L41-1)*100,"")</f>
        <v>30.7246155607281</v>
      </c>
      <c r="T42" s="51" t="n">
        <f aca="false">IF(AND(C42=C41,ISNUMBER(G42),ISNUMBER(G41)),G42-G41,"")</f>
        <v>-278.25</v>
      </c>
      <c r="U42" s="1" t="str">
        <f aca="false">IF(OR(NOT(ISNUMBER(R42)),NOT(ISNUMBER(S42))),"Not classified",IF(AND(R42&gt;0,S42&gt;0),"Long buildup (interpretation)",IF(AND(R42&lt;0,S42&gt;0),"Short buildup (interpretation)",IF(AND(R42&gt;0,S42&lt;0),"Short covering (interpretation)",IF(AND(R42&lt;0,S42&lt;0),"Long unwinding (interpretation)","Neutral")))))</f>
        <v>Short buildup (interpretation)</v>
      </c>
      <c r="V42" s="52" t="str">
        <f aca="false">TEXT(B42,"yyyy-mm")</f>
        <v>2025-01</v>
      </c>
      <c r="W42" s="52" t="n">
        <f aca="false">1+COUNTIFS($B$2:$B$756,B42,$C$2:$C$756,"&lt;"&amp;C42)</f>
        <v>2</v>
      </c>
      <c r="X42" s="53" t="n">
        <f aca="false">IF(AND(ISNUMBER(P42),Q42&gt;0),P42*365/Q42,"")</f>
        <v>0.0718185500385649</v>
      </c>
      <c r="Y42" s="42" t="n">
        <f aca="false">IF(AND(C43=C42,ISNUMBER(R43)),R43,"")</f>
        <v>0.578403371588787</v>
      </c>
      <c r="Z42" s="52" t="n">
        <f aca="false">IF(AND(W42=1,Q42&gt;Basis_Analysis!$B$3,ISNUMBER(Y42)),1,0)</f>
        <v>0</v>
      </c>
      <c r="AA42" s="43" t="str">
        <f aca="false">IF(W42=1,IF(SUMIFS($L$2:$L$756,$B$2:$B$756,B42,$W$2:$W$756,2)&gt;0,SUMIFS($L$2:$L$756,$B$2:$B$756,B42,$W$2:$W$756,2),""),"")</f>
        <v/>
      </c>
      <c r="AB42" s="54" t="str">
        <f aca="false">IF(AND(W42=1,ISNUMBER(AA42)),L42/(L42+AA42),"")</f>
        <v/>
      </c>
    </row>
    <row r="43" customFormat="false" ht="15" hidden="false" customHeight="true" outlineLevel="0" collapsed="false">
      <c r="A43" s="1" t="s">
        <v>274</v>
      </c>
      <c r="B43" s="46" t="n">
        <v>45685</v>
      </c>
      <c r="C43" s="46" t="n">
        <v>45715</v>
      </c>
      <c r="D43" s="47" t="n">
        <v>23099.95</v>
      </c>
      <c r="E43" s="47" t="n">
        <v>23279.9</v>
      </c>
      <c r="F43" s="47" t="n">
        <v>22986.35</v>
      </c>
      <c r="G43" s="47" t="n">
        <v>23101.25</v>
      </c>
      <c r="H43" s="47" t="n">
        <v>23105</v>
      </c>
      <c r="I43" s="47" t="n">
        <v>23101.25</v>
      </c>
      <c r="J43" s="48" t="n">
        <v>79525</v>
      </c>
      <c r="K43" s="47" t="n">
        <v>1379202.11</v>
      </c>
      <c r="L43" s="48" t="n">
        <v>11127525</v>
      </c>
      <c r="M43" s="48" t="n">
        <v>3419250</v>
      </c>
      <c r="N43" s="47" t="n">
        <v>22957.25</v>
      </c>
      <c r="O43" s="47" t="n">
        <f aca="false">IF(AND(ISNUMBER(G43),ISNUMBER(N43)),G43-N43,"")</f>
        <v>144</v>
      </c>
      <c r="P43" s="49" t="n">
        <f aca="false">IF(ISNUMBER(O43),O43/N43,"")</f>
        <v>0.00627252828627122</v>
      </c>
      <c r="Q43" s="50" t="n">
        <f aca="false">C43-B43</f>
        <v>30</v>
      </c>
      <c r="R43" s="51" t="n">
        <f aca="false">IF(AND(C43=C42,ISNUMBER(G43),ISNUMBER(G42)),(G43/G42-1)*100,"")</f>
        <v>0.578403371588787</v>
      </c>
      <c r="S43" s="51" t="n">
        <f aca="false">IF(AND(C43=C42,ISNUMBER(L43),ISNUMBER(L42)),(L43/L42-1)*100,"")</f>
        <v>44.3581735213131</v>
      </c>
      <c r="T43" s="51" t="n">
        <f aca="false">IF(AND(C43=C42,ISNUMBER(G43),ISNUMBER(G42)),G43-G42,"")</f>
        <v>132.849999999999</v>
      </c>
      <c r="U43" s="1" t="str">
        <f aca="false">IF(OR(NOT(ISNUMBER(R43)),NOT(ISNUMBER(S43))),"Not classified",IF(AND(R43&gt;0,S43&gt;0),"Long buildup (interpretation)",IF(AND(R43&lt;0,S43&gt;0),"Short buildup (interpretation)",IF(AND(R43&gt;0,S43&lt;0),"Short covering (interpretation)",IF(AND(R43&lt;0,S43&lt;0),"Long unwinding (interpretation)","Neutral")))))</f>
        <v>Long buildup (interpretation)</v>
      </c>
      <c r="V43" s="52" t="str">
        <f aca="false">TEXT(B43,"yyyy-mm")</f>
        <v>2025-01</v>
      </c>
      <c r="W43" s="52" t="n">
        <f aca="false">1+COUNTIFS($B$2:$B$756,B43,$C$2:$C$756,"&lt;"&amp;C43)</f>
        <v>2</v>
      </c>
      <c r="X43" s="53" t="n">
        <f aca="false">IF(AND(ISNUMBER(P43),Q43&gt;0),P43*365/Q43,"")</f>
        <v>0.0763157608162999</v>
      </c>
      <c r="Y43" s="42" t="n">
        <f aca="false">IF(AND(C44=C43,ISNUMBER(R44)),R44,"")</f>
        <v>0.770953952708187</v>
      </c>
      <c r="Z43" s="52" t="n">
        <f aca="false">IF(AND(W43=1,Q43&gt;Basis_Analysis!$B$3,ISNUMBER(Y43)),1,0)</f>
        <v>0</v>
      </c>
      <c r="AA43" s="43" t="str">
        <f aca="false">IF(W43=1,IF(SUMIFS($L$2:$L$756,$B$2:$B$756,B43,$W$2:$W$756,2)&gt;0,SUMIFS($L$2:$L$756,$B$2:$B$756,B43,$W$2:$W$756,2),""),"")</f>
        <v/>
      </c>
      <c r="AB43" s="54" t="str">
        <f aca="false">IF(AND(W43=1,ISNUMBER(AA43)),L43/(L43+AA43),"")</f>
        <v/>
      </c>
    </row>
    <row r="44" customFormat="false" ht="15" hidden="false" customHeight="true" outlineLevel="0" collapsed="false">
      <c r="A44" s="1" t="s">
        <v>274</v>
      </c>
      <c r="B44" s="46" t="n">
        <v>45686</v>
      </c>
      <c r="C44" s="46" t="n">
        <v>45715</v>
      </c>
      <c r="D44" s="47" t="n">
        <v>23168.65</v>
      </c>
      <c r="E44" s="47" t="n">
        <v>23319.9</v>
      </c>
      <c r="F44" s="47" t="n">
        <v>23101.25</v>
      </c>
      <c r="G44" s="47" t="n">
        <v>23279.35</v>
      </c>
      <c r="H44" s="47" t="n">
        <v>23310.7</v>
      </c>
      <c r="I44" s="47" t="n">
        <v>23279.35</v>
      </c>
      <c r="J44" s="48" t="n">
        <v>74538</v>
      </c>
      <c r="K44" s="47" t="n">
        <v>1299382.37</v>
      </c>
      <c r="L44" s="48" t="n">
        <v>13918125</v>
      </c>
      <c r="M44" s="48" t="n">
        <v>2790600</v>
      </c>
      <c r="N44" s="47" t="n">
        <v>23163.1</v>
      </c>
      <c r="O44" s="47" t="n">
        <f aca="false">IF(AND(ISNUMBER(G44),ISNUMBER(N44)),G44-N44,"")</f>
        <v>116.25</v>
      </c>
      <c r="P44" s="49" t="n">
        <f aca="false">IF(ISNUMBER(O44),O44/N44,"")</f>
        <v>0.00501875828364943</v>
      </c>
      <c r="Q44" s="50" t="n">
        <f aca="false">C44-B44</f>
        <v>29</v>
      </c>
      <c r="R44" s="51" t="n">
        <f aca="false">IF(AND(C44=C43,ISNUMBER(G44),ISNUMBER(G43)),(G44/G43-1)*100,"")</f>
        <v>0.770953952708187</v>
      </c>
      <c r="S44" s="51" t="n">
        <f aca="false">IF(AND(C44=C43,ISNUMBER(L44),ISNUMBER(L43)),(L44/L43-1)*100,"")</f>
        <v>25.0783530030263</v>
      </c>
      <c r="T44" s="51" t="n">
        <f aca="false">IF(AND(C44=C43,ISNUMBER(G44),ISNUMBER(G43)),G44-G43,"")</f>
        <v>178.099999999999</v>
      </c>
      <c r="U44" s="1" t="str">
        <f aca="false">IF(OR(NOT(ISNUMBER(R44)),NOT(ISNUMBER(S44))),"Not classified",IF(AND(R44&gt;0,S44&gt;0),"Long buildup (interpretation)",IF(AND(R44&lt;0,S44&gt;0),"Short buildup (interpretation)",IF(AND(R44&gt;0,S44&lt;0),"Short covering (interpretation)",IF(AND(R44&lt;0,S44&lt;0),"Long unwinding (interpretation)","Neutral")))))</f>
        <v>Long buildup (interpretation)</v>
      </c>
      <c r="V44" s="52" t="str">
        <f aca="false">TEXT(B44,"yyyy-mm")</f>
        <v>2025-01</v>
      </c>
      <c r="W44" s="52" t="n">
        <f aca="false">1+COUNTIFS($B$2:$B$756,B44,$C$2:$C$756,"&lt;"&amp;C44)</f>
        <v>2</v>
      </c>
      <c r="X44" s="53" t="n">
        <f aca="false">IF(AND(ISNUMBER(P44),Q44&gt;0),P44*365/Q44,"")</f>
        <v>0.0631671301217945</v>
      </c>
      <c r="Y44" s="42" t="n">
        <f aca="false">IF(AND(C45=C44,ISNUMBER(R45)),R45,"")</f>
        <v>0.596880926658172</v>
      </c>
      <c r="Z44" s="52" t="n">
        <f aca="false">IF(AND(W44=1,Q44&gt;Basis_Analysis!$B$3,ISNUMBER(Y44)),1,0)</f>
        <v>0</v>
      </c>
      <c r="AA44" s="43" t="str">
        <f aca="false">IF(W44=1,IF(SUMIFS($L$2:$L$756,$B$2:$B$756,B44,$W$2:$W$756,2)&gt;0,SUMIFS($L$2:$L$756,$B$2:$B$756,B44,$W$2:$W$756,2),""),"")</f>
        <v/>
      </c>
      <c r="AB44" s="54" t="str">
        <f aca="false">IF(AND(W44=1,ISNUMBER(AA44)),L44/(L44+AA44),"")</f>
        <v/>
      </c>
    </row>
    <row r="45" customFormat="false" ht="15" hidden="false" customHeight="true" outlineLevel="0" collapsed="false">
      <c r="A45" s="1" t="s">
        <v>274</v>
      </c>
      <c r="B45" s="46" t="n">
        <v>45687</v>
      </c>
      <c r="C45" s="46" t="n">
        <v>45715</v>
      </c>
      <c r="D45" s="47" t="n">
        <v>23310.7</v>
      </c>
      <c r="E45" s="47" t="n">
        <v>23458.8</v>
      </c>
      <c r="F45" s="47" t="n">
        <v>23269.05</v>
      </c>
      <c r="G45" s="47" t="n">
        <v>23418.3</v>
      </c>
      <c r="H45" s="47" t="n">
        <v>23446</v>
      </c>
      <c r="I45" s="47" t="n">
        <v>23418.3</v>
      </c>
      <c r="J45" s="48" t="n">
        <v>104818</v>
      </c>
      <c r="K45" s="47" t="n">
        <v>1838491.68</v>
      </c>
      <c r="L45" s="48" t="n">
        <v>17296050</v>
      </c>
      <c r="M45" s="48" t="n">
        <v>3377925</v>
      </c>
      <c r="N45" s="47" t="n">
        <v>23249.5</v>
      </c>
      <c r="O45" s="47" t="n">
        <f aca="false">IF(AND(ISNUMBER(G45),ISNUMBER(N45)),G45-N45,"")</f>
        <v>168.799999999999</v>
      </c>
      <c r="P45" s="49" t="n">
        <f aca="false">IF(ISNUMBER(O45),O45/N45,"")</f>
        <v>0.00726037119077827</v>
      </c>
      <c r="Q45" s="50" t="n">
        <f aca="false">C45-B45</f>
        <v>28</v>
      </c>
      <c r="R45" s="51" t="n">
        <f aca="false">IF(AND(C45=C44,ISNUMBER(G45),ISNUMBER(G44)),(G45/G44-1)*100,"")</f>
        <v>0.596880926658172</v>
      </c>
      <c r="S45" s="51" t="n">
        <f aca="false">IF(AND(C45=C44,ISNUMBER(L45),ISNUMBER(L44)),(L45/L44-1)*100,"")</f>
        <v>24.2699717095514</v>
      </c>
      <c r="T45" s="51" t="n">
        <f aca="false">IF(AND(C45=C44,ISNUMBER(G45),ISNUMBER(G44)),G45-G44,"")</f>
        <v>138.950000000001</v>
      </c>
      <c r="U45" s="1" t="str">
        <f aca="false">IF(OR(NOT(ISNUMBER(R45)),NOT(ISNUMBER(S45))),"Not classified",IF(AND(R45&gt;0,S45&gt;0),"Long buildup (interpretation)",IF(AND(R45&lt;0,S45&gt;0),"Short buildup (interpretation)",IF(AND(R45&gt;0,S45&lt;0),"Short covering (interpretation)",IF(AND(R45&lt;0,S45&lt;0),"Long unwinding (interpretation)","Neutral")))))</f>
        <v>Long buildup (interpretation)</v>
      </c>
      <c r="V45" s="52" t="str">
        <f aca="false">TEXT(B45,"yyyy-mm")</f>
        <v>2025-01</v>
      </c>
      <c r="W45" s="52" t="n">
        <f aca="false">1+COUNTIFS($B$2:$B$756,B45,$C$2:$C$756,"&lt;"&amp;C45)</f>
        <v>2</v>
      </c>
      <c r="X45" s="53" t="n">
        <f aca="false">IF(AND(ISNUMBER(P45),Q45&gt;0),P45*365/Q45,"")</f>
        <v>0.0946441244512167</v>
      </c>
      <c r="Y45" s="42" t="n">
        <f aca="false">IF(AND(C46=C45,ISNUMBER(R46)),R46,"")</f>
        <v>0.862146270224584</v>
      </c>
      <c r="Z45" s="52" t="n">
        <f aca="false">IF(AND(W45=1,Q45&gt;Basis_Analysis!$B$3,ISNUMBER(Y45)),1,0)</f>
        <v>0</v>
      </c>
      <c r="AA45" s="43" t="str">
        <f aca="false">IF(W45=1,IF(SUMIFS($L$2:$L$756,$B$2:$B$756,B45,$W$2:$W$756,2)&gt;0,SUMIFS($L$2:$L$756,$B$2:$B$756,B45,$W$2:$W$756,2),""),"")</f>
        <v/>
      </c>
      <c r="AB45" s="54" t="str">
        <f aca="false">IF(AND(W45=1,ISNUMBER(AA45)),L45/(L45+AA45),"")</f>
        <v/>
      </c>
    </row>
    <row r="46" customFormat="false" ht="15" hidden="false" customHeight="true" outlineLevel="0" collapsed="false">
      <c r="A46" s="1" t="s">
        <v>274</v>
      </c>
      <c r="B46" s="46" t="n">
        <v>45688</v>
      </c>
      <c r="C46" s="46" t="n">
        <v>45715</v>
      </c>
      <c r="D46" s="47" t="n">
        <v>23490</v>
      </c>
      <c r="E46" s="47" t="n">
        <v>23644</v>
      </c>
      <c r="F46" s="47" t="n">
        <v>23411.05</v>
      </c>
      <c r="G46" s="47" t="n">
        <v>23620.2</v>
      </c>
      <c r="H46" s="47" t="n">
        <v>23639</v>
      </c>
      <c r="I46" s="47" t="n">
        <v>23620.2</v>
      </c>
      <c r="J46" s="48" t="n">
        <v>88911</v>
      </c>
      <c r="K46" s="47" t="n">
        <v>1570615.27</v>
      </c>
      <c r="L46" s="48" t="n">
        <v>17774775</v>
      </c>
      <c r="M46" s="48" t="n">
        <v>478725</v>
      </c>
      <c r="N46" s="47" t="n">
        <v>23508.4</v>
      </c>
      <c r="O46" s="47" t="n">
        <f aca="false">IF(AND(ISNUMBER(G46),ISNUMBER(N46)),G46-N46,"")</f>
        <v>111.799999999999</v>
      </c>
      <c r="P46" s="49" t="n">
        <f aca="false">IF(ISNUMBER(O46),O46/N46,"")</f>
        <v>0.00475574688196556</v>
      </c>
      <c r="Q46" s="50" t="n">
        <f aca="false">C46-B46</f>
        <v>27</v>
      </c>
      <c r="R46" s="51" t="n">
        <f aca="false">IF(AND(C46=C45,ISNUMBER(G46),ISNUMBER(G45)),(G46/G45-1)*100,"")</f>
        <v>0.862146270224584</v>
      </c>
      <c r="S46" s="51" t="n">
        <f aca="false">IF(AND(C46=C45,ISNUMBER(L46),ISNUMBER(L45)),(L46/L45-1)*100,"")</f>
        <v>2.76782849263271</v>
      </c>
      <c r="T46" s="51" t="n">
        <f aca="false">IF(AND(C46=C45,ISNUMBER(G46),ISNUMBER(G45)),G46-G45,"")</f>
        <v>201.900000000001</v>
      </c>
      <c r="U46" s="1" t="str">
        <f aca="false">IF(OR(NOT(ISNUMBER(R46)),NOT(ISNUMBER(S46))),"Not classified",IF(AND(R46&gt;0,S46&gt;0),"Long buildup (interpretation)",IF(AND(R46&lt;0,S46&gt;0),"Short buildup (interpretation)",IF(AND(R46&gt;0,S46&lt;0),"Short covering (interpretation)",IF(AND(R46&lt;0,S46&lt;0),"Long unwinding (interpretation)","Neutral")))))</f>
        <v>Long buildup (interpretation)</v>
      </c>
      <c r="V46" s="52" t="str">
        <f aca="false">TEXT(B46,"yyyy-mm")</f>
        <v>2025-01</v>
      </c>
      <c r="W46" s="52" t="n">
        <f aca="false">1+COUNTIFS($B$2:$B$756,B46,$C$2:$C$756,"&lt;"&amp;C46)</f>
        <v>1</v>
      </c>
      <c r="X46" s="53" t="n">
        <f aca="false">IF(AND(ISNUMBER(P46),Q46&gt;0),P46*365/Q46,"")</f>
        <v>0.0642906522932382</v>
      </c>
      <c r="Y46" s="42" t="n">
        <f aca="false">IF(AND(C47=C46,ISNUMBER(R47)),R47,"")</f>
        <v>-0.27370640384079</v>
      </c>
      <c r="Z46" s="52" t="n">
        <f aca="false">IF(AND(W46=1,Q46&gt;Basis_Analysis!$B$3,ISNUMBER(Y46)),1,0)</f>
        <v>1</v>
      </c>
      <c r="AA46" s="43" t="n">
        <f aca="false">IF(W46=1,IF(SUMIFS($L$2:$L$756,$B$2:$B$756,B46,$W$2:$W$756,2)&gt;0,SUMIFS($L$2:$L$756,$B$2:$B$756,B46,$W$2:$W$756,2),""),"")</f>
        <v>851175</v>
      </c>
      <c r="AB46" s="54" t="n">
        <f aca="false">IF(AND(W46=1,ISNUMBER(AA46)),L46/(L46+AA46),"")</f>
        <v>0.954301659781112</v>
      </c>
    </row>
    <row r="47" customFormat="false" ht="15" hidden="false" customHeight="true" outlineLevel="0" collapsed="false">
      <c r="A47" s="1" t="s">
        <v>274</v>
      </c>
      <c r="B47" s="46" t="n">
        <v>45689</v>
      </c>
      <c r="C47" s="46" t="n">
        <v>45715</v>
      </c>
      <c r="D47" s="47" t="n">
        <v>23584</v>
      </c>
      <c r="E47" s="47" t="n">
        <v>23715.35</v>
      </c>
      <c r="F47" s="47" t="n">
        <v>23422.95</v>
      </c>
      <c r="G47" s="47" t="n">
        <v>23555.55</v>
      </c>
      <c r="H47" s="47" t="n">
        <v>23560.4</v>
      </c>
      <c r="I47" s="47" t="n">
        <v>23555.55</v>
      </c>
      <c r="J47" s="48" t="n">
        <v>150937</v>
      </c>
      <c r="K47" s="47" t="n">
        <v>2668035.44</v>
      </c>
      <c r="L47" s="48" t="n">
        <v>17392275</v>
      </c>
      <c r="M47" s="48" t="n">
        <v>-382500</v>
      </c>
      <c r="N47" s="47" t="n">
        <v>23482.15</v>
      </c>
      <c r="O47" s="47" t="n">
        <f aca="false">IF(AND(ISNUMBER(G47),ISNUMBER(N47)),G47-N47,"")</f>
        <v>73.3999999999978</v>
      </c>
      <c r="P47" s="49" t="n">
        <f aca="false">IF(ISNUMBER(O47),O47/N47,"")</f>
        <v>0.00312577851687336</v>
      </c>
      <c r="Q47" s="50" t="n">
        <f aca="false">C47-B47</f>
        <v>26</v>
      </c>
      <c r="R47" s="51" t="n">
        <f aca="false">IF(AND(C47=C46,ISNUMBER(G47),ISNUMBER(G46)),(G47/G46-1)*100,"")</f>
        <v>-0.27370640384079</v>
      </c>
      <c r="S47" s="51" t="n">
        <f aca="false">IF(AND(C47=C46,ISNUMBER(L47),ISNUMBER(L46)),(L47/L46-1)*100,"")</f>
        <v>-2.1519259737465</v>
      </c>
      <c r="T47" s="51" t="n">
        <f aca="false">IF(AND(C47=C46,ISNUMBER(G47),ISNUMBER(G46)),G47-G46,"")</f>
        <v>-64.6500000000015</v>
      </c>
      <c r="U47" s="1" t="str">
        <f aca="false">IF(OR(NOT(ISNUMBER(R47)),NOT(ISNUMBER(S47))),"Not classified",IF(AND(R47&gt;0,S47&gt;0),"Long buildup (interpretation)",IF(AND(R47&lt;0,S47&gt;0),"Short buildup (interpretation)",IF(AND(R47&gt;0,S47&lt;0),"Short covering (interpretation)",IF(AND(R47&lt;0,S47&lt;0),"Long unwinding (interpretation)","Neutral")))))</f>
        <v>Long unwinding (interpretation)</v>
      </c>
      <c r="V47" s="52" t="str">
        <f aca="false">TEXT(B47,"yyyy-mm")</f>
        <v>2025-02</v>
      </c>
      <c r="W47" s="52" t="n">
        <f aca="false">1+COUNTIFS($B$2:$B$756,B47,$C$2:$C$756,"&lt;"&amp;C47)</f>
        <v>1</v>
      </c>
      <c r="X47" s="53" t="n">
        <f aca="false">IF(AND(ISNUMBER(P47),Q47&gt;0),P47*365/Q47,"")</f>
        <v>0.0438811214868761</v>
      </c>
      <c r="Y47" s="42" t="n">
        <f aca="false">IF(AND(C48=C47,ISNUMBER(R48)),R48,"")</f>
        <v>-0.478868037468871</v>
      </c>
      <c r="Z47" s="52" t="n">
        <f aca="false">IF(AND(W47=1,Q47&gt;Basis_Analysis!$B$3,ISNUMBER(Y47)),1,0)</f>
        <v>1</v>
      </c>
      <c r="AA47" s="43" t="n">
        <f aca="false">IF(W47=1,IF(SUMIFS($L$2:$L$756,$B$2:$B$756,B47,$W$2:$W$756,2)&gt;0,SUMIFS($L$2:$L$756,$B$2:$B$756,B47,$W$2:$W$756,2),""),"")</f>
        <v>861225</v>
      </c>
      <c r="AB47" s="54" t="n">
        <f aca="false">IF(AND(W47=1,ISNUMBER(AA47)),L47/(L47+AA47),"")</f>
        <v>0.952818637521571</v>
      </c>
    </row>
    <row r="48" customFormat="false" ht="15" hidden="false" customHeight="true" outlineLevel="0" collapsed="false">
      <c r="A48" s="1" t="s">
        <v>274</v>
      </c>
      <c r="B48" s="46" t="n">
        <v>45691</v>
      </c>
      <c r="C48" s="46" t="n">
        <v>45715</v>
      </c>
      <c r="D48" s="47" t="n">
        <v>23390</v>
      </c>
      <c r="E48" s="47" t="n">
        <v>23463.25</v>
      </c>
      <c r="F48" s="47" t="n">
        <v>23305.35</v>
      </c>
      <c r="G48" s="47" t="n">
        <v>23442.75</v>
      </c>
      <c r="H48" s="47" t="n">
        <v>23440</v>
      </c>
      <c r="I48" s="47" t="n">
        <v>23442.75</v>
      </c>
      <c r="J48" s="48" t="n">
        <v>83636</v>
      </c>
      <c r="K48" s="47" t="n">
        <v>1466718.42</v>
      </c>
      <c r="L48" s="48" t="n">
        <v>17125575</v>
      </c>
      <c r="M48" s="48" t="n">
        <v>-266700</v>
      </c>
      <c r="N48" s="47" t="n">
        <v>23361.05</v>
      </c>
      <c r="O48" s="47" t="n">
        <f aca="false">IF(AND(ISNUMBER(G48),ISNUMBER(N48)),G48-N48,"")</f>
        <v>81.7000000000007</v>
      </c>
      <c r="P48" s="49" t="n">
        <f aca="false">IF(ISNUMBER(O48),O48/N48,"")</f>
        <v>0.00349727430915994</v>
      </c>
      <c r="Q48" s="50" t="n">
        <f aca="false">C48-B48</f>
        <v>24</v>
      </c>
      <c r="R48" s="51" t="n">
        <f aca="false">IF(AND(C48=C47,ISNUMBER(G48),ISNUMBER(G47)),(G48/G47-1)*100,"")</f>
        <v>-0.478868037468871</v>
      </c>
      <c r="S48" s="51" t="n">
        <f aca="false">IF(AND(C48=C47,ISNUMBER(L48),ISNUMBER(L47)),(L48/L47-1)*100,"")</f>
        <v>-1.53343941491265</v>
      </c>
      <c r="T48" s="51" t="n">
        <f aca="false">IF(AND(C48=C47,ISNUMBER(G48),ISNUMBER(G47)),G48-G47,"")</f>
        <v>-112.799999999999</v>
      </c>
      <c r="U48" s="1" t="str">
        <f aca="false">IF(OR(NOT(ISNUMBER(R48)),NOT(ISNUMBER(S48))),"Not classified",IF(AND(R48&gt;0,S48&gt;0),"Long buildup (interpretation)",IF(AND(R48&lt;0,S48&gt;0),"Short buildup (interpretation)",IF(AND(R48&gt;0,S48&lt;0),"Short covering (interpretation)",IF(AND(R48&lt;0,S48&lt;0),"Long unwinding (interpretation)","Neutral")))))</f>
        <v>Long unwinding (interpretation)</v>
      </c>
      <c r="V48" s="52" t="str">
        <f aca="false">TEXT(B48,"yyyy-mm")</f>
        <v>2025-02</v>
      </c>
      <c r="W48" s="52" t="n">
        <f aca="false">1+COUNTIFS($B$2:$B$756,B48,$C$2:$C$756,"&lt;"&amp;C48)</f>
        <v>1</v>
      </c>
      <c r="X48" s="53" t="n">
        <f aca="false">IF(AND(ISNUMBER(P48),Q48&gt;0),P48*365/Q48,"")</f>
        <v>0.0531877134518074</v>
      </c>
      <c r="Y48" s="42" t="n">
        <f aca="false">IF(AND(C49=C48,ISNUMBER(R49)),R49,"")</f>
        <v>1.46164592464622</v>
      </c>
      <c r="Z48" s="52" t="n">
        <f aca="false">IF(AND(W48=1,Q48&gt;Basis_Analysis!$B$3,ISNUMBER(Y48)),1,0)</f>
        <v>1</v>
      </c>
      <c r="AA48" s="43" t="n">
        <f aca="false">IF(W48=1,IF(SUMIFS($L$2:$L$756,$B$2:$B$756,B48,$W$2:$W$756,2)&gt;0,SUMIFS($L$2:$L$756,$B$2:$B$756,B48,$W$2:$W$756,2),""),"")</f>
        <v>862950</v>
      </c>
      <c r="AB48" s="54" t="n">
        <f aca="false">IF(AND(W48=1,ISNUMBER(AA48)),L48/(L48+AA48),"")</f>
        <v>0.952027751024612</v>
      </c>
    </row>
    <row r="49" customFormat="false" ht="15" hidden="false" customHeight="true" outlineLevel="0" collapsed="false">
      <c r="A49" s="1" t="s">
        <v>274</v>
      </c>
      <c r="B49" s="46" t="n">
        <v>45692</v>
      </c>
      <c r="C49" s="46" t="n">
        <v>45715</v>
      </c>
      <c r="D49" s="47" t="n">
        <v>23550</v>
      </c>
      <c r="E49" s="47" t="n">
        <v>23796.75</v>
      </c>
      <c r="F49" s="47" t="n">
        <v>23496.9</v>
      </c>
      <c r="G49" s="47" t="n">
        <v>23785.4</v>
      </c>
      <c r="H49" s="47" t="n">
        <v>23791</v>
      </c>
      <c r="I49" s="47" t="n">
        <v>23785.4</v>
      </c>
      <c r="J49" s="48" t="n">
        <v>137005</v>
      </c>
      <c r="K49" s="47" t="n">
        <v>2430569.03</v>
      </c>
      <c r="L49" s="48" t="n">
        <v>16697400</v>
      </c>
      <c r="M49" s="48" t="n">
        <v>-428175</v>
      </c>
      <c r="N49" s="47"/>
      <c r="O49" s="47" t="str">
        <f aca="false">IF(AND(ISNUMBER(G49),ISNUMBER(N49)),G49-N49,"")</f>
        <v/>
      </c>
      <c r="P49" s="49" t="str">
        <f aca="false">IF(ISNUMBER(O49),O49/N49,"")</f>
        <v/>
      </c>
      <c r="Q49" s="50" t="n">
        <f aca="false">C49-B49</f>
        <v>23</v>
      </c>
      <c r="R49" s="51" t="n">
        <f aca="false">IF(AND(C49=C48,ISNUMBER(G49),ISNUMBER(G48)),(G49/G48-1)*100,"")</f>
        <v>1.46164592464622</v>
      </c>
      <c r="S49" s="51" t="n">
        <f aca="false">IF(AND(C49=C48,ISNUMBER(L49),ISNUMBER(L48)),(L49/L48-1)*100,"")</f>
        <v>-2.50020802221239</v>
      </c>
      <c r="T49" s="51" t="n">
        <f aca="false">IF(AND(C49=C48,ISNUMBER(G49),ISNUMBER(G48)),G49-G48,"")</f>
        <v>342.650000000001</v>
      </c>
      <c r="U49" s="1" t="str">
        <f aca="false">IF(OR(NOT(ISNUMBER(R49)),NOT(ISNUMBER(S49))),"Not classified",IF(AND(R49&gt;0,S49&gt;0),"Long buildup (interpretation)",IF(AND(R49&lt;0,S49&gt;0),"Short buildup (interpretation)",IF(AND(R49&gt;0,S49&lt;0),"Short covering (interpretation)",IF(AND(R49&lt;0,S49&lt;0),"Long unwinding (interpretation)","Neutral")))))</f>
        <v>Short covering (interpretation)</v>
      </c>
      <c r="V49" s="52" t="str">
        <f aca="false">TEXT(B49,"yyyy-mm")</f>
        <v>2025-02</v>
      </c>
      <c r="W49" s="52" t="n">
        <f aca="false">1+COUNTIFS($B$2:$B$756,B49,$C$2:$C$756,"&lt;"&amp;C49)</f>
        <v>1</v>
      </c>
      <c r="X49" s="53" t="str">
        <f aca="false">IF(AND(ISNUMBER(P49),Q49&gt;0),P49*365/Q49,"")</f>
        <v/>
      </c>
      <c r="Y49" s="42" t="n">
        <f aca="false">IF(AND(C50=C49,ISNUMBER(R50)),R50,"")</f>
        <v>-0.0538145248766164</v>
      </c>
      <c r="Z49" s="52" t="n">
        <f aca="false">IF(AND(W49=1,Q49&gt;Basis_Analysis!$B$3,ISNUMBER(Y49)),1,0)</f>
        <v>1</v>
      </c>
      <c r="AA49" s="43" t="n">
        <f aca="false">IF(W49=1,IF(SUMIFS($L$2:$L$756,$B$2:$B$756,B49,$W$2:$W$756,2)&gt;0,SUMIFS($L$2:$L$756,$B$2:$B$756,B49,$W$2:$W$756,2),""),"")</f>
        <v>885900</v>
      </c>
      <c r="AB49" s="54" t="n">
        <f aca="false">IF(AND(W49=1,ISNUMBER(AA49)),L49/(L49+AA49),"")</f>
        <v>0.949616966098514</v>
      </c>
    </row>
    <row r="50" customFormat="false" ht="15" hidden="false" customHeight="true" outlineLevel="0" collapsed="false">
      <c r="A50" s="1" t="s">
        <v>274</v>
      </c>
      <c r="B50" s="46" t="n">
        <v>45693</v>
      </c>
      <c r="C50" s="46" t="n">
        <v>45715</v>
      </c>
      <c r="D50" s="47" t="n">
        <v>23825</v>
      </c>
      <c r="E50" s="47" t="n">
        <v>23853.8</v>
      </c>
      <c r="F50" s="47" t="n">
        <v>23755</v>
      </c>
      <c r="G50" s="47" t="n">
        <v>23772.6</v>
      </c>
      <c r="H50" s="47" t="n">
        <v>23757</v>
      </c>
      <c r="I50" s="47" t="n">
        <v>23772.6</v>
      </c>
      <c r="J50" s="48" t="n">
        <v>51116</v>
      </c>
      <c r="K50" s="47" t="n">
        <v>912928.48</v>
      </c>
      <c r="L50" s="48" t="n">
        <v>16613175</v>
      </c>
      <c r="M50" s="48" t="n">
        <v>-84225</v>
      </c>
      <c r="N50" s="47" t="n">
        <v>23696.3</v>
      </c>
      <c r="O50" s="47" t="n">
        <f aca="false">IF(AND(ISNUMBER(G50),ISNUMBER(N50)),G50-N50,"")</f>
        <v>76.2999999999993</v>
      </c>
      <c r="P50" s="49" t="n">
        <f aca="false">IF(ISNUMBER(O50),O50/N50,"")</f>
        <v>0.00321991196937916</v>
      </c>
      <c r="Q50" s="50" t="n">
        <f aca="false">C50-B50</f>
        <v>22</v>
      </c>
      <c r="R50" s="51" t="n">
        <f aca="false">IF(AND(C50=C49,ISNUMBER(G50),ISNUMBER(G49)),(G50/G49-1)*100,"")</f>
        <v>-0.0538145248766164</v>
      </c>
      <c r="S50" s="51" t="n">
        <f aca="false">IF(AND(C50=C49,ISNUMBER(L50),ISNUMBER(L49)),(L50/L49-1)*100,"")</f>
        <v>-0.504419849796978</v>
      </c>
      <c r="T50" s="51" t="n">
        <f aca="false">IF(AND(C50=C49,ISNUMBER(G50),ISNUMBER(G49)),G50-G49,"")</f>
        <v>-12.8000000000029</v>
      </c>
      <c r="U50" s="1" t="str">
        <f aca="false">IF(OR(NOT(ISNUMBER(R50)),NOT(ISNUMBER(S50))),"Not classified",IF(AND(R50&gt;0,S50&gt;0),"Long buildup (interpretation)",IF(AND(R50&lt;0,S50&gt;0),"Short buildup (interpretation)",IF(AND(R50&gt;0,S50&lt;0),"Short covering (interpretation)",IF(AND(R50&lt;0,S50&lt;0),"Long unwinding (interpretation)","Neutral")))))</f>
        <v>Long unwinding (interpretation)</v>
      </c>
      <c r="V50" s="52" t="str">
        <f aca="false">TEXT(B50,"yyyy-mm")</f>
        <v>2025-02</v>
      </c>
      <c r="W50" s="52" t="n">
        <f aca="false">1+COUNTIFS($B$2:$B$756,B50,$C$2:$C$756,"&lt;"&amp;C50)</f>
        <v>1</v>
      </c>
      <c r="X50" s="53" t="n">
        <f aca="false">IF(AND(ISNUMBER(P50),Q50&gt;0),P50*365/Q50,"")</f>
        <v>0.0534212667646996</v>
      </c>
      <c r="Y50" s="42" t="n">
        <f aca="false">IF(AND(C51=C50,ISNUMBER(R51)),R51,"")</f>
        <v>-0.352086014992037</v>
      </c>
      <c r="Z50" s="52" t="n">
        <f aca="false">IF(AND(W50=1,Q50&gt;Basis_Analysis!$B$3,ISNUMBER(Y50)),1,0)</f>
        <v>1</v>
      </c>
      <c r="AA50" s="43" t="n">
        <f aca="false">IF(W50=1,IF(SUMIFS($L$2:$L$756,$B$2:$B$756,B50,$W$2:$W$756,2)&gt;0,SUMIFS($L$2:$L$756,$B$2:$B$756,B50,$W$2:$W$756,2),""),"")</f>
        <v>888975</v>
      </c>
      <c r="AB50" s="54" t="n">
        <f aca="false">IF(AND(W50=1,ISNUMBER(AA50)),L50/(L50+AA50),"")</f>
        <v>0.949207668772122</v>
      </c>
    </row>
    <row r="51" customFormat="false" ht="15" hidden="false" customHeight="true" outlineLevel="0" collapsed="false">
      <c r="A51" s="1" t="s">
        <v>274</v>
      </c>
      <c r="B51" s="46" t="n">
        <v>45694</v>
      </c>
      <c r="C51" s="46" t="n">
        <v>45715</v>
      </c>
      <c r="D51" s="47" t="n">
        <v>23822.4</v>
      </c>
      <c r="E51" s="47" t="n">
        <v>23835</v>
      </c>
      <c r="F51" s="47" t="n">
        <v>23660</v>
      </c>
      <c r="G51" s="47" t="n">
        <v>23688.9</v>
      </c>
      <c r="H51" s="47" t="n">
        <v>23706.9</v>
      </c>
      <c r="I51" s="47" t="n">
        <v>23688.9</v>
      </c>
      <c r="J51" s="48" t="n">
        <v>55302</v>
      </c>
      <c r="K51" s="47" t="n">
        <v>983344.41</v>
      </c>
      <c r="L51" s="48" t="n">
        <v>16787400</v>
      </c>
      <c r="M51" s="48" t="n">
        <v>174225</v>
      </c>
      <c r="N51" s="47" t="n">
        <v>23603.35</v>
      </c>
      <c r="O51" s="47" t="n">
        <f aca="false">IF(AND(ISNUMBER(G51),ISNUMBER(N51)),G51-N51,"")</f>
        <v>85.5500000000029</v>
      </c>
      <c r="P51" s="49" t="n">
        <f aca="false">IF(ISNUMBER(O51),O51/N51,"")</f>
        <v>0.00362448550735395</v>
      </c>
      <c r="Q51" s="50" t="n">
        <f aca="false">C51-B51</f>
        <v>21</v>
      </c>
      <c r="R51" s="51" t="n">
        <f aca="false">IF(AND(C51=C50,ISNUMBER(G51),ISNUMBER(G50)),(G51/G50-1)*100,"")</f>
        <v>-0.352086014992037</v>
      </c>
      <c r="S51" s="51" t="n">
        <f aca="false">IF(AND(C51=C50,ISNUMBER(L51),ISNUMBER(L50)),(L51/L50-1)*100,"")</f>
        <v>1.0487158535319</v>
      </c>
      <c r="T51" s="51" t="n">
        <f aca="false">IF(AND(C51=C50,ISNUMBER(G51),ISNUMBER(G50)),G51-G50,"")</f>
        <v>-83.6999999999971</v>
      </c>
      <c r="U51" s="1" t="str">
        <f aca="false">IF(OR(NOT(ISNUMBER(R51)),NOT(ISNUMBER(S51))),"Not classified",IF(AND(R51&gt;0,S51&gt;0),"Long buildup (interpretation)",IF(AND(R51&lt;0,S51&gt;0),"Short buildup (interpretation)",IF(AND(R51&gt;0,S51&lt;0),"Short covering (interpretation)",IF(AND(R51&lt;0,S51&lt;0),"Long unwinding (interpretation)","Neutral")))))</f>
        <v>Short buildup (interpretation)</v>
      </c>
      <c r="V51" s="52" t="str">
        <f aca="false">TEXT(B51,"yyyy-mm")</f>
        <v>2025-02</v>
      </c>
      <c r="W51" s="52" t="n">
        <f aca="false">1+COUNTIFS($B$2:$B$756,B51,$C$2:$C$756,"&lt;"&amp;C51)</f>
        <v>1</v>
      </c>
      <c r="X51" s="53" t="n">
        <f aca="false">IF(AND(ISNUMBER(P51),Q51&gt;0),P51*365/Q51,"")</f>
        <v>0.0629970100087711</v>
      </c>
      <c r="Y51" s="42" t="n">
        <f aca="false">IF(AND(C52=C51,ISNUMBER(R52)),R52,"")</f>
        <v>-0.312171523371707</v>
      </c>
      <c r="Z51" s="52" t="n">
        <f aca="false">IF(AND(W51=1,Q51&gt;Basis_Analysis!$B$3,ISNUMBER(Y51)),1,0)</f>
        <v>1</v>
      </c>
      <c r="AA51" s="43" t="n">
        <f aca="false">IF(W51=1,IF(SUMIFS($L$2:$L$756,$B$2:$B$756,B51,$W$2:$W$756,2)&gt;0,SUMIFS($L$2:$L$756,$B$2:$B$756,B51,$W$2:$W$756,2),""),"")</f>
        <v>930525</v>
      </c>
      <c r="AB51" s="54" t="n">
        <f aca="false">IF(AND(W51=1,ISNUMBER(AA51)),L51/(L51+AA51),"")</f>
        <v>0.947481152561601</v>
      </c>
    </row>
    <row r="52" customFormat="false" ht="15" hidden="false" customHeight="true" outlineLevel="0" collapsed="false">
      <c r="A52" s="1" t="s">
        <v>274</v>
      </c>
      <c r="B52" s="46" t="n">
        <v>45695</v>
      </c>
      <c r="C52" s="46" t="n">
        <v>45715</v>
      </c>
      <c r="D52" s="47" t="n">
        <v>23712</v>
      </c>
      <c r="E52" s="47" t="n">
        <v>23794.65</v>
      </c>
      <c r="F52" s="47" t="n">
        <v>23521</v>
      </c>
      <c r="G52" s="47" t="n">
        <v>23614.95</v>
      </c>
      <c r="H52" s="47" t="n">
        <v>23622.85</v>
      </c>
      <c r="I52" s="47" t="n">
        <v>23614.95</v>
      </c>
      <c r="J52" s="48" t="n">
        <v>94840</v>
      </c>
      <c r="K52" s="47" t="n">
        <v>1682200.61</v>
      </c>
      <c r="L52" s="48" t="n">
        <v>16761000</v>
      </c>
      <c r="M52" s="48" t="n">
        <v>-26400</v>
      </c>
      <c r="N52" s="47" t="n">
        <v>23559.95</v>
      </c>
      <c r="O52" s="47" t="n">
        <f aca="false">IF(AND(ISNUMBER(G52),ISNUMBER(N52)),G52-N52,"")</f>
        <v>55</v>
      </c>
      <c r="P52" s="49" t="n">
        <f aca="false">IF(ISNUMBER(O52),O52/N52,"")</f>
        <v>0.00233447014955465</v>
      </c>
      <c r="Q52" s="50" t="n">
        <f aca="false">C52-B52</f>
        <v>20</v>
      </c>
      <c r="R52" s="51" t="n">
        <f aca="false">IF(AND(C52=C51,ISNUMBER(G52),ISNUMBER(G51)),(G52/G51-1)*100,"")</f>
        <v>-0.312171523371707</v>
      </c>
      <c r="S52" s="51" t="n">
        <f aca="false">IF(AND(C52=C51,ISNUMBER(L52),ISNUMBER(L51)),(L52/L51-1)*100,"")</f>
        <v>-0.157260802744919</v>
      </c>
      <c r="T52" s="51" t="n">
        <f aca="false">IF(AND(C52=C51,ISNUMBER(G52),ISNUMBER(G51)),G52-G51,"")</f>
        <v>-73.9500000000007</v>
      </c>
      <c r="U52" s="1" t="str">
        <f aca="false">IF(OR(NOT(ISNUMBER(R52)),NOT(ISNUMBER(S52))),"Not classified",IF(AND(R52&gt;0,S52&gt;0),"Long buildup (interpretation)",IF(AND(R52&lt;0,S52&gt;0),"Short buildup (interpretation)",IF(AND(R52&gt;0,S52&lt;0),"Short covering (interpretation)",IF(AND(R52&lt;0,S52&lt;0),"Long unwinding (interpretation)","Neutral")))))</f>
        <v>Long unwinding (interpretation)</v>
      </c>
      <c r="V52" s="52" t="str">
        <f aca="false">TEXT(B52,"yyyy-mm")</f>
        <v>2025-02</v>
      </c>
      <c r="W52" s="52" t="n">
        <f aca="false">1+COUNTIFS($B$2:$B$756,B52,$C$2:$C$756,"&lt;"&amp;C52)</f>
        <v>1</v>
      </c>
      <c r="X52" s="53" t="n">
        <f aca="false">IF(AND(ISNUMBER(P52),Q52&gt;0),P52*365/Q52,"")</f>
        <v>0.0426040802293723</v>
      </c>
      <c r="Y52" s="42" t="n">
        <f aca="false">IF(AND(C53=C52,ISNUMBER(R53)),R53,"")</f>
        <v>-0.659751555688237</v>
      </c>
      <c r="Z52" s="52" t="n">
        <f aca="false">IF(AND(W52=1,Q52&gt;Basis_Analysis!$B$3,ISNUMBER(Y52)),1,0)</f>
        <v>1</v>
      </c>
      <c r="AA52" s="43" t="n">
        <f aca="false">IF(W52=1,IF(SUMIFS($L$2:$L$756,$B$2:$B$756,B52,$W$2:$W$756,2)&gt;0,SUMIFS($L$2:$L$756,$B$2:$B$756,B52,$W$2:$W$756,2),""),"")</f>
        <v>963300</v>
      </c>
      <c r="AB52" s="54" t="n">
        <f aca="false">IF(AND(W52=1,ISNUMBER(AA52)),L52/(L52+AA52),"")</f>
        <v>0.945650886071664</v>
      </c>
    </row>
    <row r="53" customFormat="false" ht="15" hidden="false" customHeight="true" outlineLevel="0" collapsed="false">
      <c r="A53" s="1" t="s">
        <v>274</v>
      </c>
      <c r="B53" s="46" t="n">
        <v>45698</v>
      </c>
      <c r="C53" s="46" t="n">
        <v>45715</v>
      </c>
      <c r="D53" s="47" t="n">
        <v>23589.95</v>
      </c>
      <c r="E53" s="47" t="n">
        <v>23623</v>
      </c>
      <c r="F53" s="47" t="n">
        <v>23388</v>
      </c>
      <c r="G53" s="47" t="n">
        <v>23459.15</v>
      </c>
      <c r="H53" s="47" t="n">
        <v>23457.75</v>
      </c>
      <c r="I53" s="47" t="n">
        <v>23459.15</v>
      </c>
      <c r="J53" s="48" t="n">
        <v>68065</v>
      </c>
      <c r="K53" s="47" t="n">
        <v>1197950.15</v>
      </c>
      <c r="L53" s="48" t="n">
        <v>17100975</v>
      </c>
      <c r="M53" s="48" t="n">
        <v>339975</v>
      </c>
      <c r="N53" s="47" t="n">
        <v>23381.6</v>
      </c>
      <c r="O53" s="47" t="n">
        <f aca="false">IF(AND(ISNUMBER(G53),ISNUMBER(N53)),G53-N53,"")</f>
        <v>77.5500000000029</v>
      </c>
      <c r="P53" s="49" t="n">
        <f aca="false">IF(ISNUMBER(O53),O53/N53,"")</f>
        <v>0.00331671057583754</v>
      </c>
      <c r="Q53" s="50" t="n">
        <f aca="false">C53-B53</f>
        <v>17</v>
      </c>
      <c r="R53" s="51" t="n">
        <f aca="false">IF(AND(C53=C52,ISNUMBER(G53),ISNUMBER(G52)),(G53/G52-1)*100,"")</f>
        <v>-0.659751555688237</v>
      </c>
      <c r="S53" s="51" t="n">
        <f aca="false">IF(AND(C53=C52,ISNUMBER(L53),ISNUMBER(L52)),(L53/L52-1)*100,"")</f>
        <v>2.02836942903168</v>
      </c>
      <c r="T53" s="51" t="n">
        <f aca="false">IF(AND(C53=C52,ISNUMBER(G53),ISNUMBER(G52)),G53-G52,"")</f>
        <v>-155.799999999999</v>
      </c>
      <c r="U53" s="1" t="str">
        <f aca="false">IF(OR(NOT(ISNUMBER(R53)),NOT(ISNUMBER(S53))),"Not classified",IF(AND(R53&gt;0,S53&gt;0),"Long buildup (interpretation)",IF(AND(R53&lt;0,S53&gt;0),"Short buildup (interpretation)",IF(AND(R53&gt;0,S53&lt;0),"Short covering (interpretation)",IF(AND(R53&lt;0,S53&lt;0),"Long unwinding (interpretation)","Neutral")))))</f>
        <v>Short buildup (interpretation)</v>
      </c>
      <c r="V53" s="52" t="str">
        <f aca="false">TEXT(B53,"yyyy-mm")</f>
        <v>2025-02</v>
      </c>
      <c r="W53" s="52" t="n">
        <f aca="false">1+COUNTIFS($B$2:$B$756,B53,$C$2:$C$756,"&lt;"&amp;C53)</f>
        <v>1</v>
      </c>
      <c r="X53" s="53" t="n">
        <f aca="false">IF(AND(ISNUMBER(P53),Q53&gt;0),P53*365/Q53,"")</f>
        <v>0.071211727069453</v>
      </c>
      <c r="Y53" s="42" t="n">
        <f aca="false">IF(AND(C54=C53,ISNUMBER(R54)),R54,"")</f>
        <v>-1.30439508677851</v>
      </c>
      <c r="Z53" s="52" t="n">
        <f aca="false">IF(AND(W53=1,Q53&gt;Basis_Analysis!$B$3,ISNUMBER(Y53)),1,0)</f>
        <v>1</v>
      </c>
      <c r="AA53" s="43" t="n">
        <f aca="false">IF(W53=1,IF(SUMIFS($L$2:$L$756,$B$2:$B$756,B53,$W$2:$W$756,2)&gt;0,SUMIFS($L$2:$L$756,$B$2:$B$756,B53,$W$2:$W$756,2),""),"")</f>
        <v>1041825</v>
      </c>
      <c r="AB53" s="54" t="n">
        <f aca="false">IF(AND(W53=1,ISNUMBER(AA53)),L53/(L53+AA53),"")</f>
        <v>0.942576393941398</v>
      </c>
    </row>
    <row r="54" customFormat="false" ht="15" hidden="false" customHeight="true" outlineLevel="0" collapsed="false">
      <c r="A54" s="1" t="s">
        <v>274</v>
      </c>
      <c r="B54" s="46" t="n">
        <v>45699</v>
      </c>
      <c r="C54" s="46" t="n">
        <v>45715</v>
      </c>
      <c r="D54" s="47" t="n">
        <v>23421</v>
      </c>
      <c r="E54" s="47" t="n">
        <v>23470</v>
      </c>
      <c r="F54" s="47" t="n">
        <v>23060</v>
      </c>
      <c r="G54" s="47" t="n">
        <v>23153.15</v>
      </c>
      <c r="H54" s="47" t="n">
        <v>23139</v>
      </c>
      <c r="I54" s="47" t="n">
        <v>23153.15</v>
      </c>
      <c r="J54" s="48" t="n">
        <v>87766</v>
      </c>
      <c r="K54" s="47" t="n">
        <v>1529357.16</v>
      </c>
      <c r="L54" s="48" t="n">
        <v>17240925</v>
      </c>
      <c r="M54" s="48" t="n">
        <v>139950</v>
      </c>
      <c r="N54" s="47" t="n">
        <v>23071.8</v>
      </c>
      <c r="O54" s="47" t="n">
        <f aca="false">IF(AND(ISNUMBER(G54),ISNUMBER(N54)),G54-N54,"")</f>
        <v>81.3500000000022</v>
      </c>
      <c r="P54" s="49" t="n">
        <f aca="false">IF(ISNUMBER(O54),O54/N54,"")</f>
        <v>0.00352594942743965</v>
      </c>
      <c r="Q54" s="50" t="n">
        <f aca="false">C54-B54</f>
        <v>16</v>
      </c>
      <c r="R54" s="51" t="n">
        <f aca="false">IF(AND(C54=C53,ISNUMBER(G54),ISNUMBER(G53)),(G54/G53-1)*100,"")</f>
        <v>-1.30439508677851</v>
      </c>
      <c r="S54" s="51" t="n">
        <f aca="false">IF(AND(C54=C53,ISNUMBER(L54),ISNUMBER(L53)),(L54/L53-1)*100,"")</f>
        <v>0.81837439093384</v>
      </c>
      <c r="T54" s="51" t="n">
        <f aca="false">IF(AND(C54=C53,ISNUMBER(G54),ISNUMBER(G53)),G54-G53,"")</f>
        <v>-306</v>
      </c>
      <c r="U54" s="1" t="str">
        <f aca="false">IF(OR(NOT(ISNUMBER(R54)),NOT(ISNUMBER(S54))),"Not classified",IF(AND(R54&gt;0,S54&gt;0),"Long buildup (interpretation)",IF(AND(R54&lt;0,S54&gt;0),"Short buildup (interpretation)",IF(AND(R54&gt;0,S54&lt;0),"Short covering (interpretation)",IF(AND(R54&lt;0,S54&lt;0),"Long unwinding (interpretation)","Neutral")))))</f>
        <v>Short buildup (interpretation)</v>
      </c>
      <c r="V54" s="52" t="str">
        <f aca="false">TEXT(B54,"yyyy-mm")</f>
        <v>2025-02</v>
      </c>
      <c r="W54" s="52" t="n">
        <f aca="false">1+COUNTIFS($B$2:$B$756,B54,$C$2:$C$756,"&lt;"&amp;C54)</f>
        <v>1</v>
      </c>
      <c r="X54" s="53" t="n">
        <f aca="false">IF(AND(ISNUMBER(P54),Q54&gt;0),P54*365/Q54,"")</f>
        <v>0.0804357213134671</v>
      </c>
      <c r="Y54" s="42" t="n">
        <f aca="false">IF(AND(C55=C54,ISNUMBER(R55)),R55,"")</f>
        <v>-0.126548655366565</v>
      </c>
      <c r="Z54" s="52" t="n">
        <f aca="false">IF(AND(W54=1,Q54&gt;Basis_Analysis!$B$3,ISNUMBER(Y54)),1,0)</f>
        <v>1</v>
      </c>
      <c r="AA54" s="43" t="n">
        <f aca="false">IF(W54=1,IF(SUMIFS($L$2:$L$756,$B$2:$B$756,B54,$W$2:$W$756,2)&gt;0,SUMIFS($L$2:$L$756,$B$2:$B$756,B54,$W$2:$W$756,2),""),"")</f>
        <v>1152825</v>
      </c>
      <c r="AB54" s="54" t="n">
        <f aca="false">IF(AND(W54=1,ISNUMBER(AA54)),L54/(L54+AA54),"")</f>
        <v>0.937325178389399</v>
      </c>
    </row>
    <row r="55" customFormat="false" ht="15" hidden="false" customHeight="true" outlineLevel="0" collapsed="false">
      <c r="A55" s="1" t="s">
        <v>274</v>
      </c>
      <c r="B55" s="46" t="n">
        <v>45700</v>
      </c>
      <c r="C55" s="46" t="n">
        <v>45715</v>
      </c>
      <c r="D55" s="47" t="n">
        <v>23134.4</v>
      </c>
      <c r="E55" s="47" t="n">
        <v>23236.45</v>
      </c>
      <c r="F55" s="47" t="n">
        <v>22900</v>
      </c>
      <c r="G55" s="47" t="n">
        <v>23123.85</v>
      </c>
      <c r="H55" s="47" t="n">
        <v>23132</v>
      </c>
      <c r="I55" s="47" t="n">
        <v>23123.85</v>
      </c>
      <c r="J55" s="48" t="n">
        <v>132065</v>
      </c>
      <c r="K55" s="47" t="n">
        <v>2285259.85</v>
      </c>
      <c r="L55" s="48" t="n">
        <v>17572200</v>
      </c>
      <c r="M55" s="48" t="n">
        <v>331275</v>
      </c>
      <c r="N55" s="47" t="n">
        <v>23045.25</v>
      </c>
      <c r="O55" s="47" t="n">
        <f aca="false">IF(AND(ISNUMBER(G55),ISNUMBER(N55)),G55-N55,"")</f>
        <v>78.5999999999985</v>
      </c>
      <c r="P55" s="49" t="n">
        <f aca="false">IF(ISNUMBER(O55),O55/N55,"")</f>
        <v>0.00341068115989189</v>
      </c>
      <c r="Q55" s="50" t="n">
        <f aca="false">C55-B55</f>
        <v>15</v>
      </c>
      <c r="R55" s="51" t="n">
        <f aca="false">IF(AND(C55=C54,ISNUMBER(G55),ISNUMBER(G54)),(G55/G54-1)*100,"")</f>
        <v>-0.126548655366565</v>
      </c>
      <c r="S55" s="51" t="n">
        <f aca="false">IF(AND(C55=C54,ISNUMBER(L55),ISNUMBER(L54)),(L55/L54-1)*100,"")</f>
        <v>1.92144563009236</v>
      </c>
      <c r="T55" s="51" t="n">
        <f aca="false">IF(AND(C55=C54,ISNUMBER(G55),ISNUMBER(G54)),G55-G54,"")</f>
        <v>-29.3000000000029</v>
      </c>
      <c r="U55" s="1" t="str">
        <f aca="false">IF(OR(NOT(ISNUMBER(R55)),NOT(ISNUMBER(S55))),"Not classified",IF(AND(R55&gt;0,S55&gt;0),"Long buildup (interpretation)",IF(AND(R55&lt;0,S55&gt;0),"Short buildup (interpretation)",IF(AND(R55&gt;0,S55&lt;0),"Short covering (interpretation)",IF(AND(R55&lt;0,S55&lt;0),"Long unwinding (interpretation)","Neutral")))))</f>
        <v>Short buildup (interpretation)</v>
      </c>
      <c r="V55" s="52" t="str">
        <f aca="false">TEXT(B55,"yyyy-mm")</f>
        <v>2025-02</v>
      </c>
      <c r="W55" s="52" t="n">
        <f aca="false">1+COUNTIFS($B$2:$B$756,B55,$C$2:$C$756,"&lt;"&amp;C55)</f>
        <v>1</v>
      </c>
      <c r="X55" s="53" t="n">
        <f aca="false">IF(AND(ISNUMBER(P55),Q55&gt;0),P55*365/Q55,"")</f>
        <v>0.0829932415573693</v>
      </c>
      <c r="Y55" s="42" t="n">
        <f aca="false">IF(AND(C56=C55,ISNUMBER(R56)),R56,"")</f>
        <v>-0.0696250840582224</v>
      </c>
      <c r="Z55" s="52" t="n">
        <f aca="false">IF(AND(W55=1,Q55&gt;Basis_Analysis!$B$3,ISNUMBER(Y55)),1,0)</f>
        <v>1</v>
      </c>
      <c r="AA55" s="43" t="n">
        <f aca="false">IF(W55=1,IF(SUMIFS($L$2:$L$756,$B$2:$B$756,B55,$W$2:$W$756,2)&gt;0,SUMIFS($L$2:$L$756,$B$2:$B$756,B55,$W$2:$W$756,2),""),"")</f>
        <v>1292625</v>
      </c>
      <c r="AB55" s="54" t="n">
        <f aca="false">IF(AND(W55=1,ISNUMBER(AA55)),L55/(L55+AA55),"")</f>
        <v>0.931479618814381</v>
      </c>
    </row>
    <row r="56" customFormat="false" ht="15" hidden="false" customHeight="true" outlineLevel="0" collapsed="false">
      <c r="A56" s="1" t="s">
        <v>274</v>
      </c>
      <c r="B56" s="46" t="n">
        <v>45701</v>
      </c>
      <c r="C56" s="46" t="n">
        <v>45715</v>
      </c>
      <c r="D56" s="47" t="n">
        <v>23119</v>
      </c>
      <c r="E56" s="47" t="n">
        <v>23310</v>
      </c>
      <c r="F56" s="47" t="n">
        <v>23066</v>
      </c>
      <c r="G56" s="47" t="n">
        <v>23107.75</v>
      </c>
      <c r="H56" s="47" t="n">
        <v>23094.65</v>
      </c>
      <c r="I56" s="47" t="n">
        <v>23107.75</v>
      </c>
      <c r="J56" s="48" t="n">
        <v>82593</v>
      </c>
      <c r="K56" s="47" t="n">
        <v>1436407.45</v>
      </c>
      <c r="L56" s="48" t="n">
        <v>17272950</v>
      </c>
      <c r="M56" s="48" t="n">
        <v>-299250</v>
      </c>
      <c r="N56" s="47" t="n">
        <v>23031.4</v>
      </c>
      <c r="O56" s="47" t="n">
        <f aca="false">IF(AND(ISNUMBER(G56),ISNUMBER(N56)),G56-N56,"")</f>
        <v>76.3499999999985</v>
      </c>
      <c r="P56" s="49" t="n">
        <f aca="false">IF(ISNUMBER(O56),O56/N56,"")</f>
        <v>0.00331503946785686</v>
      </c>
      <c r="Q56" s="50" t="n">
        <f aca="false">C56-B56</f>
        <v>14</v>
      </c>
      <c r="R56" s="51" t="n">
        <f aca="false">IF(AND(C56=C55,ISNUMBER(G56),ISNUMBER(G55)),(G56/G55-1)*100,"")</f>
        <v>-0.0696250840582224</v>
      </c>
      <c r="S56" s="51" t="n">
        <f aca="false">IF(AND(C56=C55,ISNUMBER(L56),ISNUMBER(L55)),(L56/L55-1)*100,"")</f>
        <v>-1.70297401577492</v>
      </c>
      <c r="T56" s="51" t="n">
        <f aca="false">IF(AND(C56=C55,ISNUMBER(G56),ISNUMBER(G55)),G56-G55,"")</f>
        <v>-16.0999999999985</v>
      </c>
      <c r="U56" s="1" t="str">
        <f aca="false">IF(OR(NOT(ISNUMBER(R56)),NOT(ISNUMBER(S56))),"Not classified",IF(AND(R56&gt;0,S56&gt;0),"Long buildup (interpretation)",IF(AND(R56&lt;0,S56&gt;0),"Short buildup (interpretation)",IF(AND(R56&gt;0,S56&lt;0),"Short covering (interpretation)",IF(AND(R56&lt;0,S56&lt;0),"Long unwinding (interpretation)","Neutral")))))</f>
        <v>Long unwinding (interpretation)</v>
      </c>
      <c r="V56" s="52" t="str">
        <f aca="false">TEXT(B56,"yyyy-mm")</f>
        <v>2025-02</v>
      </c>
      <c r="W56" s="52" t="n">
        <f aca="false">1+COUNTIFS($B$2:$B$756,B56,$C$2:$C$756,"&lt;"&amp;C56)</f>
        <v>1</v>
      </c>
      <c r="X56" s="53" t="n">
        <f aca="false">IF(AND(ISNUMBER(P56),Q56&gt;0),P56*365/Q56,"")</f>
        <v>0.0864278146976968</v>
      </c>
      <c r="Y56" s="42" t="n">
        <f aca="false">IF(AND(C57=C56,ISNUMBER(R57)),R57,"")</f>
        <v>-0.485118629031378</v>
      </c>
      <c r="Z56" s="52" t="n">
        <f aca="false">IF(AND(W56=1,Q56&gt;Basis_Analysis!$B$3,ISNUMBER(Y56)),1,0)</f>
        <v>1</v>
      </c>
      <c r="AA56" s="43" t="n">
        <f aca="false">IF(W56=1,IF(SUMIFS($L$2:$L$756,$B$2:$B$756,B56,$W$2:$W$756,2)&gt;0,SUMIFS($L$2:$L$756,$B$2:$B$756,B56,$W$2:$W$756,2),""),"")</f>
        <v>1432575</v>
      </c>
      <c r="AB56" s="54" t="n">
        <f aca="false">IF(AND(W56=1,ISNUMBER(AA56)),L56/(L56+AA56),"")</f>
        <v>0.923414338811661</v>
      </c>
    </row>
    <row r="57" customFormat="false" ht="15" hidden="false" customHeight="true" outlineLevel="0" collapsed="false">
      <c r="A57" s="1" t="s">
        <v>274</v>
      </c>
      <c r="B57" s="46" t="n">
        <v>45702</v>
      </c>
      <c r="C57" s="46" t="n">
        <v>45715</v>
      </c>
      <c r="D57" s="47" t="n">
        <v>23169</v>
      </c>
      <c r="E57" s="47" t="n">
        <v>23205.5</v>
      </c>
      <c r="F57" s="47" t="n">
        <v>22846.45</v>
      </c>
      <c r="G57" s="47" t="n">
        <v>22995.65</v>
      </c>
      <c r="H57" s="47" t="n">
        <v>22972.3</v>
      </c>
      <c r="I57" s="47" t="n">
        <v>22995.65</v>
      </c>
      <c r="J57" s="48" t="n">
        <v>109312</v>
      </c>
      <c r="K57" s="47" t="n">
        <v>1886074.7</v>
      </c>
      <c r="L57" s="48" t="n">
        <v>17385600</v>
      </c>
      <c r="M57" s="48" t="n">
        <v>112650</v>
      </c>
      <c r="N57" s="47" t="n">
        <v>22929.25</v>
      </c>
      <c r="O57" s="47" t="n">
        <f aca="false">IF(AND(ISNUMBER(G57),ISNUMBER(N57)),G57-N57,"")</f>
        <v>66.4000000000015</v>
      </c>
      <c r="P57" s="49" t="n">
        <f aca="false">IF(ISNUMBER(O57),O57/N57,"")</f>
        <v>0.00289586445260972</v>
      </c>
      <c r="Q57" s="50" t="n">
        <f aca="false">C57-B57</f>
        <v>13</v>
      </c>
      <c r="R57" s="51" t="n">
        <f aca="false">IF(AND(C57=C56,ISNUMBER(G57),ISNUMBER(G56)),(G57/G56-1)*100,"")</f>
        <v>-0.485118629031378</v>
      </c>
      <c r="S57" s="51" t="n">
        <f aca="false">IF(AND(C57=C56,ISNUMBER(L57),ISNUMBER(L56)),(L57/L56-1)*100,"")</f>
        <v>0.652175800890986</v>
      </c>
      <c r="T57" s="51" t="n">
        <f aca="false">IF(AND(C57=C56,ISNUMBER(G57),ISNUMBER(G56)),G57-G56,"")</f>
        <v>-112.099999999999</v>
      </c>
      <c r="U57" s="1" t="str">
        <f aca="false">IF(OR(NOT(ISNUMBER(R57)),NOT(ISNUMBER(S57))),"Not classified",IF(AND(R57&gt;0,S57&gt;0),"Long buildup (interpretation)",IF(AND(R57&lt;0,S57&gt;0),"Short buildup (interpretation)",IF(AND(R57&gt;0,S57&lt;0),"Short covering (interpretation)",IF(AND(R57&lt;0,S57&lt;0),"Long unwinding (interpretation)","Neutral")))))</f>
        <v>Short buildup (interpretation)</v>
      </c>
      <c r="V57" s="52" t="str">
        <f aca="false">TEXT(B57,"yyyy-mm")</f>
        <v>2025-02</v>
      </c>
      <c r="W57" s="52" t="n">
        <f aca="false">1+COUNTIFS($B$2:$B$756,B57,$C$2:$C$756,"&lt;"&amp;C57)</f>
        <v>1</v>
      </c>
      <c r="X57" s="53" t="n">
        <f aca="false">IF(AND(ISNUMBER(P57),Q57&gt;0),P57*365/Q57,"")</f>
        <v>0.0813069634771191</v>
      </c>
      <c r="Y57" s="42" t="n">
        <f aca="false">IF(AND(C58=C57,ISNUMBER(R58)),R58,"")</f>
        <v>0.133720942873983</v>
      </c>
      <c r="Z57" s="52" t="n">
        <f aca="false">IF(AND(W57=1,Q57&gt;Basis_Analysis!$B$3,ISNUMBER(Y57)),1,0)</f>
        <v>1</v>
      </c>
      <c r="AA57" s="43" t="n">
        <f aca="false">IF(W57=1,IF(SUMIFS($L$2:$L$756,$B$2:$B$756,B57,$W$2:$W$756,2)&gt;0,SUMIFS($L$2:$L$756,$B$2:$B$756,B57,$W$2:$W$756,2),""),"")</f>
        <v>1659225</v>
      </c>
      <c r="AB57" s="54" t="n">
        <f aca="false">IF(AND(W57=1,ISNUMBER(AA57)),L57/(L57+AA57),"")</f>
        <v>0.912877907778097</v>
      </c>
    </row>
    <row r="58" customFormat="false" ht="15" hidden="false" customHeight="true" outlineLevel="0" collapsed="false">
      <c r="A58" s="1" t="s">
        <v>274</v>
      </c>
      <c r="B58" s="46" t="n">
        <v>45705</v>
      </c>
      <c r="C58" s="46" t="n">
        <v>45715</v>
      </c>
      <c r="D58" s="47" t="n">
        <v>22945.4</v>
      </c>
      <c r="E58" s="47" t="n">
        <v>23049</v>
      </c>
      <c r="F58" s="47" t="n">
        <v>22826.25</v>
      </c>
      <c r="G58" s="47" t="n">
        <v>23026.4</v>
      </c>
      <c r="H58" s="47" t="n">
        <v>23043.4</v>
      </c>
      <c r="I58" s="47" t="n">
        <v>23026.4</v>
      </c>
      <c r="J58" s="48" t="n">
        <v>92954</v>
      </c>
      <c r="K58" s="47" t="n">
        <v>1599595.26</v>
      </c>
      <c r="L58" s="48" t="n">
        <v>17193300</v>
      </c>
      <c r="M58" s="48" t="n">
        <v>-192300</v>
      </c>
      <c r="N58" s="47" t="n">
        <v>22959.5</v>
      </c>
      <c r="O58" s="47" t="n">
        <f aca="false">IF(AND(ISNUMBER(G58),ISNUMBER(N58)),G58-N58,"")</f>
        <v>66.9000000000015</v>
      </c>
      <c r="P58" s="49" t="n">
        <f aca="false">IF(ISNUMBER(O58),O58/N58,"")</f>
        <v>0.00291382652061245</v>
      </c>
      <c r="Q58" s="50" t="n">
        <f aca="false">C58-B58</f>
        <v>10</v>
      </c>
      <c r="R58" s="51" t="n">
        <f aca="false">IF(AND(C58=C57,ISNUMBER(G58),ISNUMBER(G57)),(G58/G57-1)*100,"")</f>
        <v>0.133720942873983</v>
      </c>
      <c r="S58" s="51" t="n">
        <f aca="false">IF(AND(C58=C57,ISNUMBER(L58),ISNUMBER(L57)),(L58/L57-1)*100,"")</f>
        <v>-1.10608779679735</v>
      </c>
      <c r="T58" s="51" t="n">
        <f aca="false">IF(AND(C58=C57,ISNUMBER(G58),ISNUMBER(G57)),G58-G57,"")</f>
        <v>30.75</v>
      </c>
      <c r="U58" s="1" t="str">
        <f aca="false">IF(OR(NOT(ISNUMBER(R58)),NOT(ISNUMBER(S58))),"Not classified",IF(AND(R58&gt;0,S58&gt;0),"Long buildup (interpretation)",IF(AND(R58&lt;0,S58&gt;0),"Short buildup (interpretation)",IF(AND(R58&gt;0,S58&lt;0),"Short covering (interpretation)",IF(AND(R58&lt;0,S58&lt;0),"Long unwinding (interpretation)","Neutral")))))</f>
        <v>Short covering (interpretation)</v>
      </c>
      <c r="V58" s="52" t="str">
        <f aca="false">TEXT(B58,"yyyy-mm")</f>
        <v>2025-02</v>
      </c>
      <c r="W58" s="52" t="n">
        <f aca="false">1+COUNTIFS($B$2:$B$756,B58,$C$2:$C$756,"&lt;"&amp;C58)</f>
        <v>1</v>
      </c>
      <c r="X58" s="53" t="n">
        <f aca="false">IF(AND(ISNUMBER(P58),Q58&gt;0),P58*365/Q58,"")</f>
        <v>0.106354668002354</v>
      </c>
      <c r="Y58" s="42" t="n">
        <f aca="false">IF(AND(C59=C58,ISNUMBER(R59)),R59,"")</f>
        <v>-0.233644859813098</v>
      </c>
      <c r="Z58" s="52" t="n">
        <f aca="false">IF(AND(W58=1,Q58&gt;Basis_Analysis!$B$3,ISNUMBER(Y58)),1,0)</f>
        <v>1</v>
      </c>
      <c r="AA58" s="43" t="n">
        <f aca="false">IF(W58=1,IF(SUMIFS($L$2:$L$756,$B$2:$B$756,B58,$W$2:$W$756,2)&gt;0,SUMIFS($L$2:$L$756,$B$2:$B$756,B58,$W$2:$W$756,2),""),"")</f>
        <v>1804125</v>
      </c>
      <c r="AB58" s="54" t="n">
        <f aca="false">IF(AND(W58=1,ISNUMBER(AA58)),L58/(L58+AA58),"")</f>
        <v>0.905033182128631</v>
      </c>
    </row>
    <row r="59" customFormat="false" ht="15" hidden="false" customHeight="true" outlineLevel="0" collapsed="false">
      <c r="A59" s="1" t="s">
        <v>274</v>
      </c>
      <c r="B59" s="46" t="n">
        <v>45706</v>
      </c>
      <c r="C59" s="46" t="n">
        <v>45715</v>
      </c>
      <c r="D59" s="47" t="n">
        <v>23029.1</v>
      </c>
      <c r="E59" s="47" t="n">
        <v>23029.1</v>
      </c>
      <c r="F59" s="47" t="n">
        <v>22838.8</v>
      </c>
      <c r="G59" s="47" t="n">
        <v>22972.6</v>
      </c>
      <c r="H59" s="47" t="n">
        <v>22948.1</v>
      </c>
      <c r="I59" s="47" t="n">
        <v>22972.6</v>
      </c>
      <c r="J59" s="48" t="n">
        <v>73098</v>
      </c>
      <c r="K59" s="47" t="n">
        <v>1257358.56</v>
      </c>
      <c r="L59" s="48" t="n">
        <v>16780425</v>
      </c>
      <c r="M59" s="48" t="n">
        <v>-412875</v>
      </c>
      <c r="N59" s="47" t="n">
        <v>22945.3</v>
      </c>
      <c r="O59" s="47" t="n">
        <f aca="false">IF(AND(ISNUMBER(G59),ISNUMBER(N59)),G59-N59,"")</f>
        <v>27.2999999999993</v>
      </c>
      <c r="P59" s="49" t="n">
        <f aca="false">IF(ISNUMBER(O59),O59/N59,"")</f>
        <v>0.0011897861435675</v>
      </c>
      <c r="Q59" s="50" t="n">
        <f aca="false">C59-B59</f>
        <v>9</v>
      </c>
      <c r="R59" s="51" t="n">
        <f aca="false">IF(AND(C59=C58,ISNUMBER(G59),ISNUMBER(G58)),(G59/G58-1)*100,"")</f>
        <v>-0.233644859813098</v>
      </c>
      <c r="S59" s="51" t="n">
        <f aca="false">IF(AND(C59=C58,ISNUMBER(L59),ISNUMBER(L58)),(L59/L58-1)*100,"")</f>
        <v>-2.40137146446581</v>
      </c>
      <c r="T59" s="51" t="n">
        <f aca="false">IF(AND(C59=C58,ISNUMBER(G59),ISNUMBER(G58)),G59-G58,"")</f>
        <v>-53.8000000000029</v>
      </c>
      <c r="U59" s="1" t="str">
        <f aca="false">IF(OR(NOT(ISNUMBER(R59)),NOT(ISNUMBER(S59))),"Not classified",IF(AND(R59&gt;0,S59&gt;0),"Long buildup (interpretation)",IF(AND(R59&lt;0,S59&gt;0),"Short buildup (interpretation)",IF(AND(R59&gt;0,S59&lt;0),"Short covering (interpretation)",IF(AND(R59&lt;0,S59&lt;0),"Long unwinding (interpretation)","Neutral")))))</f>
        <v>Long unwinding (interpretation)</v>
      </c>
      <c r="V59" s="52" t="str">
        <f aca="false">TEXT(B59,"yyyy-mm")</f>
        <v>2025-02</v>
      </c>
      <c r="W59" s="52" t="n">
        <f aca="false">1+COUNTIFS($B$2:$B$756,B59,$C$2:$C$756,"&lt;"&amp;C59)</f>
        <v>1</v>
      </c>
      <c r="X59" s="53" t="n">
        <f aca="false">IF(AND(ISNUMBER(P59),Q59&gt;0),P59*365/Q59,"")</f>
        <v>0.0482524380446818</v>
      </c>
      <c r="Y59" s="42" t="n">
        <f aca="false">IF(AND(C60=C59,ISNUMBER(R60)),R60,"")</f>
        <v>-0.0352593959760728</v>
      </c>
      <c r="Z59" s="52" t="n">
        <f aca="false">IF(AND(W59=1,Q59&gt;Basis_Analysis!$B$3,ISNUMBER(Y59)),1,0)</f>
        <v>1</v>
      </c>
      <c r="AA59" s="43" t="n">
        <f aca="false">IF(W59=1,IF(SUMIFS($L$2:$L$756,$B$2:$B$756,B59,$W$2:$W$756,2)&gt;0,SUMIFS($L$2:$L$756,$B$2:$B$756,B59,$W$2:$W$756,2),""),"")</f>
        <v>2020050</v>
      </c>
      <c r="AB59" s="54" t="n">
        <f aca="false">IF(AND(W59=1,ISNUMBER(AA59)),L59/(L59+AA59),"")</f>
        <v>0.892553246659991</v>
      </c>
    </row>
    <row r="60" customFormat="false" ht="15" hidden="false" customHeight="true" outlineLevel="0" collapsed="false">
      <c r="A60" s="1" t="s">
        <v>274</v>
      </c>
      <c r="B60" s="46" t="n">
        <v>45707</v>
      </c>
      <c r="C60" s="46" t="n">
        <v>45715</v>
      </c>
      <c r="D60" s="47" t="n">
        <v>22900.2</v>
      </c>
      <c r="E60" s="47" t="n">
        <v>23106.2</v>
      </c>
      <c r="F60" s="47" t="n">
        <v>22881.15</v>
      </c>
      <c r="G60" s="47" t="n">
        <v>22964.5</v>
      </c>
      <c r="H60" s="47" t="n">
        <v>22950</v>
      </c>
      <c r="I60" s="47" t="n">
        <v>22964.5</v>
      </c>
      <c r="J60" s="48" t="n">
        <v>86464</v>
      </c>
      <c r="K60" s="47" t="n">
        <v>1491427.08</v>
      </c>
      <c r="L60" s="48" t="n">
        <v>16659825</v>
      </c>
      <c r="M60" s="48" t="n">
        <v>-120600</v>
      </c>
      <c r="N60" s="47" t="n">
        <v>22932.9</v>
      </c>
      <c r="O60" s="47" t="n">
        <f aca="false">IF(AND(ISNUMBER(G60),ISNUMBER(N60)),G60-N60,"")</f>
        <v>31.5999999999985</v>
      </c>
      <c r="P60" s="49" t="n">
        <f aca="false">IF(ISNUMBER(O60),O60/N60,"")</f>
        <v>0.00137793301326908</v>
      </c>
      <c r="Q60" s="50" t="n">
        <f aca="false">C60-B60</f>
        <v>8</v>
      </c>
      <c r="R60" s="51" t="n">
        <f aca="false">IF(AND(C60=C59,ISNUMBER(G60),ISNUMBER(G59)),(G60/G59-1)*100,"")</f>
        <v>-0.0352593959760728</v>
      </c>
      <c r="S60" s="51" t="n">
        <f aca="false">IF(AND(C60=C59,ISNUMBER(L60),ISNUMBER(L59)),(L60/L59-1)*100,"")</f>
        <v>-0.71869455034661</v>
      </c>
      <c r="T60" s="51" t="n">
        <f aca="false">IF(AND(C60=C59,ISNUMBER(G60),ISNUMBER(G59)),G60-G59,"")</f>
        <v>-8.09999999999855</v>
      </c>
      <c r="U60" s="1" t="str">
        <f aca="false">IF(OR(NOT(ISNUMBER(R60)),NOT(ISNUMBER(S60))),"Not classified",IF(AND(R60&gt;0,S60&gt;0),"Long buildup (interpretation)",IF(AND(R60&lt;0,S60&gt;0),"Short buildup (interpretation)",IF(AND(R60&gt;0,S60&lt;0),"Short covering (interpretation)",IF(AND(R60&lt;0,S60&lt;0),"Long unwinding (interpretation)","Neutral")))))</f>
        <v>Long unwinding (interpretation)</v>
      </c>
      <c r="V60" s="52" t="str">
        <f aca="false">TEXT(B60,"yyyy-mm")</f>
        <v>2025-02</v>
      </c>
      <c r="W60" s="52" t="n">
        <f aca="false">1+COUNTIFS($B$2:$B$756,B60,$C$2:$C$756,"&lt;"&amp;C60)</f>
        <v>1</v>
      </c>
      <c r="X60" s="53" t="n">
        <f aca="false">IF(AND(ISNUMBER(P60),Q60&gt;0),P60*365/Q60,"")</f>
        <v>0.0628681937304019</v>
      </c>
      <c r="Y60" s="42" t="n">
        <f aca="false">IF(AND(C61=C60,ISNUMBER(R61)),R61,"")</f>
        <v>-0.0958000391909297</v>
      </c>
      <c r="Z60" s="52" t="n">
        <f aca="false">IF(AND(W60=1,Q60&gt;Basis_Analysis!$B$3,ISNUMBER(Y60)),1,0)</f>
        <v>1</v>
      </c>
      <c r="AA60" s="43" t="n">
        <f aca="false">IF(W60=1,IF(SUMIFS($L$2:$L$756,$B$2:$B$756,B60,$W$2:$W$756,2)&gt;0,SUMIFS($L$2:$L$756,$B$2:$B$756,B60,$W$2:$W$756,2),""),"")</f>
        <v>2306175</v>
      </c>
      <c r="AB60" s="54" t="n">
        <f aca="false">IF(AND(W60=1,ISNUMBER(AA60)),L60/(L60+AA60),"")</f>
        <v>0.878404776969314</v>
      </c>
    </row>
    <row r="61" customFormat="false" ht="15" hidden="false" customHeight="true" outlineLevel="0" collapsed="false">
      <c r="A61" s="1" t="s">
        <v>274</v>
      </c>
      <c r="B61" s="46" t="n">
        <v>45708</v>
      </c>
      <c r="C61" s="46" t="n">
        <v>45715</v>
      </c>
      <c r="D61" s="47" t="n">
        <v>22895</v>
      </c>
      <c r="E61" s="47" t="n">
        <v>22960.95</v>
      </c>
      <c r="F61" s="47" t="n">
        <v>22855</v>
      </c>
      <c r="G61" s="47" t="n">
        <v>22942.5</v>
      </c>
      <c r="H61" s="47" t="n">
        <v>22934.9</v>
      </c>
      <c r="I61" s="47" t="n">
        <v>22942.5</v>
      </c>
      <c r="J61" s="48" t="n">
        <v>54621</v>
      </c>
      <c r="K61" s="47" t="n">
        <v>939120.41</v>
      </c>
      <c r="L61" s="48" t="n">
        <v>16391775</v>
      </c>
      <c r="M61" s="48" t="n">
        <v>-268050</v>
      </c>
      <c r="N61" s="47" t="n">
        <v>22913.15</v>
      </c>
      <c r="O61" s="47" t="n">
        <f aca="false">IF(AND(ISNUMBER(G61),ISNUMBER(N61)),G61-N61,"")</f>
        <v>29.3499999999985</v>
      </c>
      <c r="P61" s="49" t="n">
        <f aca="false">IF(ISNUMBER(O61),O61/N61,"")</f>
        <v>0.00128092383631227</v>
      </c>
      <c r="Q61" s="50" t="n">
        <f aca="false">C61-B61</f>
        <v>7</v>
      </c>
      <c r="R61" s="51" t="n">
        <f aca="false">IF(AND(C61=C60,ISNUMBER(G61),ISNUMBER(G60)),(G61/G60-1)*100,"")</f>
        <v>-0.0958000391909297</v>
      </c>
      <c r="S61" s="51" t="n">
        <f aca="false">IF(AND(C61=C60,ISNUMBER(L61),ISNUMBER(L60)),(L61/L60-1)*100,"")</f>
        <v>-1.60896047827633</v>
      </c>
      <c r="T61" s="51" t="n">
        <f aca="false">IF(AND(C61=C60,ISNUMBER(G61),ISNUMBER(G60)),G61-G60,"")</f>
        <v>-22</v>
      </c>
      <c r="U61" s="1" t="str">
        <f aca="false">IF(OR(NOT(ISNUMBER(R61)),NOT(ISNUMBER(S61))),"Not classified",IF(AND(R61&gt;0,S61&gt;0),"Long buildup (interpretation)",IF(AND(R61&lt;0,S61&gt;0),"Short buildup (interpretation)",IF(AND(R61&gt;0,S61&lt;0),"Short covering (interpretation)",IF(AND(R61&lt;0,S61&lt;0),"Long unwinding (interpretation)","Neutral")))))</f>
        <v>Long unwinding (interpretation)</v>
      </c>
      <c r="V61" s="52" t="str">
        <f aca="false">TEXT(B61,"yyyy-mm")</f>
        <v>2025-02</v>
      </c>
      <c r="W61" s="52" t="n">
        <f aca="false">1+COUNTIFS($B$2:$B$756,B61,$C$2:$C$756,"&lt;"&amp;C61)</f>
        <v>1</v>
      </c>
      <c r="X61" s="53" t="n">
        <f aca="false">IF(AND(ISNUMBER(P61),Q61&gt;0),P61*365/Q61,"")</f>
        <v>0.0667910286077113</v>
      </c>
      <c r="Y61" s="42" t="n">
        <f aca="false">IF(AND(C62=C61,ISNUMBER(R62)),R62,"")</f>
        <v>-0.522610875013629</v>
      </c>
      <c r="Z61" s="52" t="n">
        <f aca="false">IF(AND(W61=1,Q61&gt;Basis_Analysis!$B$3,ISNUMBER(Y61)),1,0)</f>
        <v>1</v>
      </c>
      <c r="AA61" s="43" t="n">
        <f aca="false">IF(W61=1,IF(SUMIFS($L$2:$L$756,$B$2:$B$756,B61,$W$2:$W$756,2)&gt;0,SUMIFS($L$2:$L$756,$B$2:$B$756,B61,$W$2:$W$756,2),""),"")</f>
        <v>2879400</v>
      </c>
      <c r="AB61" s="54" t="n">
        <f aca="false">IF(AND(W61=1,ISNUMBER(AA61)),L61/(L61+AA61),"")</f>
        <v>0.85058513557165</v>
      </c>
    </row>
    <row r="62" customFormat="false" ht="15" hidden="false" customHeight="true" outlineLevel="0" collapsed="false">
      <c r="A62" s="1" t="s">
        <v>274</v>
      </c>
      <c r="B62" s="46" t="n">
        <v>45709</v>
      </c>
      <c r="C62" s="46" t="n">
        <v>45715</v>
      </c>
      <c r="D62" s="47" t="n">
        <v>22880</v>
      </c>
      <c r="E62" s="47" t="n">
        <v>22940.25</v>
      </c>
      <c r="F62" s="47" t="n">
        <v>22757.75</v>
      </c>
      <c r="G62" s="47" t="n">
        <v>22822.6</v>
      </c>
      <c r="H62" s="47" t="n">
        <v>22799.6</v>
      </c>
      <c r="I62" s="47" t="n">
        <v>22822.6</v>
      </c>
      <c r="J62" s="48" t="n">
        <v>96195</v>
      </c>
      <c r="K62" s="47" t="n">
        <v>1647465.65</v>
      </c>
      <c r="L62" s="48" t="n">
        <v>15082500</v>
      </c>
      <c r="M62" s="48" t="n">
        <v>-1309275</v>
      </c>
      <c r="N62" s="47" t="n">
        <v>22795.9</v>
      </c>
      <c r="O62" s="47" t="n">
        <f aca="false">IF(AND(ISNUMBER(G62),ISNUMBER(N62)),G62-N62,"")</f>
        <v>26.6999999999971</v>
      </c>
      <c r="P62" s="49" t="n">
        <f aca="false">IF(ISNUMBER(O62),O62/N62,"")</f>
        <v>0.00117126325347966</v>
      </c>
      <c r="Q62" s="50" t="n">
        <f aca="false">C62-B62</f>
        <v>6</v>
      </c>
      <c r="R62" s="51" t="n">
        <f aca="false">IF(AND(C62=C61,ISNUMBER(G62),ISNUMBER(G61)),(G62/G61-1)*100,"")</f>
        <v>-0.522610875013629</v>
      </c>
      <c r="S62" s="51" t="n">
        <f aca="false">IF(AND(C62=C61,ISNUMBER(L62),ISNUMBER(L61)),(L62/L61-1)*100,"")</f>
        <v>-7.98739001724951</v>
      </c>
      <c r="T62" s="51" t="n">
        <f aca="false">IF(AND(C62=C61,ISNUMBER(G62),ISNUMBER(G61)),G62-G61,"")</f>
        <v>-119.900000000001</v>
      </c>
      <c r="U62" s="1" t="str">
        <f aca="false">IF(OR(NOT(ISNUMBER(R62)),NOT(ISNUMBER(S62))),"Not classified",IF(AND(R62&gt;0,S62&gt;0),"Long buildup (interpretation)",IF(AND(R62&lt;0,S62&gt;0),"Short buildup (interpretation)",IF(AND(R62&gt;0,S62&lt;0),"Short covering (interpretation)",IF(AND(R62&lt;0,S62&lt;0),"Long unwinding (interpretation)","Neutral")))))</f>
        <v>Long unwinding (interpretation)</v>
      </c>
      <c r="V62" s="52" t="str">
        <f aca="false">TEXT(B62,"yyyy-mm")</f>
        <v>2025-02</v>
      </c>
      <c r="W62" s="52" t="n">
        <f aca="false">1+COUNTIFS($B$2:$B$756,B62,$C$2:$C$756,"&lt;"&amp;C62)</f>
        <v>1</v>
      </c>
      <c r="X62" s="53" t="n">
        <f aca="false">IF(AND(ISNUMBER(P62),Q62&gt;0),P62*365/Q62,"")</f>
        <v>0.0712518479200129</v>
      </c>
      <c r="Y62" s="42" t="n">
        <f aca="false">IF(AND(C63=C62,ISNUMBER(R63)),R63,"")</f>
        <v>-0.919921481338659</v>
      </c>
      <c r="Z62" s="52" t="n">
        <f aca="false">IF(AND(W62=1,Q62&gt;Basis_Analysis!$B$3,ISNUMBER(Y62)),1,0)</f>
        <v>1</v>
      </c>
      <c r="AA62" s="43" t="n">
        <f aca="false">IF(W62=1,IF(SUMIFS($L$2:$L$756,$B$2:$B$756,B62,$W$2:$W$756,2)&gt;0,SUMIFS($L$2:$L$756,$B$2:$B$756,B62,$W$2:$W$756,2),""),"")</f>
        <v>4159350</v>
      </c>
      <c r="AB62" s="54" t="n">
        <f aca="false">IF(AND(W62=1,ISNUMBER(AA62)),L62/(L62+AA62),"")</f>
        <v>0.783838352341381</v>
      </c>
    </row>
    <row r="63" customFormat="false" ht="15" hidden="false" customHeight="true" outlineLevel="0" collapsed="false">
      <c r="A63" s="1" t="s">
        <v>274</v>
      </c>
      <c r="B63" s="46" t="n">
        <v>45712</v>
      </c>
      <c r="C63" s="46" t="n">
        <v>45715</v>
      </c>
      <c r="D63" s="47" t="n">
        <v>22674.7</v>
      </c>
      <c r="E63" s="47" t="n">
        <v>22720.15</v>
      </c>
      <c r="F63" s="47" t="n">
        <v>22572.15</v>
      </c>
      <c r="G63" s="47" t="n">
        <v>22612.65</v>
      </c>
      <c r="H63" s="47" t="n">
        <v>22604</v>
      </c>
      <c r="I63" s="47" t="n">
        <v>22612.65</v>
      </c>
      <c r="J63" s="48" t="n">
        <v>106292</v>
      </c>
      <c r="K63" s="47" t="n">
        <v>1803733.89</v>
      </c>
      <c r="L63" s="48" t="n">
        <v>11660625</v>
      </c>
      <c r="M63" s="48" t="n">
        <v>-3421875</v>
      </c>
      <c r="N63" s="47" t="n">
        <v>22553.35</v>
      </c>
      <c r="O63" s="47" t="n">
        <f aca="false">IF(AND(ISNUMBER(G63),ISNUMBER(N63)),G63-N63,"")</f>
        <v>59.3000000000029</v>
      </c>
      <c r="P63" s="49" t="n">
        <f aca="false">IF(ISNUMBER(O63),O63/N63,"")</f>
        <v>0.00262932114297889</v>
      </c>
      <c r="Q63" s="50" t="n">
        <f aca="false">C63-B63</f>
        <v>3</v>
      </c>
      <c r="R63" s="51" t="n">
        <f aca="false">IF(AND(C63=C62,ISNUMBER(G63),ISNUMBER(G62)),(G63/G62-1)*100,"")</f>
        <v>-0.919921481338659</v>
      </c>
      <c r="S63" s="51" t="n">
        <f aca="false">IF(AND(C63=C62,ISNUMBER(L63),ISNUMBER(L62)),(L63/L62-1)*100,"")</f>
        <v>-22.687717553456</v>
      </c>
      <c r="T63" s="51" t="n">
        <f aca="false">IF(AND(C63=C62,ISNUMBER(G63),ISNUMBER(G62)),G63-G62,"")</f>
        <v>-209.949999999997</v>
      </c>
      <c r="U63" s="1" t="str">
        <f aca="false">IF(OR(NOT(ISNUMBER(R63)),NOT(ISNUMBER(S63))),"Not classified",IF(AND(R63&gt;0,S63&gt;0),"Long buildup (interpretation)",IF(AND(R63&lt;0,S63&gt;0),"Short buildup (interpretation)",IF(AND(R63&gt;0,S63&lt;0),"Short covering (interpretation)",IF(AND(R63&lt;0,S63&lt;0),"Long unwinding (interpretation)","Neutral")))))</f>
        <v>Long unwinding (interpretation)</v>
      </c>
      <c r="V63" s="52" t="str">
        <f aca="false">TEXT(B63,"yyyy-mm")</f>
        <v>2025-02</v>
      </c>
      <c r="W63" s="52" t="n">
        <f aca="false">1+COUNTIFS($B$2:$B$756,B63,$C$2:$C$756,"&lt;"&amp;C63)</f>
        <v>1</v>
      </c>
      <c r="X63" s="53" t="n">
        <f aca="false">IF(AND(ISNUMBER(P63),Q63&gt;0),P63*365/Q63,"")</f>
        <v>0.319900739062431</v>
      </c>
      <c r="Y63" s="42" t="n">
        <f aca="false">IF(AND(C64=C63,ISNUMBER(R64)),R64,"")</f>
        <v>-0.134880255078462</v>
      </c>
      <c r="Z63" s="52" t="n">
        <f aca="false">IF(AND(W63=1,Q63&gt;Basis_Analysis!$B$3,ISNUMBER(Y63)),1,0)</f>
        <v>0</v>
      </c>
      <c r="AA63" s="43" t="n">
        <f aca="false">IF(W63=1,IF(SUMIFS($L$2:$L$756,$B$2:$B$756,B63,$W$2:$W$756,2)&gt;0,SUMIFS($L$2:$L$756,$B$2:$B$756,B63,$W$2:$W$756,2),""),"")</f>
        <v>8394450</v>
      </c>
      <c r="AB63" s="54" t="n">
        <f aca="false">IF(AND(W63=1,ISNUMBER(AA63)),L63/(L63+AA63),"")</f>
        <v>0.581430136760895</v>
      </c>
    </row>
    <row r="64" customFormat="false" ht="15" hidden="false" customHeight="true" outlineLevel="0" collapsed="false">
      <c r="A64" s="1" t="s">
        <v>274</v>
      </c>
      <c r="B64" s="46" t="n">
        <v>45713</v>
      </c>
      <c r="C64" s="46" t="n">
        <v>45715</v>
      </c>
      <c r="D64" s="47" t="n">
        <v>22582.2</v>
      </c>
      <c r="E64" s="47" t="n">
        <v>22646</v>
      </c>
      <c r="F64" s="47" t="n">
        <v>22561.3</v>
      </c>
      <c r="G64" s="47" t="n">
        <v>22582.15</v>
      </c>
      <c r="H64" s="47" t="n">
        <v>22565.75</v>
      </c>
      <c r="I64" s="47" t="n">
        <v>22582.15</v>
      </c>
      <c r="J64" s="48" t="n">
        <v>94896</v>
      </c>
      <c r="K64" s="47" t="n">
        <v>1608426.83</v>
      </c>
      <c r="L64" s="48" t="n">
        <v>7711800</v>
      </c>
      <c r="M64" s="48" t="n">
        <v>-3948825</v>
      </c>
      <c r="N64" s="47" t="n">
        <v>22547.55</v>
      </c>
      <c r="O64" s="47" t="n">
        <f aca="false">IF(AND(ISNUMBER(G64),ISNUMBER(N64)),G64-N64,"")</f>
        <v>34.6000000000022</v>
      </c>
      <c r="P64" s="49" t="n">
        <f aca="false">IF(ISNUMBER(O64),O64/N64,"")</f>
        <v>0.00153453479424604</v>
      </c>
      <c r="Q64" s="50" t="n">
        <f aca="false">C64-B64</f>
        <v>2</v>
      </c>
      <c r="R64" s="51" t="n">
        <f aca="false">IF(AND(C64=C63,ISNUMBER(G64),ISNUMBER(G63)),(G64/G63-1)*100,"")</f>
        <v>-0.134880255078462</v>
      </c>
      <c r="S64" s="51" t="n">
        <f aca="false">IF(AND(C64=C63,ISNUMBER(L64),ISNUMBER(L63)),(L64/L63-1)*100,"")</f>
        <v>-33.8646084579514</v>
      </c>
      <c r="T64" s="51" t="n">
        <f aca="false">IF(AND(C64=C63,ISNUMBER(G64),ISNUMBER(G63)),G64-G63,"")</f>
        <v>-30.5</v>
      </c>
      <c r="U64" s="1" t="str">
        <f aca="false">IF(OR(NOT(ISNUMBER(R64)),NOT(ISNUMBER(S64))),"Not classified",IF(AND(R64&gt;0,S64&gt;0),"Long buildup (interpretation)",IF(AND(R64&lt;0,S64&gt;0),"Short buildup (interpretation)",IF(AND(R64&gt;0,S64&lt;0),"Short covering (interpretation)",IF(AND(R64&lt;0,S64&lt;0),"Long unwinding (interpretation)","Neutral")))))</f>
        <v>Long unwinding (interpretation)</v>
      </c>
      <c r="V64" s="52" t="str">
        <f aca="false">TEXT(B64,"yyyy-mm")</f>
        <v>2025-02</v>
      </c>
      <c r="W64" s="52" t="n">
        <f aca="false">1+COUNTIFS($B$2:$B$756,B64,$C$2:$C$756,"&lt;"&amp;C64)</f>
        <v>1</v>
      </c>
      <c r="X64" s="53" t="n">
        <f aca="false">IF(AND(ISNUMBER(P64),Q64&gt;0),P64*365/Q64,"")</f>
        <v>0.280052599949901</v>
      </c>
      <c r="Y64" s="42" t="n">
        <f aca="false">IF(AND(C65=C64,ISNUMBER(R65)),R65,"")</f>
        <v>-0.152332705256153</v>
      </c>
      <c r="Z64" s="52" t="n">
        <f aca="false">IF(AND(W64=1,Q64&gt;Basis_Analysis!$B$3,ISNUMBER(Y64)),1,0)</f>
        <v>0</v>
      </c>
      <c r="AA64" s="43" t="n">
        <f aca="false">IF(W64=1,IF(SUMIFS($L$2:$L$756,$B$2:$B$756,B64,$W$2:$W$756,2)&gt;0,SUMIFS($L$2:$L$756,$B$2:$B$756,B64,$W$2:$W$756,2),""),"")</f>
        <v>12197550</v>
      </c>
      <c r="AB64" s="54" t="n">
        <f aca="false">IF(AND(W64=1,ISNUMBER(AA64)),L64/(L64+AA64),"")</f>
        <v>0.387345644132028</v>
      </c>
    </row>
    <row r="65" customFormat="false" ht="15" hidden="false" customHeight="true" outlineLevel="0" collapsed="false">
      <c r="A65" s="1" t="s">
        <v>274</v>
      </c>
      <c r="B65" s="46" t="n">
        <v>45715</v>
      </c>
      <c r="C65" s="46" t="n">
        <v>45715</v>
      </c>
      <c r="D65" s="47" t="n">
        <v>22580</v>
      </c>
      <c r="E65" s="47" t="n">
        <v>22605.05</v>
      </c>
      <c r="F65" s="47" t="n">
        <v>22530.2</v>
      </c>
      <c r="G65" s="47" t="n">
        <v>22547.75</v>
      </c>
      <c r="H65" s="47" t="n">
        <v>22543.95</v>
      </c>
      <c r="I65" s="47" t="n">
        <v>22545.05</v>
      </c>
      <c r="J65" s="48" t="n">
        <v>96679</v>
      </c>
      <c r="K65" s="47" t="n">
        <v>1635370</v>
      </c>
      <c r="L65" s="48" t="n">
        <v>3467625</v>
      </c>
      <c r="M65" s="48" t="n">
        <v>-4244175</v>
      </c>
      <c r="N65" s="47" t="n">
        <v>22545.05</v>
      </c>
      <c r="O65" s="47" t="n">
        <f aca="false">IF(AND(ISNUMBER(G65),ISNUMBER(N65)),G65-N65,"")</f>
        <v>2.70000000000073</v>
      </c>
      <c r="P65" s="49" t="n">
        <f aca="false">IF(ISNUMBER(O65),O65/N65,"")</f>
        <v>0.000119760213439346</v>
      </c>
      <c r="Q65" s="50" t="n">
        <f aca="false">C65-B65</f>
        <v>0</v>
      </c>
      <c r="R65" s="51" t="n">
        <f aca="false">IF(AND(C65=C64,ISNUMBER(G65),ISNUMBER(G64)),(G65/G64-1)*100,"")</f>
        <v>-0.152332705256153</v>
      </c>
      <c r="S65" s="51" t="n">
        <f aca="false">IF(AND(C65=C64,ISNUMBER(L65),ISNUMBER(L64)),(L65/L64-1)*100,"")</f>
        <v>-55.0348167742939</v>
      </c>
      <c r="T65" s="51" t="n">
        <f aca="false">IF(AND(C65=C64,ISNUMBER(G65),ISNUMBER(G64)),G65-G64,"")</f>
        <v>-34.4000000000015</v>
      </c>
      <c r="U65" s="1" t="str">
        <f aca="false">IF(OR(NOT(ISNUMBER(R65)),NOT(ISNUMBER(S65))),"Not classified",IF(AND(R65&gt;0,S65&gt;0),"Long buildup (interpretation)",IF(AND(R65&lt;0,S65&gt;0),"Short buildup (interpretation)",IF(AND(R65&gt;0,S65&lt;0),"Short covering (interpretation)",IF(AND(R65&lt;0,S65&lt;0),"Long unwinding (interpretation)","Neutral")))))</f>
        <v>Long unwinding (interpretation)</v>
      </c>
      <c r="V65" s="52" t="str">
        <f aca="false">TEXT(B65,"yyyy-mm")</f>
        <v>2025-02</v>
      </c>
      <c r="W65" s="52" t="n">
        <f aca="false">1+COUNTIFS($B$2:$B$756,B65,$C$2:$C$756,"&lt;"&amp;C65)</f>
        <v>1</v>
      </c>
      <c r="X65" s="53" t="str">
        <f aca="false">IF(AND(ISNUMBER(P65),Q65&gt;0),P65*365/Q65,"")</f>
        <v/>
      </c>
      <c r="Y65" s="42" t="str">
        <f aca="false">IF(AND(C66=C65,ISNUMBER(R66)),R66,"")</f>
        <v/>
      </c>
      <c r="Z65" s="52" t="n">
        <f aca="false">IF(AND(W65=1,Q65&gt;Basis_Analysis!$B$3,ISNUMBER(Y65)),1,0)</f>
        <v>0</v>
      </c>
      <c r="AA65" s="43" t="n">
        <f aca="false">IF(W65=1,IF(SUMIFS($L$2:$L$756,$B$2:$B$756,B65,$W$2:$W$756,2)&gt;0,SUMIFS($L$2:$L$756,$B$2:$B$756,B65,$W$2:$W$756,2),""),"")</f>
        <v>16756425</v>
      </c>
      <c r="AB65" s="54" t="n">
        <f aca="false">IF(AND(W65=1,ISNUMBER(AA65)),L65/(L65+AA65),"")</f>
        <v>0.171460464150356</v>
      </c>
    </row>
    <row r="66" customFormat="false" ht="15" hidden="false" customHeight="true" outlineLevel="0" collapsed="false">
      <c r="A66" s="1" t="s">
        <v>274</v>
      </c>
      <c r="B66" s="46" t="n">
        <v>45658</v>
      </c>
      <c r="C66" s="46" t="n">
        <v>45743</v>
      </c>
      <c r="D66" s="47" t="n">
        <v>24036.05</v>
      </c>
      <c r="E66" s="47" t="n">
        <v>24250</v>
      </c>
      <c r="F66" s="47" t="n">
        <v>24004.85</v>
      </c>
      <c r="G66" s="47" t="n">
        <v>24195.4</v>
      </c>
      <c r="H66" s="47" t="n">
        <v>24210</v>
      </c>
      <c r="I66" s="47" t="n">
        <v>24195.4</v>
      </c>
      <c r="J66" s="48" t="n">
        <v>1181</v>
      </c>
      <c r="K66" s="47" t="n">
        <v>21391.78</v>
      </c>
      <c r="L66" s="48" t="n">
        <v>126525</v>
      </c>
      <c r="M66" s="48" t="n">
        <v>13575</v>
      </c>
      <c r="N66" s="47" t="n">
        <v>23742.9</v>
      </c>
      <c r="O66" s="47" t="n">
        <f aca="false">IF(AND(ISNUMBER(G66),ISNUMBER(N66)),G66-N66,"")</f>
        <v>452.5</v>
      </c>
      <c r="P66" s="49" t="n">
        <f aca="false">IF(ISNUMBER(O66),O66/N66,"")</f>
        <v>0.0190583290162533</v>
      </c>
      <c r="Q66" s="50" t="n">
        <f aca="false">C66-B66</f>
        <v>85</v>
      </c>
      <c r="R66" s="51" t="str">
        <f aca="false">IF(AND(C66=C65,ISNUMBER(G66),ISNUMBER(G65)),(G66/G65-1)*100,"")</f>
        <v/>
      </c>
      <c r="S66" s="51" t="str">
        <f aca="false">IF(AND(C66=C65,ISNUMBER(L66),ISNUMBER(L65)),(L66/L65-1)*100,"")</f>
        <v/>
      </c>
      <c r="T66" s="51" t="str">
        <f aca="false">IF(AND(C66=C65,ISNUMBER(G66),ISNUMBER(G65)),G66-G65,"")</f>
        <v/>
      </c>
      <c r="U66" s="1" t="str">
        <f aca="false">IF(OR(NOT(ISNUMBER(R66)),NOT(ISNUMBER(S66))),"Not classified",IF(AND(R66&gt;0,S66&gt;0),"Long buildup (interpretation)",IF(AND(R66&lt;0,S66&gt;0),"Short buildup (interpretation)",IF(AND(R66&gt;0,S66&lt;0),"Short covering (interpretation)",IF(AND(R66&lt;0,S66&lt;0),"Long unwinding (interpretation)","Neutral")))))</f>
        <v>Not classified</v>
      </c>
      <c r="V66" s="52" t="str">
        <f aca="false">TEXT(B66,"yyyy-mm")</f>
        <v>2025-01</v>
      </c>
      <c r="W66" s="52" t="n">
        <f aca="false">1+COUNTIFS($B$2:$B$756,B66,$C$2:$C$756,"&lt;"&amp;C66)</f>
        <v>3</v>
      </c>
      <c r="X66" s="53" t="n">
        <f aca="false">IF(AND(ISNUMBER(P66),Q66&gt;0),P66*365/Q66,"")</f>
        <v>0.0818387069521464</v>
      </c>
      <c r="Y66" s="42" t="n">
        <f aca="false">IF(AND(C67=C66,ISNUMBER(R67)),R67,"")</f>
        <v>1.48333980839332</v>
      </c>
      <c r="Z66" s="52" t="n">
        <f aca="false">IF(AND(W66=1,Q66&gt;Basis_Analysis!$B$3,ISNUMBER(Y66)),1,0)</f>
        <v>0</v>
      </c>
      <c r="AA66" s="43" t="str">
        <f aca="false">IF(W66=1,IF(SUMIFS($L$2:$L$756,$B$2:$B$756,B66,$W$2:$W$756,2)&gt;0,SUMIFS($L$2:$L$756,$B$2:$B$756,B66,$W$2:$W$756,2),""),"")</f>
        <v/>
      </c>
      <c r="AB66" s="54" t="str">
        <f aca="false">IF(AND(W66=1,ISNUMBER(AA66)),L66/(L66+AA66),"")</f>
        <v/>
      </c>
    </row>
    <row r="67" customFormat="false" ht="15" hidden="false" customHeight="true" outlineLevel="0" collapsed="false">
      <c r="A67" s="1" t="s">
        <v>274</v>
      </c>
      <c r="B67" s="46" t="n">
        <v>45659</v>
      </c>
      <c r="C67" s="46" t="n">
        <v>45743</v>
      </c>
      <c r="D67" s="47" t="n">
        <v>24222.75</v>
      </c>
      <c r="E67" s="47" t="n">
        <v>24584.95</v>
      </c>
      <c r="F67" s="47" t="n">
        <v>24165.95</v>
      </c>
      <c r="G67" s="47" t="n">
        <v>24554.3</v>
      </c>
      <c r="H67" s="47" t="n">
        <v>24550</v>
      </c>
      <c r="I67" s="47" t="n">
        <v>24554.3</v>
      </c>
      <c r="J67" s="48" t="n">
        <v>2627</v>
      </c>
      <c r="K67" s="47" t="n">
        <v>48098.12</v>
      </c>
      <c r="L67" s="48" t="n">
        <v>197775</v>
      </c>
      <c r="M67" s="48" t="n">
        <v>71250</v>
      </c>
      <c r="N67" s="47" t="n">
        <v>24188.65</v>
      </c>
      <c r="O67" s="47" t="n">
        <f aca="false">IF(AND(ISNUMBER(G67),ISNUMBER(N67)),G67-N67,"")</f>
        <v>365.649999999998</v>
      </c>
      <c r="P67" s="49" t="n">
        <f aca="false">IF(ISNUMBER(O67),O67/N67,"")</f>
        <v>0.0151165939397196</v>
      </c>
      <c r="Q67" s="50" t="n">
        <f aca="false">C67-B67</f>
        <v>84</v>
      </c>
      <c r="R67" s="51" t="n">
        <f aca="false">IF(AND(C67=C66,ISNUMBER(G67),ISNUMBER(G66)),(G67/G66-1)*100,"")</f>
        <v>1.48333980839332</v>
      </c>
      <c r="S67" s="51" t="n">
        <f aca="false">IF(AND(C67=C66,ISNUMBER(L67),ISNUMBER(L66)),(L67/L66-1)*100,"")</f>
        <v>56.3129816241849</v>
      </c>
      <c r="T67" s="51" t="n">
        <f aca="false">IF(AND(C67=C66,ISNUMBER(G67),ISNUMBER(G66)),G67-G66,"")</f>
        <v>358.899999999998</v>
      </c>
      <c r="U67" s="1" t="str">
        <f aca="false">IF(OR(NOT(ISNUMBER(R67)),NOT(ISNUMBER(S67))),"Not classified",IF(AND(R67&gt;0,S67&gt;0),"Long buildup (interpretation)",IF(AND(R67&lt;0,S67&gt;0),"Short buildup (interpretation)",IF(AND(R67&gt;0,S67&lt;0),"Short covering (interpretation)",IF(AND(R67&lt;0,S67&lt;0),"Long unwinding (interpretation)","Neutral")))))</f>
        <v>Long buildup (interpretation)</v>
      </c>
      <c r="V67" s="52" t="str">
        <f aca="false">TEXT(B67,"yyyy-mm")</f>
        <v>2025-01</v>
      </c>
      <c r="W67" s="52" t="n">
        <f aca="false">1+COUNTIFS($B$2:$B$756,B67,$C$2:$C$756,"&lt;"&amp;C67)</f>
        <v>3</v>
      </c>
      <c r="X67" s="53" t="n">
        <f aca="false">IF(AND(ISNUMBER(P67),Q67&gt;0),P67*365/Q67,"")</f>
        <v>0.0656851998571148</v>
      </c>
      <c r="Y67" s="42" t="n">
        <f aca="false">IF(AND(C68=C67,ISNUMBER(R68)),R68,"")</f>
        <v>-0.69112131072766</v>
      </c>
      <c r="Z67" s="52" t="n">
        <f aca="false">IF(AND(W67=1,Q67&gt;Basis_Analysis!$B$3,ISNUMBER(Y67)),1,0)</f>
        <v>0</v>
      </c>
      <c r="AA67" s="43" t="str">
        <f aca="false">IF(W67=1,IF(SUMIFS($L$2:$L$756,$B$2:$B$756,B67,$W$2:$W$756,2)&gt;0,SUMIFS($L$2:$L$756,$B$2:$B$756,B67,$W$2:$W$756,2),""),"")</f>
        <v/>
      </c>
      <c r="AB67" s="54" t="str">
        <f aca="false">IF(AND(W67=1,ISNUMBER(AA67)),L67/(L67+AA67),"")</f>
        <v/>
      </c>
    </row>
    <row r="68" customFormat="false" ht="15" hidden="false" customHeight="true" outlineLevel="0" collapsed="false">
      <c r="A68" s="1" t="s">
        <v>274</v>
      </c>
      <c r="B68" s="46" t="n">
        <v>45660</v>
      </c>
      <c r="C68" s="46" t="n">
        <v>45743</v>
      </c>
      <c r="D68" s="47" t="n">
        <v>24525</v>
      </c>
      <c r="E68" s="47" t="n">
        <v>24533.35</v>
      </c>
      <c r="F68" s="47" t="n">
        <v>24370</v>
      </c>
      <c r="G68" s="47" t="n">
        <v>24384.6</v>
      </c>
      <c r="H68" s="47" t="n">
        <v>24370</v>
      </c>
      <c r="I68" s="47" t="n">
        <v>24384.6</v>
      </c>
      <c r="J68" s="48" t="n">
        <v>1750</v>
      </c>
      <c r="K68" s="47" t="n">
        <v>32075.92</v>
      </c>
      <c r="L68" s="48" t="n">
        <v>186750</v>
      </c>
      <c r="M68" s="48" t="n">
        <v>-11025</v>
      </c>
      <c r="N68" s="47" t="n">
        <v>24004.75</v>
      </c>
      <c r="O68" s="47" t="n">
        <f aca="false">IF(AND(ISNUMBER(G68),ISNUMBER(N68)),G68-N68,"")</f>
        <v>379.849999999999</v>
      </c>
      <c r="P68" s="49" t="n">
        <f aca="false">IF(ISNUMBER(O68),O68/N68,"")</f>
        <v>0.015823951509597</v>
      </c>
      <c r="Q68" s="50" t="n">
        <f aca="false">C68-B68</f>
        <v>83</v>
      </c>
      <c r="R68" s="51" t="n">
        <f aca="false">IF(AND(C68=C67,ISNUMBER(G68),ISNUMBER(G67)),(G68/G67-1)*100,"")</f>
        <v>-0.69112131072766</v>
      </c>
      <c r="S68" s="51" t="n">
        <f aca="false">IF(AND(C68=C67,ISNUMBER(L68),ISNUMBER(L67)),(L68/L67-1)*100,"")</f>
        <v>-5.5745164960182</v>
      </c>
      <c r="T68" s="51" t="n">
        <f aca="false">IF(AND(C68=C67,ISNUMBER(G68),ISNUMBER(G67)),G68-G67,"")</f>
        <v>-169.700000000001</v>
      </c>
      <c r="U68" s="1" t="str">
        <f aca="false">IF(OR(NOT(ISNUMBER(R68)),NOT(ISNUMBER(S68))),"Not classified",IF(AND(R68&gt;0,S68&gt;0),"Long buildup (interpretation)",IF(AND(R68&lt;0,S68&gt;0),"Short buildup (interpretation)",IF(AND(R68&gt;0,S68&lt;0),"Short covering (interpretation)",IF(AND(R68&lt;0,S68&lt;0),"Long unwinding (interpretation)","Neutral")))))</f>
        <v>Long unwinding (interpretation)</v>
      </c>
      <c r="V68" s="52" t="str">
        <f aca="false">TEXT(B68,"yyyy-mm")</f>
        <v>2025-01</v>
      </c>
      <c r="W68" s="52" t="n">
        <f aca="false">1+COUNTIFS($B$2:$B$756,B68,$C$2:$C$756,"&lt;"&amp;C68)</f>
        <v>3</v>
      </c>
      <c r="X68" s="53" t="n">
        <f aca="false">IF(AND(ISNUMBER(P68),Q68&gt;0),P68*365/Q68,"")</f>
        <v>0.0695872566385892</v>
      </c>
      <c r="Y68" s="42" t="n">
        <f aca="false">IF(AND(C69=C68,ISNUMBER(R69)),R69,"")</f>
        <v>-1.51735111504803</v>
      </c>
      <c r="Z68" s="52" t="n">
        <f aca="false">IF(AND(W68=1,Q68&gt;Basis_Analysis!$B$3,ISNUMBER(Y68)),1,0)</f>
        <v>0</v>
      </c>
      <c r="AA68" s="43" t="str">
        <f aca="false">IF(W68=1,IF(SUMIFS($L$2:$L$756,$B$2:$B$756,B68,$W$2:$W$756,2)&gt;0,SUMIFS($L$2:$L$756,$B$2:$B$756,B68,$W$2:$W$756,2),""),"")</f>
        <v/>
      </c>
      <c r="AB68" s="54" t="str">
        <f aca="false">IF(AND(W68=1,ISNUMBER(AA68)),L68/(L68+AA68),"")</f>
        <v/>
      </c>
    </row>
    <row r="69" customFormat="false" ht="15" hidden="false" customHeight="true" outlineLevel="0" collapsed="false">
      <c r="A69" s="1" t="s">
        <v>274</v>
      </c>
      <c r="B69" s="46" t="n">
        <v>45663</v>
      </c>
      <c r="C69" s="46" t="n">
        <v>45743</v>
      </c>
      <c r="D69" s="47" t="n">
        <v>24389.95</v>
      </c>
      <c r="E69" s="47" t="n">
        <v>24440</v>
      </c>
      <c r="F69" s="47" t="n">
        <v>23957.65</v>
      </c>
      <c r="G69" s="47" t="n">
        <v>24014.6</v>
      </c>
      <c r="H69" s="47" t="n">
        <v>24013.4</v>
      </c>
      <c r="I69" s="47" t="n">
        <v>24014.6</v>
      </c>
      <c r="J69" s="48" t="n">
        <v>3759</v>
      </c>
      <c r="K69" s="47" t="n">
        <v>68023.95</v>
      </c>
      <c r="L69" s="48" t="n">
        <v>217050</v>
      </c>
      <c r="M69" s="48" t="n">
        <v>30300</v>
      </c>
      <c r="N69" s="47" t="n">
        <v>23616.05</v>
      </c>
      <c r="O69" s="47" t="n">
        <f aca="false">IF(AND(ISNUMBER(G69),ISNUMBER(N69)),G69-N69,"")</f>
        <v>398.549999999999</v>
      </c>
      <c r="P69" s="49" t="n">
        <f aca="false">IF(ISNUMBER(O69),O69/N69,"")</f>
        <v>0.016876234594693</v>
      </c>
      <c r="Q69" s="50" t="n">
        <f aca="false">C69-B69</f>
        <v>80</v>
      </c>
      <c r="R69" s="51" t="n">
        <f aca="false">IF(AND(C69=C68,ISNUMBER(G69),ISNUMBER(G68)),(G69/G68-1)*100,"")</f>
        <v>-1.51735111504803</v>
      </c>
      <c r="S69" s="51" t="n">
        <f aca="false">IF(AND(C69=C68,ISNUMBER(L69),ISNUMBER(L68)),(L69/L68-1)*100,"")</f>
        <v>16.2248995983936</v>
      </c>
      <c r="T69" s="51" t="n">
        <f aca="false">IF(AND(C69=C68,ISNUMBER(G69),ISNUMBER(G68)),G69-G68,"")</f>
        <v>-370</v>
      </c>
      <c r="U69" s="1" t="str">
        <f aca="false">IF(OR(NOT(ISNUMBER(R69)),NOT(ISNUMBER(S69))),"Not classified",IF(AND(R69&gt;0,S69&gt;0),"Long buildup (interpretation)",IF(AND(R69&lt;0,S69&gt;0),"Short buildup (interpretation)",IF(AND(R69&gt;0,S69&lt;0),"Short covering (interpretation)",IF(AND(R69&lt;0,S69&lt;0),"Long unwinding (interpretation)","Neutral")))))</f>
        <v>Short buildup (interpretation)</v>
      </c>
      <c r="V69" s="52" t="str">
        <f aca="false">TEXT(B69,"yyyy-mm")</f>
        <v>2025-01</v>
      </c>
      <c r="W69" s="52" t="n">
        <f aca="false">1+COUNTIFS($B$2:$B$756,B69,$C$2:$C$756,"&lt;"&amp;C69)</f>
        <v>3</v>
      </c>
      <c r="X69" s="53" t="n">
        <f aca="false">IF(AND(ISNUMBER(P69),Q69&gt;0),P69*365/Q69,"")</f>
        <v>0.0769978203382868</v>
      </c>
      <c r="Y69" s="42" t="n">
        <f aca="false">IF(AND(C70=C69,ISNUMBER(R70)),R70,"")</f>
        <v>0.31147718471265</v>
      </c>
      <c r="Z69" s="52" t="n">
        <f aca="false">IF(AND(W69=1,Q69&gt;Basis_Analysis!$B$3,ISNUMBER(Y69)),1,0)</f>
        <v>0</v>
      </c>
      <c r="AA69" s="43" t="str">
        <f aca="false">IF(W69=1,IF(SUMIFS($L$2:$L$756,$B$2:$B$756,B69,$W$2:$W$756,2)&gt;0,SUMIFS($L$2:$L$756,$B$2:$B$756,B69,$W$2:$W$756,2),""),"")</f>
        <v/>
      </c>
      <c r="AB69" s="54" t="str">
        <f aca="false">IF(AND(W69=1,ISNUMBER(AA69)),L69/(L69+AA69),"")</f>
        <v/>
      </c>
    </row>
    <row r="70" customFormat="false" ht="15" hidden="false" customHeight="true" outlineLevel="0" collapsed="false">
      <c r="A70" s="1" t="s">
        <v>274</v>
      </c>
      <c r="B70" s="46" t="n">
        <v>45664</v>
      </c>
      <c r="C70" s="46" t="n">
        <v>45743</v>
      </c>
      <c r="D70" s="47" t="n">
        <v>24014</v>
      </c>
      <c r="E70" s="47" t="n">
        <v>24175</v>
      </c>
      <c r="F70" s="47" t="n">
        <v>24013.95</v>
      </c>
      <c r="G70" s="47" t="n">
        <v>24089.4</v>
      </c>
      <c r="H70" s="47" t="n">
        <v>24084.95</v>
      </c>
      <c r="I70" s="47" t="n">
        <v>24089.4</v>
      </c>
      <c r="J70" s="48" t="n">
        <v>2054</v>
      </c>
      <c r="K70" s="47" t="n">
        <v>37157.3</v>
      </c>
      <c r="L70" s="48" t="n">
        <v>263400</v>
      </c>
      <c r="M70" s="48" t="n">
        <v>46350</v>
      </c>
      <c r="N70" s="47" t="n">
        <v>23707.9</v>
      </c>
      <c r="O70" s="47" t="n">
        <f aca="false">IF(AND(ISNUMBER(G70),ISNUMBER(N70)),G70-N70,"")</f>
        <v>381.5</v>
      </c>
      <c r="P70" s="49" t="n">
        <f aca="false">IF(ISNUMBER(O70),O70/N70,"")</f>
        <v>0.016091682519329</v>
      </c>
      <c r="Q70" s="50" t="n">
        <f aca="false">C70-B70</f>
        <v>79</v>
      </c>
      <c r="R70" s="51" t="n">
        <f aca="false">IF(AND(C70=C69,ISNUMBER(G70),ISNUMBER(G69)),(G70/G69-1)*100,"")</f>
        <v>0.31147718471265</v>
      </c>
      <c r="S70" s="51" t="n">
        <f aca="false">IF(AND(C70=C69,ISNUMBER(L70),ISNUMBER(L69)),(L70/L69-1)*100,"")</f>
        <v>21.3545266067726</v>
      </c>
      <c r="T70" s="51" t="n">
        <f aca="false">IF(AND(C70=C69,ISNUMBER(G70),ISNUMBER(G69)),G70-G69,"")</f>
        <v>74.8000000000029</v>
      </c>
      <c r="U70" s="1" t="str">
        <f aca="false">IF(OR(NOT(ISNUMBER(R70)),NOT(ISNUMBER(S70))),"Not classified",IF(AND(R70&gt;0,S70&gt;0),"Long buildup (interpretation)",IF(AND(R70&lt;0,S70&gt;0),"Short buildup (interpretation)",IF(AND(R70&gt;0,S70&lt;0),"Short covering (interpretation)",IF(AND(R70&lt;0,S70&lt;0),"Long unwinding (interpretation)","Neutral")))))</f>
        <v>Long buildup (interpretation)</v>
      </c>
      <c r="V70" s="52" t="str">
        <f aca="false">TEXT(B70,"yyyy-mm")</f>
        <v>2025-01</v>
      </c>
      <c r="W70" s="52" t="n">
        <f aca="false">1+COUNTIFS($B$2:$B$756,B70,$C$2:$C$756,"&lt;"&amp;C70)</f>
        <v>3</v>
      </c>
      <c r="X70" s="53" t="n">
        <f aca="false">IF(AND(ISNUMBER(P70),Q70&gt;0),P70*365/Q70,"")</f>
        <v>0.0743476470829758</v>
      </c>
      <c r="Y70" s="42" t="n">
        <f aca="false">IF(AND(C71=C70,ISNUMBER(R71)),R71,"")</f>
        <v>-0.0319642664408426</v>
      </c>
      <c r="Z70" s="52" t="n">
        <f aca="false">IF(AND(W70=1,Q70&gt;Basis_Analysis!$B$3,ISNUMBER(Y70)),1,0)</f>
        <v>0</v>
      </c>
      <c r="AA70" s="43" t="str">
        <f aca="false">IF(W70=1,IF(SUMIFS($L$2:$L$756,$B$2:$B$756,B70,$W$2:$W$756,2)&gt;0,SUMIFS($L$2:$L$756,$B$2:$B$756,B70,$W$2:$W$756,2),""),"")</f>
        <v/>
      </c>
      <c r="AB70" s="54" t="str">
        <f aca="false">IF(AND(W70=1,ISNUMBER(AA70)),L70/(L70+AA70),"")</f>
        <v/>
      </c>
    </row>
    <row r="71" customFormat="false" ht="15" hidden="false" customHeight="true" outlineLevel="0" collapsed="false">
      <c r="A71" s="1" t="s">
        <v>274</v>
      </c>
      <c r="B71" s="46" t="n">
        <v>45665</v>
      </c>
      <c r="C71" s="46" t="n">
        <v>45743</v>
      </c>
      <c r="D71" s="47" t="n">
        <v>24050</v>
      </c>
      <c r="E71" s="47" t="n">
        <v>24129</v>
      </c>
      <c r="F71" s="47" t="n">
        <v>23899.9</v>
      </c>
      <c r="G71" s="47" t="n">
        <v>24081.7</v>
      </c>
      <c r="H71" s="47" t="n">
        <v>24070.95</v>
      </c>
      <c r="I71" s="47" t="n">
        <v>24081.7</v>
      </c>
      <c r="J71" s="48" t="n">
        <v>2516</v>
      </c>
      <c r="K71" s="47" t="n">
        <v>45293.34</v>
      </c>
      <c r="L71" s="48" t="n">
        <v>295350</v>
      </c>
      <c r="M71" s="48" t="n">
        <v>31950</v>
      </c>
      <c r="N71" s="47" t="n">
        <v>23688.95</v>
      </c>
      <c r="O71" s="47" t="n">
        <f aca="false">IF(AND(ISNUMBER(G71),ISNUMBER(N71)),G71-N71,"")</f>
        <v>392.75</v>
      </c>
      <c r="P71" s="49" t="n">
        <f aca="false">IF(ISNUMBER(O71),O71/N71,"")</f>
        <v>0.0165794600436068</v>
      </c>
      <c r="Q71" s="50" t="n">
        <f aca="false">C71-B71</f>
        <v>78</v>
      </c>
      <c r="R71" s="51" t="n">
        <f aca="false">IF(AND(C71=C70,ISNUMBER(G71),ISNUMBER(G70)),(G71/G70-1)*100,"")</f>
        <v>-0.0319642664408426</v>
      </c>
      <c r="S71" s="51" t="n">
        <f aca="false">IF(AND(C71=C70,ISNUMBER(L71),ISNUMBER(L70)),(L71/L70-1)*100,"")</f>
        <v>12.129840546697</v>
      </c>
      <c r="T71" s="51" t="n">
        <f aca="false">IF(AND(C71=C70,ISNUMBER(G71),ISNUMBER(G70)),G71-G70,"")</f>
        <v>-7.70000000000073</v>
      </c>
      <c r="U71" s="1" t="str">
        <f aca="false">IF(OR(NOT(ISNUMBER(R71)),NOT(ISNUMBER(S71))),"Not classified",IF(AND(R71&gt;0,S71&gt;0),"Long buildup (interpretation)",IF(AND(R71&lt;0,S71&gt;0),"Short buildup (interpretation)",IF(AND(R71&gt;0,S71&lt;0),"Short covering (interpretation)",IF(AND(R71&lt;0,S71&lt;0),"Long unwinding (interpretation)","Neutral")))))</f>
        <v>Short buildup (interpretation)</v>
      </c>
      <c r="V71" s="52" t="str">
        <f aca="false">TEXT(B71,"yyyy-mm")</f>
        <v>2025-01</v>
      </c>
      <c r="W71" s="52" t="n">
        <f aca="false">1+COUNTIFS($B$2:$B$756,B71,$C$2:$C$756,"&lt;"&amp;C71)</f>
        <v>3</v>
      </c>
      <c r="X71" s="53" t="n">
        <f aca="false">IF(AND(ISNUMBER(P71),Q71&gt;0),P71*365/Q71,"")</f>
        <v>0.0775833707168781</v>
      </c>
      <c r="Y71" s="42" t="n">
        <f aca="false">IF(AND(C72=C71,ISNUMBER(R72)),R72,"")</f>
        <v>-0.550833205296974</v>
      </c>
      <c r="Z71" s="52" t="n">
        <f aca="false">IF(AND(W71=1,Q71&gt;Basis_Analysis!$B$3,ISNUMBER(Y71)),1,0)</f>
        <v>0</v>
      </c>
      <c r="AA71" s="43" t="str">
        <f aca="false">IF(W71=1,IF(SUMIFS($L$2:$L$756,$B$2:$B$756,B71,$W$2:$W$756,2)&gt;0,SUMIFS($L$2:$L$756,$B$2:$B$756,B71,$W$2:$W$756,2),""),"")</f>
        <v/>
      </c>
      <c r="AB71" s="54" t="str">
        <f aca="false">IF(AND(W71=1,ISNUMBER(AA71)),L71/(L71+AA71),"")</f>
        <v/>
      </c>
    </row>
    <row r="72" customFormat="false" ht="15" hidden="false" customHeight="true" outlineLevel="0" collapsed="false">
      <c r="A72" s="1" t="s">
        <v>274</v>
      </c>
      <c r="B72" s="46" t="n">
        <v>45666</v>
      </c>
      <c r="C72" s="46" t="n">
        <v>45743</v>
      </c>
      <c r="D72" s="47" t="n">
        <v>24051</v>
      </c>
      <c r="E72" s="47" t="n">
        <v>24051.05</v>
      </c>
      <c r="F72" s="47" t="n">
        <v>23915.65</v>
      </c>
      <c r="G72" s="47" t="n">
        <v>23949.05</v>
      </c>
      <c r="H72" s="47" t="n">
        <v>23958.35</v>
      </c>
      <c r="I72" s="47" t="n">
        <v>23949.05</v>
      </c>
      <c r="J72" s="48" t="n">
        <v>1690</v>
      </c>
      <c r="K72" s="47" t="n">
        <v>30372.43</v>
      </c>
      <c r="L72" s="48" t="n">
        <v>333300</v>
      </c>
      <c r="M72" s="48" t="n">
        <v>37950</v>
      </c>
      <c r="N72" s="47" t="n">
        <v>23526.5</v>
      </c>
      <c r="O72" s="47" t="n">
        <f aca="false">IF(AND(ISNUMBER(G72),ISNUMBER(N72)),G72-N72,"")</f>
        <v>422.549999999999</v>
      </c>
      <c r="P72" s="49" t="n">
        <f aca="false">IF(ISNUMBER(O72),O72/N72,"")</f>
        <v>0.0179605976239559</v>
      </c>
      <c r="Q72" s="50" t="n">
        <f aca="false">C72-B72</f>
        <v>77</v>
      </c>
      <c r="R72" s="51" t="n">
        <f aca="false">IF(AND(C72=C71,ISNUMBER(G72),ISNUMBER(G71)),(G72/G71-1)*100,"")</f>
        <v>-0.550833205296974</v>
      </c>
      <c r="S72" s="51" t="n">
        <f aca="false">IF(AND(C72=C71,ISNUMBER(L72),ISNUMBER(L71)),(L72/L71-1)*100,"")</f>
        <v>12.8491620111732</v>
      </c>
      <c r="T72" s="51" t="n">
        <f aca="false">IF(AND(C72=C71,ISNUMBER(G72),ISNUMBER(G71)),G72-G71,"")</f>
        <v>-132.650000000001</v>
      </c>
      <c r="U72" s="1" t="str">
        <f aca="false">IF(OR(NOT(ISNUMBER(R72)),NOT(ISNUMBER(S72))),"Not classified",IF(AND(R72&gt;0,S72&gt;0),"Long buildup (interpretation)",IF(AND(R72&lt;0,S72&gt;0),"Short buildup (interpretation)",IF(AND(R72&gt;0,S72&lt;0),"Short covering (interpretation)",IF(AND(R72&lt;0,S72&lt;0),"Long unwinding (interpretation)","Neutral")))))</f>
        <v>Short buildup (interpretation)</v>
      </c>
      <c r="V72" s="52" t="str">
        <f aca="false">TEXT(B72,"yyyy-mm")</f>
        <v>2025-01</v>
      </c>
      <c r="W72" s="52" t="n">
        <f aca="false">1+COUNTIFS($B$2:$B$756,B72,$C$2:$C$756,"&lt;"&amp;C72)</f>
        <v>3</v>
      </c>
      <c r="X72" s="53" t="n">
        <f aca="false">IF(AND(ISNUMBER(P72),Q72&gt;0),P72*365/Q72,"")</f>
        <v>0.0851378978278431</v>
      </c>
      <c r="Y72" s="42" t="n">
        <f aca="false">IF(AND(C73=C72,ISNUMBER(R73)),R73,"")</f>
        <v>-0.632592942099997</v>
      </c>
      <c r="Z72" s="52" t="n">
        <f aca="false">IF(AND(W72=1,Q72&gt;Basis_Analysis!$B$3,ISNUMBER(Y72)),1,0)</f>
        <v>0</v>
      </c>
      <c r="AA72" s="43" t="str">
        <f aca="false">IF(W72=1,IF(SUMIFS($L$2:$L$756,$B$2:$B$756,B72,$W$2:$W$756,2)&gt;0,SUMIFS($L$2:$L$756,$B$2:$B$756,B72,$W$2:$W$756,2),""),"")</f>
        <v/>
      </c>
      <c r="AB72" s="54" t="str">
        <f aca="false">IF(AND(W72=1,ISNUMBER(AA72)),L72/(L72+AA72),"")</f>
        <v/>
      </c>
    </row>
    <row r="73" customFormat="false" ht="15" hidden="false" customHeight="true" outlineLevel="0" collapsed="false">
      <c r="A73" s="1" t="s">
        <v>274</v>
      </c>
      <c r="B73" s="46" t="n">
        <v>45667</v>
      </c>
      <c r="C73" s="46" t="n">
        <v>45743</v>
      </c>
      <c r="D73" s="47" t="n">
        <v>23916</v>
      </c>
      <c r="E73" s="47" t="n">
        <v>23974.95</v>
      </c>
      <c r="F73" s="47" t="n">
        <v>23730.05</v>
      </c>
      <c r="G73" s="47" t="n">
        <v>23797.55</v>
      </c>
      <c r="H73" s="47" t="n">
        <v>23815</v>
      </c>
      <c r="I73" s="47" t="n">
        <v>23797.55</v>
      </c>
      <c r="J73" s="48" t="n">
        <v>3461</v>
      </c>
      <c r="K73" s="47" t="n">
        <v>61877</v>
      </c>
      <c r="L73" s="48" t="n">
        <v>385425</v>
      </c>
      <c r="M73" s="48" t="n">
        <v>52125</v>
      </c>
      <c r="N73" s="47" t="n">
        <v>23431.5</v>
      </c>
      <c r="O73" s="47" t="n">
        <f aca="false">IF(AND(ISNUMBER(G73),ISNUMBER(N73)),G73-N73,"")</f>
        <v>366.049999999999</v>
      </c>
      <c r="P73" s="49" t="n">
        <f aca="false">IF(ISNUMBER(O73),O73/N73,"")</f>
        <v>0.0156221325992787</v>
      </c>
      <c r="Q73" s="50" t="n">
        <f aca="false">C73-B73</f>
        <v>76</v>
      </c>
      <c r="R73" s="51" t="n">
        <f aca="false">IF(AND(C73=C72,ISNUMBER(G73),ISNUMBER(G72)),(G73/G72-1)*100,"")</f>
        <v>-0.632592942099997</v>
      </c>
      <c r="S73" s="51" t="n">
        <f aca="false">IF(AND(C73=C72,ISNUMBER(L73),ISNUMBER(L72)),(L73/L72-1)*100,"")</f>
        <v>15.6390639063907</v>
      </c>
      <c r="T73" s="51" t="n">
        <f aca="false">IF(AND(C73=C72,ISNUMBER(G73),ISNUMBER(G72)),G73-G72,"")</f>
        <v>-151.5</v>
      </c>
      <c r="U73" s="1" t="str">
        <f aca="false">IF(OR(NOT(ISNUMBER(R73)),NOT(ISNUMBER(S73))),"Not classified",IF(AND(R73&gt;0,S73&gt;0),"Long buildup (interpretation)",IF(AND(R73&lt;0,S73&gt;0),"Short buildup (interpretation)",IF(AND(R73&gt;0,S73&lt;0),"Short covering (interpretation)",IF(AND(R73&lt;0,S73&lt;0),"Long unwinding (interpretation)","Neutral")))))</f>
        <v>Short buildup (interpretation)</v>
      </c>
      <c r="V73" s="52" t="str">
        <f aca="false">TEXT(B73,"yyyy-mm")</f>
        <v>2025-01</v>
      </c>
      <c r="W73" s="52" t="n">
        <f aca="false">1+COUNTIFS($B$2:$B$756,B73,$C$2:$C$756,"&lt;"&amp;C73)</f>
        <v>3</v>
      </c>
      <c r="X73" s="53" t="n">
        <f aca="false">IF(AND(ISNUMBER(P73),Q73&gt;0),P73*365/Q73,"")</f>
        <v>0.0750273473517991</v>
      </c>
      <c r="Y73" s="42" t="n">
        <f aca="false">IF(AND(C74=C73,ISNUMBER(R74)),R74,"")</f>
        <v>-1.44867854043799</v>
      </c>
      <c r="Z73" s="52" t="n">
        <f aca="false">IF(AND(W73=1,Q73&gt;Basis_Analysis!$B$3,ISNUMBER(Y73)),1,0)</f>
        <v>0</v>
      </c>
      <c r="AA73" s="43" t="str">
        <f aca="false">IF(W73=1,IF(SUMIFS($L$2:$L$756,$B$2:$B$756,B73,$W$2:$W$756,2)&gt;0,SUMIFS($L$2:$L$756,$B$2:$B$756,B73,$W$2:$W$756,2),""),"")</f>
        <v/>
      </c>
      <c r="AB73" s="54" t="str">
        <f aca="false">IF(AND(W73=1,ISNUMBER(AA73)),L73/(L73+AA73),"")</f>
        <v/>
      </c>
    </row>
    <row r="74" customFormat="false" ht="15" hidden="false" customHeight="true" outlineLevel="0" collapsed="false">
      <c r="A74" s="1" t="s">
        <v>274</v>
      </c>
      <c r="B74" s="46" t="n">
        <v>45670</v>
      </c>
      <c r="C74" s="46" t="n">
        <v>45743</v>
      </c>
      <c r="D74" s="47" t="n">
        <v>23700</v>
      </c>
      <c r="E74" s="47" t="n">
        <v>23700</v>
      </c>
      <c r="F74" s="47" t="n">
        <v>23410.65</v>
      </c>
      <c r="G74" s="47" t="n">
        <v>23452.8</v>
      </c>
      <c r="H74" s="47" t="n">
        <v>23459</v>
      </c>
      <c r="I74" s="47" t="n">
        <v>23452.8</v>
      </c>
      <c r="J74" s="48" t="n">
        <v>3581</v>
      </c>
      <c r="K74" s="47" t="n">
        <v>63258.97</v>
      </c>
      <c r="L74" s="48" t="n">
        <v>408675</v>
      </c>
      <c r="M74" s="48" t="n">
        <v>23250</v>
      </c>
      <c r="N74" s="47" t="n">
        <v>23085.95</v>
      </c>
      <c r="O74" s="47" t="n">
        <f aca="false">IF(AND(ISNUMBER(G74),ISNUMBER(N74)),G74-N74,"")</f>
        <v>366.849999999999</v>
      </c>
      <c r="P74" s="49" t="n">
        <f aca="false">IF(ISNUMBER(O74),O74/N74,"")</f>
        <v>0.0158906174534727</v>
      </c>
      <c r="Q74" s="50" t="n">
        <f aca="false">C74-B74</f>
        <v>73</v>
      </c>
      <c r="R74" s="51" t="n">
        <f aca="false">IF(AND(C74=C73,ISNUMBER(G74),ISNUMBER(G73)),(G74/G73-1)*100,"")</f>
        <v>-1.44867854043799</v>
      </c>
      <c r="S74" s="51" t="n">
        <f aca="false">IF(AND(C74=C73,ISNUMBER(L74),ISNUMBER(L73)),(L74/L73-1)*100,"")</f>
        <v>6.032302004281</v>
      </c>
      <c r="T74" s="51" t="n">
        <f aca="false">IF(AND(C74=C73,ISNUMBER(G74),ISNUMBER(G73)),G74-G73,"")</f>
        <v>-344.75</v>
      </c>
      <c r="U74" s="1" t="str">
        <f aca="false">IF(OR(NOT(ISNUMBER(R74)),NOT(ISNUMBER(S74))),"Not classified",IF(AND(R74&gt;0,S74&gt;0),"Long buildup (interpretation)",IF(AND(R74&lt;0,S74&gt;0),"Short buildup (interpretation)",IF(AND(R74&gt;0,S74&lt;0),"Short covering (interpretation)",IF(AND(R74&lt;0,S74&lt;0),"Long unwinding (interpretation)","Neutral")))))</f>
        <v>Short buildup (interpretation)</v>
      </c>
      <c r="V74" s="52" t="str">
        <f aca="false">TEXT(B74,"yyyy-mm")</f>
        <v>2025-01</v>
      </c>
      <c r="W74" s="52" t="n">
        <f aca="false">1+COUNTIFS($B$2:$B$756,B74,$C$2:$C$756,"&lt;"&amp;C74)</f>
        <v>3</v>
      </c>
      <c r="X74" s="53" t="n">
        <f aca="false">IF(AND(ISNUMBER(P74),Q74&gt;0),P74*365/Q74,"")</f>
        <v>0.0794530872673636</v>
      </c>
      <c r="Y74" s="42" t="n">
        <f aca="false">IF(AND(C75=C74,ISNUMBER(R75)),R75,"")</f>
        <v>0.467321599126769</v>
      </c>
      <c r="Z74" s="52" t="n">
        <f aca="false">IF(AND(W74=1,Q74&gt;Basis_Analysis!$B$3,ISNUMBER(Y74)),1,0)</f>
        <v>0</v>
      </c>
      <c r="AA74" s="43" t="str">
        <f aca="false">IF(W74=1,IF(SUMIFS($L$2:$L$756,$B$2:$B$756,B74,$W$2:$W$756,2)&gt;0,SUMIFS($L$2:$L$756,$B$2:$B$756,B74,$W$2:$W$756,2),""),"")</f>
        <v/>
      </c>
      <c r="AB74" s="54" t="str">
        <f aca="false">IF(AND(W74=1,ISNUMBER(AA74)),L74/(L74+AA74),"")</f>
        <v/>
      </c>
    </row>
    <row r="75" customFormat="false" ht="15" hidden="false" customHeight="true" outlineLevel="0" collapsed="false">
      <c r="A75" s="1" t="s">
        <v>274</v>
      </c>
      <c r="B75" s="46" t="n">
        <v>45671</v>
      </c>
      <c r="C75" s="46" t="n">
        <v>45743</v>
      </c>
      <c r="D75" s="47" t="n">
        <v>23518</v>
      </c>
      <c r="E75" s="47" t="n">
        <v>23620</v>
      </c>
      <c r="F75" s="47" t="n">
        <v>23493</v>
      </c>
      <c r="G75" s="47" t="n">
        <v>23562.4</v>
      </c>
      <c r="H75" s="47" t="n">
        <v>23576</v>
      </c>
      <c r="I75" s="47" t="n">
        <v>23562.4</v>
      </c>
      <c r="J75" s="48" t="n">
        <v>1945</v>
      </c>
      <c r="K75" s="47" t="n">
        <v>34355.84</v>
      </c>
      <c r="L75" s="48" t="n">
        <v>411450</v>
      </c>
      <c r="M75" s="48" t="n">
        <v>2775</v>
      </c>
      <c r="N75" s="47" t="n">
        <v>23176.05</v>
      </c>
      <c r="O75" s="47" t="n">
        <f aca="false">IF(AND(ISNUMBER(G75),ISNUMBER(N75)),G75-N75,"")</f>
        <v>386.350000000002</v>
      </c>
      <c r="P75" s="49" t="n">
        <f aca="false">IF(ISNUMBER(O75),O75/N75,"")</f>
        <v>0.0166702263759356</v>
      </c>
      <c r="Q75" s="50" t="n">
        <f aca="false">C75-B75</f>
        <v>72</v>
      </c>
      <c r="R75" s="51" t="n">
        <f aca="false">IF(AND(C75=C74,ISNUMBER(G75),ISNUMBER(G74)),(G75/G74-1)*100,"")</f>
        <v>0.467321599126769</v>
      </c>
      <c r="S75" s="51" t="n">
        <f aca="false">IF(AND(C75=C74,ISNUMBER(L75),ISNUMBER(L74)),(L75/L74-1)*100,"")</f>
        <v>0.679023674068646</v>
      </c>
      <c r="T75" s="51" t="n">
        <f aca="false">IF(AND(C75=C74,ISNUMBER(G75),ISNUMBER(G74)),G75-G74,"")</f>
        <v>109.600000000002</v>
      </c>
      <c r="U75" s="1" t="str">
        <f aca="false">IF(OR(NOT(ISNUMBER(R75)),NOT(ISNUMBER(S75))),"Not classified",IF(AND(R75&gt;0,S75&gt;0),"Long buildup (interpretation)",IF(AND(R75&lt;0,S75&gt;0),"Short buildup (interpretation)",IF(AND(R75&gt;0,S75&lt;0),"Short covering (interpretation)",IF(AND(R75&lt;0,S75&lt;0),"Long unwinding (interpretation)","Neutral")))))</f>
        <v>Long buildup (interpretation)</v>
      </c>
      <c r="V75" s="52" t="str">
        <f aca="false">TEXT(B75,"yyyy-mm")</f>
        <v>2025-01</v>
      </c>
      <c r="W75" s="52" t="n">
        <f aca="false">1+COUNTIFS($B$2:$B$756,B75,$C$2:$C$756,"&lt;"&amp;C75)</f>
        <v>3</v>
      </c>
      <c r="X75" s="53" t="n">
        <f aca="false">IF(AND(ISNUMBER(P75),Q75&gt;0),P75*365/Q75,"")</f>
        <v>0.084508786489118</v>
      </c>
      <c r="Y75" s="42" t="n">
        <f aca="false">IF(AND(C76=C75,ISNUMBER(R76)),R76,"")</f>
        <v>-0.067268189997638</v>
      </c>
      <c r="Z75" s="52" t="n">
        <f aca="false">IF(AND(W75=1,Q75&gt;Basis_Analysis!$B$3,ISNUMBER(Y75)),1,0)</f>
        <v>0</v>
      </c>
      <c r="AA75" s="43" t="str">
        <f aca="false">IF(W75=1,IF(SUMIFS($L$2:$L$756,$B$2:$B$756,B75,$W$2:$W$756,2)&gt;0,SUMIFS($L$2:$L$756,$B$2:$B$756,B75,$W$2:$W$756,2),""),"")</f>
        <v/>
      </c>
      <c r="AB75" s="54" t="str">
        <f aca="false">IF(AND(W75=1,ISNUMBER(AA75)),L75/(L75+AA75),"")</f>
        <v/>
      </c>
    </row>
    <row r="76" customFormat="false" ht="15" hidden="false" customHeight="true" outlineLevel="0" collapsed="false">
      <c r="A76" s="1" t="s">
        <v>274</v>
      </c>
      <c r="B76" s="46" t="n">
        <v>45672</v>
      </c>
      <c r="C76" s="46" t="n">
        <v>45743</v>
      </c>
      <c r="D76" s="47" t="n">
        <v>23574.25</v>
      </c>
      <c r="E76" s="47" t="n">
        <v>23620</v>
      </c>
      <c r="F76" s="47" t="n">
        <v>23495</v>
      </c>
      <c r="G76" s="47" t="n">
        <v>23546.55</v>
      </c>
      <c r="H76" s="47" t="n">
        <v>23548.35</v>
      </c>
      <c r="I76" s="47" t="n">
        <v>23546.55</v>
      </c>
      <c r="J76" s="48" t="n">
        <v>1639</v>
      </c>
      <c r="K76" s="47" t="n">
        <v>28952.57</v>
      </c>
      <c r="L76" s="48" t="n">
        <v>422400</v>
      </c>
      <c r="M76" s="48" t="n">
        <v>10950</v>
      </c>
      <c r="N76" s="47" t="n">
        <v>23213.2</v>
      </c>
      <c r="O76" s="47" t="n">
        <f aca="false">IF(AND(ISNUMBER(G76),ISNUMBER(N76)),G76-N76,"")</f>
        <v>333.349999999999</v>
      </c>
      <c r="P76" s="49" t="n">
        <f aca="false">IF(ISNUMBER(O76),O76/N76,"")</f>
        <v>0.0143603639308669</v>
      </c>
      <c r="Q76" s="50" t="n">
        <f aca="false">C76-B76</f>
        <v>71</v>
      </c>
      <c r="R76" s="51" t="n">
        <f aca="false">IF(AND(C76=C75,ISNUMBER(G76),ISNUMBER(G75)),(G76/G75-1)*100,"")</f>
        <v>-0.067268189997638</v>
      </c>
      <c r="S76" s="51" t="n">
        <f aca="false">IF(AND(C76=C75,ISNUMBER(L76),ISNUMBER(L75)),(L76/L75-1)*100,"")</f>
        <v>2.66131972293109</v>
      </c>
      <c r="T76" s="51" t="n">
        <f aca="false">IF(AND(C76=C75,ISNUMBER(G76),ISNUMBER(G75)),G76-G75,"")</f>
        <v>-15.8500000000022</v>
      </c>
      <c r="U76" s="1" t="str">
        <f aca="false">IF(OR(NOT(ISNUMBER(R76)),NOT(ISNUMBER(S76))),"Not classified",IF(AND(R76&gt;0,S76&gt;0),"Long buildup (interpretation)",IF(AND(R76&lt;0,S76&gt;0),"Short buildup (interpretation)",IF(AND(R76&gt;0,S76&lt;0),"Short covering (interpretation)",IF(AND(R76&lt;0,S76&lt;0),"Long unwinding (interpretation)","Neutral")))))</f>
        <v>Short buildup (interpretation)</v>
      </c>
      <c r="V76" s="52" t="str">
        <f aca="false">TEXT(B76,"yyyy-mm")</f>
        <v>2025-01</v>
      </c>
      <c r="W76" s="52" t="n">
        <f aca="false">1+COUNTIFS($B$2:$B$756,B76,$C$2:$C$756,"&lt;"&amp;C76)</f>
        <v>3</v>
      </c>
      <c r="X76" s="53" t="n">
        <f aca="false">IF(AND(ISNUMBER(P76),Q76&gt;0),P76*365/Q76,"")</f>
        <v>0.0738244061234705</v>
      </c>
      <c r="Y76" s="42" t="n">
        <f aca="false">IF(AND(C77=C76,ISNUMBER(R77)),R77,"")</f>
        <v>0.454206667218759</v>
      </c>
      <c r="Z76" s="52" t="n">
        <f aca="false">IF(AND(W76=1,Q76&gt;Basis_Analysis!$B$3,ISNUMBER(Y76)),1,0)</f>
        <v>0</v>
      </c>
      <c r="AA76" s="43" t="str">
        <f aca="false">IF(W76=1,IF(SUMIFS($L$2:$L$756,$B$2:$B$756,B76,$W$2:$W$756,2)&gt;0,SUMIFS($L$2:$L$756,$B$2:$B$756,B76,$W$2:$W$756,2),""),"")</f>
        <v/>
      </c>
      <c r="AB76" s="54" t="str">
        <f aca="false">IF(AND(W76=1,ISNUMBER(AA76)),L76/(L76+AA76),"")</f>
        <v/>
      </c>
    </row>
    <row r="77" customFormat="false" ht="15" hidden="false" customHeight="true" outlineLevel="0" collapsed="false">
      <c r="A77" s="1" t="s">
        <v>274</v>
      </c>
      <c r="B77" s="46" t="n">
        <v>45673</v>
      </c>
      <c r="C77" s="46" t="n">
        <v>45743</v>
      </c>
      <c r="D77" s="47" t="n">
        <v>23653.3</v>
      </c>
      <c r="E77" s="47" t="n">
        <v>23690.9</v>
      </c>
      <c r="F77" s="47" t="n">
        <v>23633.95</v>
      </c>
      <c r="G77" s="47" t="n">
        <v>23653.5</v>
      </c>
      <c r="H77" s="47" t="n">
        <v>23680</v>
      </c>
      <c r="I77" s="47" t="n">
        <v>23653.5</v>
      </c>
      <c r="J77" s="48" t="n">
        <v>1391</v>
      </c>
      <c r="K77" s="47" t="n">
        <v>24685.56</v>
      </c>
      <c r="L77" s="48" t="n">
        <v>427200</v>
      </c>
      <c r="M77" s="48" t="n">
        <v>4800</v>
      </c>
      <c r="N77" s="47" t="n">
        <v>23311.8</v>
      </c>
      <c r="O77" s="47" t="n">
        <f aca="false">IF(AND(ISNUMBER(G77),ISNUMBER(N77)),G77-N77,"")</f>
        <v>341.700000000001</v>
      </c>
      <c r="P77" s="49" t="n">
        <f aca="false">IF(ISNUMBER(O77),O77/N77,"")</f>
        <v>0.0146578127815098</v>
      </c>
      <c r="Q77" s="50" t="n">
        <f aca="false">C77-B77</f>
        <v>70</v>
      </c>
      <c r="R77" s="51" t="n">
        <f aca="false">IF(AND(C77=C76,ISNUMBER(G77),ISNUMBER(G76)),(G77/G76-1)*100,"")</f>
        <v>0.454206667218759</v>
      </c>
      <c r="S77" s="51" t="n">
        <f aca="false">IF(AND(C77=C76,ISNUMBER(L77),ISNUMBER(L76)),(L77/L76-1)*100,"")</f>
        <v>1.13636363636365</v>
      </c>
      <c r="T77" s="51" t="n">
        <f aca="false">IF(AND(C77=C76,ISNUMBER(G77),ISNUMBER(G76)),G77-G76,"")</f>
        <v>106.950000000001</v>
      </c>
      <c r="U77" s="1" t="str">
        <f aca="false">IF(OR(NOT(ISNUMBER(R77)),NOT(ISNUMBER(S77))),"Not classified",IF(AND(R77&gt;0,S77&gt;0),"Long buildup (interpretation)",IF(AND(R77&lt;0,S77&gt;0),"Short buildup (interpretation)",IF(AND(R77&gt;0,S77&lt;0),"Short covering (interpretation)",IF(AND(R77&lt;0,S77&lt;0),"Long unwinding (interpretation)","Neutral")))))</f>
        <v>Long buildup (interpretation)</v>
      </c>
      <c r="V77" s="52" t="str">
        <f aca="false">TEXT(B77,"yyyy-mm")</f>
        <v>2025-01</v>
      </c>
      <c r="W77" s="52" t="n">
        <f aca="false">1+COUNTIFS($B$2:$B$756,B77,$C$2:$C$756,"&lt;"&amp;C77)</f>
        <v>3</v>
      </c>
      <c r="X77" s="53" t="n">
        <f aca="false">IF(AND(ISNUMBER(P77),Q77&gt;0),P77*365/Q77,"")</f>
        <v>0.0764300237893012</v>
      </c>
      <c r="Y77" s="42" t="n">
        <f aca="false">IF(AND(C78=C77,ISNUMBER(R78)),R78,"")</f>
        <v>-0.431437208024177</v>
      </c>
      <c r="Z77" s="52" t="n">
        <f aca="false">IF(AND(W77=1,Q77&gt;Basis_Analysis!$B$3,ISNUMBER(Y77)),1,0)</f>
        <v>0</v>
      </c>
      <c r="AA77" s="43" t="str">
        <f aca="false">IF(W77=1,IF(SUMIFS($L$2:$L$756,$B$2:$B$756,B77,$W$2:$W$756,2)&gt;0,SUMIFS($L$2:$L$756,$B$2:$B$756,B77,$W$2:$W$756,2),""),"")</f>
        <v/>
      </c>
      <c r="AB77" s="54" t="str">
        <f aca="false">IF(AND(W77=1,ISNUMBER(AA77)),L77/(L77+AA77),"")</f>
        <v/>
      </c>
    </row>
    <row r="78" customFormat="false" ht="15" hidden="false" customHeight="true" outlineLevel="0" collapsed="false">
      <c r="A78" s="1" t="s">
        <v>274</v>
      </c>
      <c r="B78" s="46" t="n">
        <v>45674</v>
      </c>
      <c r="C78" s="46" t="n">
        <v>45743</v>
      </c>
      <c r="D78" s="47" t="n">
        <v>23633</v>
      </c>
      <c r="E78" s="47" t="n">
        <v>23633</v>
      </c>
      <c r="F78" s="47" t="n">
        <v>23441.7</v>
      </c>
      <c r="G78" s="47" t="n">
        <v>23551.45</v>
      </c>
      <c r="H78" s="47" t="n">
        <v>23550</v>
      </c>
      <c r="I78" s="47" t="n">
        <v>23551.45</v>
      </c>
      <c r="J78" s="48" t="n">
        <v>2057</v>
      </c>
      <c r="K78" s="47" t="n">
        <v>36314.11</v>
      </c>
      <c r="L78" s="48" t="n">
        <v>435300</v>
      </c>
      <c r="M78" s="48" t="n">
        <v>8100</v>
      </c>
      <c r="N78" s="47" t="n">
        <v>23203.2</v>
      </c>
      <c r="O78" s="47" t="n">
        <f aca="false">IF(AND(ISNUMBER(G78),ISNUMBER(N78)),G78-N78,"")</f>
        <v>348.25</v>
      </c>
      <c r="P78" s="49" t="n">
        <f aca="false">IF(ISNUMBER(O78),O78/N78,"")</f>
        <v>0.0150087056957661</v>
      </c>
      <c r="Q78" s="50" t="n">
        <f aca="false">C78-B78</f>
        <v>69</v>
      </c>
      <c r="R78" s="51" t="n">
        <f aca="false">IF(AND(C78=C77,ISNUMBER(G78),ISNUMBER(G77)),(G78/G77-1)*100,"")</f>
        <v>-0.431437208024177</v>
      </c>
      <c r="S78" s="51" t="n">
        <f aca="false">IF(AND(C78=C77,ISNUMBER(L78),ISNUMBER(L77)),(L78/L77-1)*100,"")</f>
        <v>1.89606741573034</v>
      </c>
      <c r="T78" s="51" t="n">
        <f aca="false">IF(AND(C78=C77,ISNUMBER(G78),ISNUMBER(G77)),G78-G77,"")</f>
        <v>-102.049999999999</v>
      </c>
      <c r="U78" s="1" t="str">
        <f aca="false">IF(OR(NOT(ISNUMBER(R78)),NOT(ISNUMBER(S78))),"Not classified",IF(AND(R78&gt;0,S78&gt;0),"Long buildup (interpretation)",IF(AND(R78&lt;0,S78&gt;0),"Short buildup (interpretation)",IF(AND(R78&gt;0,S78&lt;0),"Short covering (interpretation)",IF(AND(R78&lt;0,S78&lt;0),"Long unwinding (interpretation)","Neutral")))))</f>
        <v>Short buildup (interpretation)</v>
      </c>
      <c r="V78" s="52" t="str">
        <f aca="false">TEXT(B78,"yyyy-mm")</f>
        <v>2025-01</v>
      </c>
      <c r="W78" s="52" t="n">
        <f aca="false">1+COUNTIFS($B$2:$B$756,B78,$C$2:$C$756,"&lt;"&amp;C78)</f>
        <v>3</v>
      </c>
      <c r="X78" s="53" t="n">
        <f aca="false">IF(AND(ISNUMBER(P78),Q78&gt;0),P78*365/Q78,"")</f>
        <v>0.0793938779558641</v>
      </c>
      <c r="Y78" s="42" t="n">
        <f aca="false">IF(AND(C79=C78,ISNUMBER(R79)),R79,"")</f>
        <v>0.576397631568337</v>
      </c>
      <c r="Z78" s="52" t="n">
        <f aca="false">IF(AND(W78=1,Q78&gt;Basis_Analysis!$B$3,ISNUMBER(Y78)),1,0)</f>
        <v>0</v>
      </c>
      <c r="AA78" s="43" t="str">
        <f aca="false">IF(W78=1,IF(SUMIFS($L$2:$L$756,$B$2:$B$756,B78,$W$2:$W$756,2)&gt;0,SUMIFS($L$2:$L$756,$B$2:$B$756,B78,$W$2:$W$756,2),""),"")</f>
        <v/>
      </c>
      <c r="AB78" s="54" t="str">
        <f aca="false">IF(AND(W78=1,ISNUMBER(AA78)),L78/(L78+AA78),"")</f>
        <v/>
      </c>
    </row>
    <row r="79" customFormat="false" ht="15" hidden="false" customHeight="true" outlineLevel="0" collapsed="false">
      <c r="A79" s="1" t="s">
        <v>274</v>
      </c>
      <c r="B79" s="46" t="n">
        <v>45677</v>
      </c>
      <c r="C79" s="46" t="n">
        <v>45743</v>
      </c>
      <c r="D79" s="47" t="n">
        <v>23602.4</v>
      </c>
      <c r="E79" s="47" t="n">
        <v>23725</v>
      </c>
      <c r="F79" s="47" t="n">
        <v>23510</v>
      </c>
      <c r="G79" s="47" t="n">
        <v>23687.2</v>
      </c>
      <c r="H79" s="47" t="n">
        <v>23670.05</v>
      </c>
      <c r="I79" s="47" t="n">
        <v>23687.2</v>
      </c>
      <c r="J79" s="48" t="n">
        <v>1860</v>
      </c>
      <c r="K79" s="47" t="n">
        <v>32973.94</v>
      </c>
      <c r="L79" s="48" t="n">
        <v>462675</v>
      </c>
      <c r="M79" s="48" t="n">
        <v>27375</v>
      </c>
      <c r="N79" s="47" t="n">
        <v>23344.75</v>
      </c>
      <c r="O79" s="47" t="n">
        <f aca="false">IF(AND(ISNUMBER(G79),ISNUMBER(N79)),G79-N79,"")</f>
        <v>342.450000000001</v>
      </c>
      <c r="P79" s="49" t="n">
        <f aca="false">IF(ISNUMBER(O79),O79/N79,"")</f>
        <v>0.0146692511164181</v>
      </c>
      <c r="Q79" s="50" t="n">
        <f aca="false">C79-B79</f>
        <v>66</v>
      </c>
      <c r="R79" s="51" t="n">
        <f aca="false">IF(AND(C79=C78,ISNUMBER(G79),ISNUMBER(G78)),(G79/G78-1)*100,"")</f>
        <v>0.576397631568337</v>
      </c>
      <c r="S79" s="51" t="n">
        <f aca="false">IF(AND(C79=C78,ISNUMBER(L79),ISNUMBER(L78)),(L79/L78-1)*100,"")</f>
        <v>6.28876636802205</v>
      </c>
      <c r="T79" s="51" t="n">
        <f aca="false">IF(AND(C79=C78,ISNUMBER(G79),ISNUMBER(G78)),G79-G78,"")</f>
        <v>135.75</v>
      </c>
      <c r="U79" s="1" t="str">
        <f aca="false">IF(OR(NOT(ISNUMBER(R79)),NOT(ISNUMBER(S79))),"Not classified",IF(AND(R79&gt;0,S79&gt;0),"Long buildup (interpretation)",IF(AND(R79&lt;0,S79&gt;0),"Short buildup (interpretation)",IF(AND(R79&gt;0,S79&lt;0),"Short covering (interpretation)",IF(AND(R79&lt;0,S79&lt;0),"Long unwinding (interpretation)","Neutral")))))</f>
        <v>Long buildup (interpretation)</v>
      </c>
      <c r="V79" s="52" t="str">
        <f aca="false">TEXT(B79,"yyyy-mm")</f>
        <v>2025-01</v>
      </c>
      <c r="W79" s="52" t="n">
        <f aca="false">1+COUNTIFS($B$2:$B$756,B79,$C$2:$C$756,"&lt;"&amp;C79)</f>
        <v>3</v>
      </c>
      <c r="X79" s="53" t="n">
        <f aca="false">IF(AND(ISNUMBER(P79),Q79&gt;0),P79*365/Q79,"")</f>
        <v>0.081125403901403</v>
      </c>
      <c r="Y79" s="42" t="n">
        <f aca="false">IF(AND(C80=C79,ISNUMBER(R80)),R80,"")</f>
        <v>-1.24962004795839</v>
      </c>
      <c r="Z79" s="52" t="n">
        <f aca="false">IF(AND(W79=1,Q79&gt;Basis_Analysis!$B$3,ISNUMBER(Y79)),1,0)</f>
        <v>0</v>
      </c>
      <c r="AA79" s="43" t="str">
        <f aca="false">IF(W79=1,IF(SUMIFS($L$2:$L$756,$B$2:$B$756,B79,$W$2:$W$756,2)&gt;0,SUMIFS($L$2:$L$756,$B$2:$B$756,B79,$W$2:$W$756,2),""),"")</f>
        <v/>
      </c>
      <c r="AB79" s="54" t="str">
        <f aca="false">IF(AND(W79=1,ISNUMBER(AA79)),L79/(L79+AA79),"")</f>
        <v/>
      </c>
    </row>
    <row r="80" customFormat="false" ht="15" hidden="false" customHeight="true" outlineLevel="0" collapsed="false">
      <c r="A80" s="1" t="s">
        <v>274</v>
      </c>
      <c r="B80" s="46" t="n">
        <v>45678</v>
      </c>
      <c r="C80" s="46" t="n">
        <v>45743</v>
      </c>
      <c r="D80" s="47" t="n">
        <v>23740</v>
      </c>
      <c r="E80" s="47" t="n">
        <v>23740</v>
      </c>
      <c r="F80" s="47" t="n">
        <v>23348</v>
      </c>
      <c r="G80" s="47" t="n">
        <v>23391.2</v>
      </c>
      <c r="H80" s="47" t="n">
        <v>23400</v>
      </c>
      <c r="I80" s="47" t="n">
        <v>23391.2</v>
      </c>
      <c r="J80" s="48" t="n">
        <v>4593</v>
      </c>
      <c r="K80" s="47" t="n">
        <v>80989.04</v>
      </c>
      <c r="L80" s="48" t="n">
        <v>500025</v>
      </c>
      <c r="M80" s="48" t="n">
        <v>37350</v>
      </c>
      <c r="N80" s="47" t="n">
        <v>23024.65</v>
      </c>
      <c r="O80" s="47" t="n">
        <f aca="false">IF(AND(ISNUMBER(G80),ISNUMBER(N80)),G80-N80,"")</f>
        <v>366.549999999999</v>
      </c>
      <c r="P80" s="49" t="n">
        <f aca="false">IF(ISNUMBER(O80),O80/N80,"")</f>
        <v>0.0159198945477998</v>
      </c>
      <c r="Q80" s="50" t="n">
        <f aca="false">C80-B80</f>
        <v>65</v>
      </c>
      <c r="R80" s="51" t="n">
        <f aca="false">IF(AND(C80=C79,ISNUMBER(G80),ISNUMBER(G79)),(G80/G79-1)*100,"")</f>
        <v>-1.24962004795839</v>
      </c>
      <c r="S80" s="51" t="n">
        <f aca="false">IF(AND(C80=C79,ISNUMBER(L80),ISNUMBER(L79)),(L80/L79-1)*100,"")</f>
        <v>8.07262117036798</v>
      </c>
      <c r="T80" s="51" t="n">
        <f aca="false">IF(AND(C80=C79,ISNUMBER(G80),ISNUMBER(G79)),G80-G79,"")</f>
        <v>-296</v>
      </c>
      <c r="U80" s="1" t="str">
        <f aca="false">IF(OR(NOT(ISNUMBER(R80)),NOT(ISNUMBER(S80))),"Not classified",IF(AND(R80&gt;0,S80&gt;0),"Long buildup (interpretation)",IF(AND(R80&lt;0,S80&gt;0),"Short buildup (interpretation)",IF(AND(R80&gt;0,S80&lt;0),"Short covering (interpretation)",IF(AND(R80&lt;0,S80&lt;0),"Long unwinding (interpretation)","Neutral")))))</f>
        <v>Short buildup (interpretation)</v>
      </c>
      <c r="V80" s="52" t="str">
        <f aca="false">TEXT(B80,"yyyy-mm")</f>
        <v>2025-01</v>
      </c>
      <c r="W80" s="52" t="n">
        <f aca="false">1+COUNTIFS($B$2:$B$756,B80,$C$2:$C$756,"&lt;"&amp;C80)</f>
        <v>3</v>
      </c>
      <c r="X80" s="53" t="n">
        <f aca="false">IF(AND(ISNUMBER(P80),Q80&gt;0),P80*365/Q80,"")</f>
        <v>0.0893963309222606</v>
      </c>
      <c r="Y80" s="42" t="n">
        <f aca="false">IF(AND(C81=C80,ISNUMBER(R81)),R81,"")</f>
        <v>0.378774923902991</v>
      </c>
      <c r="Z80" s="52" t="n">
        <f aca="false">IF(AND(W80=1,Q80&gt;Basis_Analysis!$B$3,ISNUMBER(Y80)),1,0)</f>
        <v>0</v>
      </c>
      <c r="AA80" s="43" t="str">
        <f aca="false">IF(W80=1,IF(SUMIFS($L$2:$L$756,$B$2:$B$756,B80,$W$2:$W$756,2)&gt;0,SUMIFS($L$2:$L$756,$B$2:$B$756,B80,$W$2:$W$756,2),""),"")</f>
        <v/>
      </c>
      <c r="AB80" s="54" t="str">
        <f aca="false">IF(AND(W80=1,ISNUMBER(AA80)),L80/(L80+AA80),"")</f>
        <v/>
      </c>
    </row>
    <row r="81" customFormat="false" ht="15" hidden="false" customHeight="true" outlineLevel="0" collapsed="false">
      <c r="A81" s="1" t="s">
        <v>274</v>
      </c>
      <c r="B81" s="46" t="n">
        <v>45679</v>
      </c>
      <c r="C81" s="46" t="n">
        <v>45743</v>
      </c>
      <c r="D81" s="47" t="n">
        <v>23488.45</v>
      </c>
      <c r="E81" s="47" t="n">
        <v>23495.9</v>
      </c>
      <c r="F81" s="47" t="n">
        <v>23312.35</v>
      </c>
      <c r="G81" s="47" t="n">
        <v>23479.8</v>
      </c>
      <c r="H81" s="47" t="n">
        <v>23478.5</v>
      </c>
      <c r="I81" s="47" t="n">
        <v>23479.8</v>
      </c>
      <c r="J81" s="48" t="n">
        <v>2904</v>
      </c>
      <c r="K81" s="47" t="n">
        <v>50979.45</v>
      </c>
      <c r="L81" s="48" t="n">
        <v>507450</v>
      </c>
      <c r="M81" s="48" t="n">
        <v>7425</v>
      </c>
      <c r="N81" s="47" t="n">
        <v>23155.35</v>
      </c>
      <c r="O81" s="47" t="n">
        <f aca="false">IF(AND(ISNUMBER(G81),ISNUMBER(N81)),G81-N81,"")</f>
        <v>324.450000000001</v>
      </c>
      <c r="P81" s="49" t="n">
        <f aca="false">IF(ISNUMBER(O81),O81/N81,"")</f>
        <v>0.0140118806237004</v>
      </c>
      <c r="Q81" s="50" t="n">
        <f aca="false">C81-B81</f>
        <v>64</v>
      </c>
      <c r="R81" s="51" t="n">
        <f aca="false">IF(AND(C81=C80,ISNUMBER(G81),ISNUMBER(G80)),(G81/G80-1)*100,"")</f>
        <v>0.378774923902991</v>
      </c>
      <c r="S81" s="51" t="n">
        <f aca="false">IF(AND(C81=C80,ISNUMBER(L81),ISNUMBER(L80)),(L81/L80-1)*100,"")</f>
        <v>1.48492575371231</v>
      </c>
      <c r="T81" s="51" t="n">
        <f aca="false">IF(AND(C81=C80,ISNUMBER(G81),ISNUMBER(G80)),G81-G80,"")</f>
        <v>88.5999999999985</v>
      </c>
      <c r="U81" s="1" t="str">
        <f aca="false">IF(OR(NOT(ISNUMBER(R81)),NOT(ISNUMBER(S81))),"Not classified",IF(AND(R81&gt;0,S81&gt;0),"Long buildup (interpretation)",IF(AND(R81&lt;0,S81&gt;0),"Short buildup (interpretation)",IF(AND(R81&gt;0,S81&lt;0),"Short covering (interpretation)",IF(AND(R81&lt;0,S81&lt;0),"Long unwinding (interpretation)","Neutral")))))</f>
        <v>Long buildup (interpretation)</v>
      </c>
      <c r="V81" s="52" t="str">
        <f aca="false">TEXT(B81,"yyyy-mm")</f>
        <v>2025-01</v>
      </c>
      <c r="W81" s="52" t="n">
        <f aca="false">1+COUNTIFS($B$2:$B$756,B81,$C$2:$C$756,"&lt;"&amp;C81)</f>
        <v>3</v>
      </c>
      <c r="X81" s="53" t="n">
        <f aca="false">IF(AND(ISNUMBER(P81),Q81&gt;0),P81*365/Q81,"")</f>
        <v>0.0799115066820413</v>
      </c>
      <c r="Y81" s="42" t="n">
        <f aca="false">IF(AND(C82=C81,ISNUMBER(R82)),R82,"")</f>
        <v>0.278963193894333</v>
      </c>
      <c r="Z81" s="52" t="n">
        <f aca="false">IF(AND(W81=1,Q81&gt;Basis_Analysis!$B$3,ISNUMBER(Y81)),1,0)</f>
        <v>0</v>
      </c>
      <c r="AA81" s="43" t="str">
        <f aca="false">IF(W81=1,IF(SUMIFS($L$2:$L$756,$B$2:$B$756,B81,$W$2:$W$756,2)&gt;0,SUMIFS($L$2:$L$756,$B$2:$B$756,B81,$W$2:$W$756,2),""),"")</f>
        <v/>
      </c>
      <c r="AB81" s="54" t="str">
        <f aca="false">IF(AND(W81=1,ISNUMBER(AA81)),L81/(L81+AA81),"")</f>
        <v/>
      </c>
    </row>
    <row r="82" customFormat="false" ht="15" hidden="false" customHeight="true" outlineLevel="0" collapsed="false">
      <c r="A82" s="1" t="s">
        <v>274</v>
      </c>
      <c r="B82" s="46" t="n">
        <v>45680</v>
      </c>
      <c r="C82" s="46" t="n">
        <v>45743</v>
      </c>
      <c r="D82" s="47" t="n">
        <v>23410</v>
      </c>
      <c r="E82" s="47" t="n">
        <v>23594.95</v>
      </c>
      <c r="F82" s="47" t="n">
        <v>23409.95</v>
      </c>
      <c r="G82" s="47" t="n">
        <v>23545.3</v>
      </c>
      <c r="H82" s="47" t="n">
        <v>23547.6</v>
      </c>
      <c r="I82" s="47" t="n">
        <v>23545.3</v>
      </c>
      <c r="J82" s="48" t="n">
        <v>1758</v>
      </c>
      <c r="K82" s="47" t="n">
        <v>31031.22</v>
      </c>
      <c r="L82" s="48" t="n">
        <v>508800</v>
      </c>
      <c r="M82" s="48" t="n">
        <v>1350</v>
      </c>
      <c r="N82" s="47" t="n">
        <v>23205.35</v>
      </c>
      <c r="O82" s="47" t="n">
        <f aca="false">IF(AND(ISNUMBER(G82),ISNUMBER(N82)),G82-N82,"")</f>
        <v>339.950000000001</v>
      </c>
      <c r="P82" s="49" t="n">
        <f aca="false">IF(ISNUMBER(O82),O82/N82,"")</f>
        <v>0.0146496389841136</v>
      </c>
      <c r="Q82" s="50" t="n">
        <f aca="false">C82-B82</f>
        <v>63</v>
      </c>
      <c r="R82" s="51" t="n">
        <f aca="false">IF(AND(C82=C81,ISNUMBER(G82),ISNUMBER(G81)),(G82/G81-1)*100,"")</f>
        <v>0.278963193894333</v>
      </c>
      <c r="S82" s="51" t="n">
        <f aca="false">IF(AND(C82=C81,ISNUMBER(L82),ISNUMBER(L81)),(L82/L81-1)*100,"")</f>
        <v>0.266036062666264</v>
      </c>
      <c r="T82" s="51" t="n">
        <f aca="false">IF(AND(C82=C81,ISNUMBER(G82),ISNUMBER(G81)),G82-G81,"")</f>
        <v>65.5</v>
      </c>
      <c r="U82" s="1" t="str">
        <f aca="false">IF(OR(NOT(ISNUMBER(R82)),NOT(ISNUMBER(S82))),"Not classified",IF(AND(R82&gt;0,S82&gt;0),"Long buildup (interpretation)",IF(AND(R82&lt;0,S82&gt;0),"Short buildup (interpretation)",IF(AND(R82&gt;0,S82&lt;0),"Short covering (interpretation)",IF(AND(R82&lt;0,S82&lt;0),"Long unwinding (interpretation)","Neutral")))))</f>
        <v>Long buildup (interpretation)</v>
      </c>
      <c r="V82" s="52" t="str">
        <f aca="false">TEXT(B82,"yyyy-mm")</f>
        <v>2025-01</v>
      </c>
      <c r="W82" s="52" t="n">
        <f aca="false">1+COUNTIFS($B$2:$B$756,B82,$C$2:$C$756,"&lt;"&amp;C82)</f>
        <v>3</v>
      </c>
      <c r="X82" s="53" t="n">
        <f aca="false">IF(AND(ISNUMBER(P82),Q82&gt;0),P82*365/Q82,"")</f>
        <v>0.0848748925270074</v>
      </c>
      <c r="Y82" s="42" t="n">
        <f aca="false">IF(AND(C83=C82,ISNUMBER(R83)),R83,"")</f>
        <v>-0.603729831431321</v>
      </c>
      <c r="Z82" s="52" t="n">
        <f aca="false">IF(AND(W82=1,Q82&gt;Basis_Analysis!$B$3,ISNUMBER(Y82)),1,0)</f>
        <v>0</v>
      </c>
      <c r="AA82" s="43" t="str">
        <f aca="false">IF(W82=1,IF(SUMIFS($L$2:$L$756,$B$2:$B$756,B82,$W$2:$W$756,2)&gt;0,SUMIFS($L$2:$L$756,$B$2:$B$756,B82,$W$2:$W$756,2),""),"")</f>
        <v/>
      </c>
      <c r="AB82" s="54" t="str">
        <f aca="false">IF(AND(W82=1,ISNUMBER(AA82)),L82/(L82+AA82),"")</f>
        <v/>
      </c>
    </row>
    <row r="83" customFormat="false" ht="15" hidden="false" customHeight="true" outlineLevel="0" collapsed="false">
      <c r="A83" s="1" t="s">
        <v>274</v>
      </c>
      <c r="B83" s="46" t="n">
        <v>45681</v>
      </c>
      <c r="C83" s="46" t="n">
        <v>45743</v>
      </c>
      <c r="D83" s="47" t="n">
        <v>23542.65</v>
      </c>
      <c r="E83" s="47" t="n">
        <v>23650</v>
      </c>
      <c r="F83" s="47" t="n">
        <v>23371</v>
      </c>
      <c r="G83" s="47" t="n">
        <v>23403.15</v>
      </c>
      <c r="H83" s="47" t="n">
        <v>23400</v>
      </c>
      <c r="I83" s="47" t="n">
        <v>23403.15</v>
      </c>
      <c r="J83" s="48" t="n">
        <v>3024</v>
      </c>
      <c r="K83" s="47" t="n">
        <v>53316.1</v>
      </c>
      <c r="L83" s="48" t="n">
        <v>525825</v>
      </c>
      <c r="M83" s="48" t="n">
        <v>17025</v>
      </c>
      <c r="N83" s="47" t="n">
        <v>23092.2</v>
      </c>
      <c r="O83" s="47" t="n">
        <f aca="false">IF(AND(ISNUMBER(G83),ISNUMBER(N83)),G83-N83,"")</f>
        <v>310.950000000001</v>
      </c>
      <c r="P83" s="49" t="n">
        <f aca="false">IF(ISNUMBER(O83),O83/N83,"")</f>
        <v>0.0134655857822122</v>
      </c>
      <c r="Q83" s="50" t="n">
        <f aca="false">C83-B83</f>
        <v>62</v>
      </c>
      <c r="R83" s="51" t="n">
        <f aca="false">IF(AND(C83=C82,ISNUMBER(G83),ISNUMBER(G82)),(G83/G82-1)*100,"")</f>
        <v>-0.603729831431321</v>
      </c>
      <c r="S83" s="51" t="n">
        <f aca="false">IF(AND(C83=C82,ISNUMBER(L83),ISNUMBER(L82)),(L83/L82-1)*100,"")</f>
        <v>3.34610849056605</v>
      </c>
      <c r="T83" s="51" t="n">
        <f aca="false">IF(AND(C83=C82,ISNUMBER(G83),ISNUMBER(G82)),G83-G82,"")</f>
        <v>-142.149999999998</v>
      </c>
      <c r="U83" s="1" t="str">
        <f aca="false">IF(OR(NOT(ISNUMBER(R83)),NOT(ISNUMBER(S83))),"Not classified",IF(AND(R83&gt;0,S83&gt;0),"Long buildup (interpretation)",IF(AND(R83&lt;0,S83&gt;0),"Short buildup (interpretation)",IF(AND(R83&gt;0,S83&lt;0),"Short covering (interpretation)",IF(AND(R83&lt;0,S83&lt;0),"Long unwinding (interpretation)","Neutral")))))</f>
        <v>Short buildup (interpretation)</v>
      </c>
      <c r="V83" s="52" t="str">
        <f aca="false">TEXT(B83,"yyyy-mm")</f>
        <v>2025-01</v>
      </c>
      <c r="W83" s="52" t="n">
        <f aca="false">1+COUNTIFS($B$2:$B$756,B83,$C$2:$C$756,"&lt;"&amp;C83)</f>
        <v>3</v>
      </c>
      <c r="X83" s="53" t="n">
        <f aca="false">IF(AND(ISNUMBER(P83),Q83&gt;0),P83*365/Q83,"")</f>
        <v>0.079273206621088</v>
      </c>
      <c r="Y83" s="42" t="n">
        <f aca="false">IF(AND(C84=C83,ISNUMBER(R84)),R84,"")</f>
        <v>-1.2077434020634</v>
      </c>
      <c r="Z83" s="52" t="n">
        <f aca="false">IF(AND(W83=1,Q83&gt;Basis_Analysis!$B$3,ISNUMBER(Y83)),1,0)</f>
        <v>0</v>
      </c>
      <c r="AA83" s="43" t="str">
        <f aca="false">IF(W83=1,IF(SUMIFS($L$2:$L$756,$B$2:$B$756,B83,$W$2:$W$756,2)&gt;0,SUMIFS($L$2:$L$756,$B$2:$B$756,B83,$W$2:$W$756,2),""),"")</f>
        <v/>
      </c>
      <c r="AB83" s="54" t="str">
        <f aca="false">IF(AND(W83=1,ISNUMBER(AA83)),L83/(L83+AA83),"")</f>
        <v/>
      </c>
    </row>
    <row r="84" customFormat="false" ht="15" hidden="false" customHeight="true" outlineLevel="0" collapsed="false">
      <c r="A84" s="1" t="s">
        <v>274</v>
      </c>
      <c r="B84" s="46" t="n">
        <v>45684</v>
      </c>
      <c r="C84" s="46" t="n">
        <v>45743</v>
      </c>
      <c r="D84" s="47" t="n">
        <v>23250</v>
      </c>
      <c r="E84" s="47" t="n">
        <v>23306.85</v>
      </c>
      <c r="F84" s="47" t="n">
        <v>23083</v>
      </c>
      <c r="G84" s="47" t="n">
        <v>23120.5</v>
      </c>
      <c r="H84" s="47" t="n">
        <v>23105</v>
      </c>
      <c r="I84" s="47" t="n">
        <v>23120.5</v>
      </c>
      <c r="J84" s="48" t="n">
        <v>4695</v>
      </c>
      <c r="K84" s="47" t="n">
        <v>81608.15</v>
      </c>
      <c r="L84" s="48" t="n">
        <v>617925</v>
      </c>
      <c r="M84" s="48" t="n">
        <v>92100</v>
      </c>
      <c r="N84" s="47" t="n">
        <v>22829.15</v>
      </c>
      <c r="O84" s="47" t="n">
        <f aca="false">IF(AND(ISNUMBER(G84),ISNUMBER(N84)),G84-N84,"")</f>
        <v>291.349999999999</v>
      </c>
      <c r="P84" s="49" t="n">
        <f aca="false">IF(ISNUMBER(O84),O84/N84,"")</f>
        <v>0.0127621921972565</v>
      </c>
      <c r="Q84" s="50" t="n">
        <f aca="false">C84-B84</f>
        <v>59</v>
      </c>
      <c r="R84" s="51" t="n">
        <f aca="false">IF(AND(C84=C83,ISNUMBER(G84),ISNUMBER(G83)),(G84/G83-1)*100,"")</f>
        <v>-1.2077434020634</v>
      </c>
      <c r="S84" s="51" t="n">
        <f aca="false">IF(AND(C84=C83,ISNUMBER(L84),ISNUMBER(L83)),(L84/L83-1)*100,"")</f>
        <v>17.5153330480673</v>
      </c>
      <c r="T84" s="51" t="n">
        <f aca="false">IF(AND(C84=C83,ISNUMBER(G84),ISNUMBER(G83)),G84-G83,"")</f>
        <v>-282.650000000001</v>
      </c>
      <c r="U84" s="1" t="str">
        <f aca="false">IF(OR(NOT(ISNUMBER(R84)),NOT(ISNUMBER(S84))),"Not classified",IF(AND(R84&gt;0,S84&gt;0),"Long buildup (interpretation)",IF(AND(R84&lt;0,S84&gt;0),"Short buildup (interpretation)",IF(AND(R84&gt;0,S84&lt;0),"Short covering (interpretation)",IF(AND(R84&lt;0,S84&lt;0),"Long unwinding (interpretation)","Neutral")))))</f>
        <v>Short buildup (interpretation)</v>
      </c>
      <c r="V84" s="52" t="str">
        <f aca="false">TEXT(B84,"yyyy-mm")</f>
        <v>2025-01</v>
      </c>
      <c r="W84" s="52" t="n">
        <f aca="false">1+COUNTIFS($B$2:$B$756,B84,$C$2:$C$756,"&lt;"&amp;C84)</f>
        <v>3</v>
      </c>
      <c r="X84" s="53" t="n">
        <f aca="false">IF(AND(ISNUMBER(P84),Q84&gt;0),P84*365/Q84,"")</f>
        <v>0.0789525449491293</v>
      </c>
      <c r="Y84" s="42" t="n">
        <f aca="false">IF(AND(C85=C84,ISNUMBER(R85)),R85,"")</f>
        <v>0.551891178823971</v>
      </c>
      <c r="Z84" s="52" t="n">
        <f aca="false">IF(AND(W84=1,Q84&gt;Basis_Analysis!$B$3,ISNUMBER(Y84)),1,0)</f>
        <v>0</v>
      </c>
      <c r="AA84" s="43" t="str">
        <f aca="false">IF(W84=1,IF(SUMIFS($L$2:$L$756,$B$2:$B$756,B84,$W$2:$W$756,2)&gt;0,SUMIFS($L$2:$L$756,$B$2:$B$756,B84,$W$2:$W$756,2),""),"")</f>
        <v/>
      </c>
      <c r="AB84" s="54" t="str">
        <f aca="false">IF(AND(W84=1,ISNUMBER(AA84)),L84/(L84+AA84),"")</f>
        <v/>
      </c>
    </row>
    <row r="85" customFormat="false" ht="15" hidden="false" customHeight="true" outlineLevel="0" collapsed="false">
      <c r="A85" s="1" t="s">
        <v>274</v>
      </c>
      <c r="B85" s="46" t="n">
        <v>45685</v>
      </c>
      <c r="C85" s="46" t="n">
        <v>45743</v>
      </c>
      <c r="D85" s="47" t="n">
        <v>23224.05</v>
      </c>
      <c r="E85" s="47" t="n">
        <v>23421</v>
      </c>
      <c r="F85" s="47" t="n">
        <v>23141.5</v>
      </c>
      <c r="G85" s="47" t="n">
        <v>23248.1</v>
      </c>
      <c r="H85" s="47" t="n">
        <v>23260</v>
      </c>
      <c r="I85" s="47" t="n">
        <v>23248.1</v>
      </c>
      <c r="J85" s="48" t="n">
        <v>5617</v>
      </c>
      <c r="K85" s="47" t="n">
        <v>98010.77</v>
      </c>
      <c r="L85" s="48" t="n">
        <v>662475</v>
      </c>
      <c r="M85" s="48" t="n">
        <v>44550</v>
      </c>
      <c r="N85" s="47" t="n">
        <v>22957.25</v>
      </c>
      <c r="O85" s="47" t="n">
        <f aca="false">IF(AND(ISNUMBER(G85),ISNUMBER(N85)),G85-N85,"")</f>
        <v>290.849999999999</v>
      </c>
      <c r="P85" s="49" t="n">
        <f aca="false">IF(ISNUMBER(O85),O85/N85,"")</f>
        <v>0.0126692003615415</v>
      </c>
      <c r="Q85" s="50" t="n">
        <f aca="false">C85-B85</f>
        <v>58</v>
      </c>
      <c r="R85" s="51" t="n">
        <f aca="false">IF(AND(C85=C84,ISNUMBER(G85),ISNUMBER(G84)),(G85/G84-1)*100,"")</f>
        <v>0.551891178823971</v>
      </c>
      <c r="S85" s="51" t="n">
        <f aca="false">IF(AND(C85=C84,ISNUMBER(L85),ISNUMBER(L84)),(L85/L84-1)*100,"")</f>
        <v>7.20961281708945</v>
      </c>
      <c r="T85" s="51" t="n">
        <f aca="false">IF(AND(C85=C84,ISNUMBER(G85),ISNUMBER(G84)),G85-G84,"")</f>
        <v>127.599999999999</v>
      </c>
      <c r="U85" s="1" t="str">
        <f aca="false">IF(OR(NOT(ISNUMBER(R85)),NOT(ISNUMBER(S85))),"Not classified",IF(AND(R85&gt;0,S85&gt;0),"Long buildup (interpretation)",IF(AND(R85&lt;0,S85&gt;0),"Short buildup (interpretation)",IF(AND(R85&gt;0,S85&lt;0),"Short covering (interpretation)",IF(AND(R85&lt;0,S85&lt;0),"Long unwinding (interpretation)","Neutral")))))</f>
        <v>Long buildup (interpretation)</v>
      </c>
      <c r="V85" s="52" t="str">
        <f aca="false">TEXT(B85,"yyyy-mm")</f>
        <v>2025-01</v>
      </c>
      <c r="W85" s="52" t="n">
        <f aca="false">1+COUNTIFS($B$2:$B$756,B85,$C$2:$C$756,"&lt;"&amp;C85)</f>
        <v>3</v>
      </c>
      <c r="X85" s="53" t="n">
        <f aca="false">IF(AND(ISNUMBER(P85),Q85&gt;0),P85*365/Q85,"")</f>
        <v>0.0797285884821146</v>
      </c>
      <c r="Y85" s="42" t="n">
        <f aca="false">IF(AND(C86=C85,ISNUMBER(R86)),R86,"")</f>
        <v>0.777267819735816</v>
      </c>
      <c r="Z85" s="52" t="n">
        <f aca="false">IF(AND(W85=1,Q85&gt;Basis_Analysis!$B$3,ISNUMBER(Y85)),1,0)</f>
        <v>0</v>
      </c>
      <c r="AA85" s="43" t="str">
        <f aca="false">IF(W85=1,IF(SUMIFS($L$2:$L$756,$B$2:$B$756,B85,$W$2:$W$756,2)&gt;0,SUMIFS($L$2:$L$756,$B$2:$B$756,B85,$W$2:$W$756,2),""),"")</f>
        <v/>
      </c>
      <c r="AB85" s="54" t="str">
        <f aca="false">IF(AND(W85=1,ISNUMBER(AA85)),L85/(L85+AA85),"")</f>
        <v/>
      </c>
    </row>
    <row r="86" customFormat="false" ht="15" hidden="false" customHeight="true" outlineLevel="0" collapsed="false">
      <c r="A86" s="1" t="s">
        <v>274</v>
      </c>
      <c r="B86" s="46" t="n">
        <v>45686</v>
      </c>
      <c r="C86" s="46" t="n">
        <v>45743</v>
      </c>
      <c r="D86" s="47" t="n">
        <v>23261.15</v>
      </c>
      <c r="E86" s="47" t="n">
        <v>23463.95</v>
      </c>
      <c r="F86" s="47" t="n">
        <v>23253.3</v>
      </c>
      <c r="G86" s="47" t="n">
        <v>23428.8</v>
      </c>
      <c r="H86" s="47" t="n">
        <v>23455.5</v>
      </c>
      <c r="I86" s="47" t="n">
        <v>23428.8</v>
      </c>
      <c r="J86" s="48" t="n">
        <v>4992</v>
      </c>
      <c r="K86" s="47" t="n">
        <v>87539.98</v>
      </c>
      <c r="L86" s="48" t="n">
        <v>699975</v>
      </c>
      <c r="M86" s="48" t="n">
        <v>37500</v>
      </c>
      <c r="N86" s="47" t="n">
        <v>23163.1</v>
      </c>
      <c r="O86" s="47" t="n">
        <f aca="false">IF(AND(ISNUMBER(G86),ISNUMBER(N86)),G86-N86,"")</f>
        <v>265.700000000001</v>
      </c>
      <c r="P86" s="49" t="n">
        <f aca="false">IF(ISNUMBER(O86),O86/N86,"")</f>
        <v>0.0114708307609949</v>
      </c>
      <c r="Q86" s="50" t="n">
        <f aca="false">C86-B86</f>
        <v>57</v>
      </c>
      <c r="R86" s="51" t="n">
        <f aca="false">IF(AND(C86=C85,ISNUMBER(G86),ISNUMBER(G85)),(G86/G85-1)*100,"")</f>
        <v>0.777267819735816</v>
      </c>
      <c r="S86" s="51" t="n">
        <f aca="false">IF(AND(C86=C85,ISNUMBER(L86),ISNUMBER(L85)),(L86/L85-1)*100,"")</f>
        <v>5.66059096569682</v>
      </c>
      <c r="T86" s="51" t="n">
        <f aca="false">IF(AND(C86=C85,ISNUMBER(G86),ISNUMBER(G85)),G86-G85,"")</f>
        <v>180.700000000001</v>
      </c>
      <c r="U86" s="1" t="str">
        <f aca="false">IF(OR(NOT(ISNUMBER(R86)),NOT(ISNUMBER(S86))),"Not classified",IF(AND(R86&gt;0,S86&gt;0),"Long buildup (interpretation)",IF(AND(R86&lt;0,S86&gt;0),"Short buildup (interpretation)",IF(AND(R86&gt;0,S86&lt;0),"Short covering (interpretation)",IF(AND(R86&lt;0,S86&lt;0),"Long unwinding (interpretation)","Neutral")))))</f>
        <v>Long buildup (interpretation)</v>
      </c>
      <c r="V86" s="52" t="str">
        <f aca="false">TEXT(B86,"yyyy-mm")</f>
        <v>2025-01</v>
      </c>
      <c r="W86" s="52" t="n">
        <f aca="false">1+COUNTIFS($B$2:$B$756,B86,$C$2:$C$756,"&lt;"&amp;C86)</f>
        <v>3</v>
      </c>
      <c r="X86" s="53" t="n">
        <f aca="false">IF(AND(ISNUMBER(P86),Q86&gt;0),P86*365/Q86,"")</f>
        <v>0.0734535653993532</v>
      </c>
      <c r="Y86" s="42" t="n">
        <f aca="false">IF(AND(C87=C86,ISNUMBER(R87)),R87,"")</f>
        <v>0.595421020282738</v>
      </c>
      <c r="Z86" s="52" t="n">
        <f aca="false">IF(AND(W86=1,Q86&gt;Basis_Analysis!$B$3,ISNUMBER(Y86)),1,0)</f>
        <v>0</v>
      </c>
      <c r="AA86" s="43" t="str">
        <f aca="false">IF(W86=1,IF(SUMIFS($L$2:$L$756,$B$2:$B$756,B86,$W$2:$W$756,2)&gt;0,SUMIFS($L$2:$L$756,$B$2:$B$756,B86,$W$2:$W$756,2),""),"")</f>
        <v/>
      </c>
      <c r="AB86" s="54" t="str">
        <f aca="false">IF(AND(W86=1,ISNUMBER(AA86)),L86/(L86+AA86),"")</f>
        <v/>
      </c>
    </row>
    <row r="87" customFormat="false" ht="15" hidden="false" customHeight="true" outlineLevel="0" collapsed="false">
      <c r="A87" s="1" t="s">
        <v>274</v>
      </c>
      <c r="B87" s="46" t="n">
        <v>45687</v>
      </c>
      <c r="C87" s="46" t="n">
        <v>45743</v>
      </c>
      <c r="D87" s="47" t="n">
        <v>23360</v>
      </c>
      <c r="E87" s="47" t="n">
        <v>23607.4</v>
      </c>
      <c r="F87" s="47" t="n">
        <v>23360</v>
      </c>
      <c r="G87" s="47" t="n">
        <v>23568.3</v>
      </c>
      <c r="H87" s="47" t="n">
        <v>23595</v>
      </c>
      <c r="I87" s="47" t="n">
        <v>23568.3</v>
      </c>
      <c r="J87" s="48" t="n">
        <v>6235</v>
      </c>
      <c r="K87" s="47" t="n">
        <v>110076.24</v>
      </c>
      <c r="L87" s="48" t="n">
        <v>812925</v>
      </c>
      <c r="M87" s="48" t="n">
        <v>112950</v>
      </c>
      <c r="N87" s="47" t="n">
        <v>23249.5</v>
      </c>
      <c r="O87" s="47" t="n">
        <f aca="false">IF(AND(ISNUMBER(G87),ISNUMBER(N87)),G87-N87,"")</f>
        <v>318.799999999999</v>
      </c>
      <c r="P87" s="49" t="n">
        <f aca="false">IF(ISNUMBER(O87),O87/N87,"")</f>
        <v>0.0137121228413514</v>
      </c>
      <c r="Q87" s="50" t="n">
        <f aca="false">C87-B87</f>
        <v>56</v>
      </c>
      <c r="R87" s="51" t="n">
        <f aca="false">IF(AND(C87=C86,ISNUMBER(G87),ISNUMBER(G86)),(G87/G86-1)*100,"")</f>
        <v>0.595421020282738</v>
      </c>
      <c r="S87" s="51" t="n">
        <f aca="false">IF(AND(C87=C86,ISNUMBER(L87),ISNUMBER(L86)),(L87/L86-1)*100,"")</f>
        <v>16.1362905818065</v>
      </c>
      <c r="T87" s="51" t="n">
        <f aca="false">IF(AND(C87=C86,ISNUMBER(G87),ISNUMBER(G86)),G87-G86,"")</f>
        <v>139.5</v>
      </c>
      <c r="U87" s="1" t="str">
        <f aca="false">IF(OR(NOT(ISNUMBER(R87)),NOT(ISNUMBER(S87))),"Not classified",IF(AND(R87&gt;0,S87&gt;0),"Long buildup (interpretation)",IF(AND(R87&lt;0,S87&gt;0),"Short buildup (interpretation)",IF(AND(R87&gt;0,S87&lt;0),"Short covering (interpretation)",IF(AND(R87&lt;0,S87&lt;0),"Long unwinding (interpretation)","Neutral")))))</f>
        <v>Long buildup (interpretation)</v>
      </c>
      <c r="V87" s="52" t="str">
        <f aca="false">TEXT(B87,"yyyy-mm")</f>
        <v>2025-01</v>
      </c>
      <c r="W87" s="52" t="n">
        <f aca="false">1+COUNTIFS($B$2:$B$756,B87,$C$2:$C$756,"&lt;"&amp;C87)</f>
        <v>3</v>
      </c>
      <c r="X87" s="53" t="n">
        <f aca="false">IF(AND(ISNUMBER(P87),Q87&gt;0),P87*365/Q87,"")</f>
        <v>0.0893736578052368</v>
      </c>
      <c r="Y87" s="42" t="n">
        <f aca="false">IF(AND(C88=C87,ISNUMBER(R88)),R88,"")</f>
        <v>0.835232070196001</v>
      </c>
      <c r="Z87" s="52" t="n">
        <f aca="false">IF(AND(W87=1,Q87&gt;Basis_Analysis!$B$3,ISNUMBER(Y87)),1,0)</f>
        <v>0</v>
      </c>
      <c r="AA87" s="43" t="str">
        <f aca="false">IF(W87=1,IF(SUMIFS($L$2:$L$756,$B$2:$B$756,B87,$W$2:$W$756,2)&gt;0,SUMIFS($L$2:$L$756,$B$2:$B$756,B87,$W$2:$W$756,2),""),"")</f>
        <v/>
      </c>
      <c r="AB87" s="54" t="str">
        <f aca="false">IF(AND(W87=1,ISNUMBER(AA87)),L87/(L87+AA87),"")</f>
        <v/>
      </c>
    </row>
    <row r="88" customFormat="false" ht="15" hidden="false" customHeight="true" outlineLevel="0" collapsed="false">
      <c r="A88" s="1" t="s">
        <v>274</v>
      </c>
      <c r="B88" s="46" t="n">
        <v>45688</v>
      </c>
      <c r="C88" s="46" t="n">
        <v>45743</v>
      </c>
      <c r="D88" s="47" t="n">
        <v>23568</v>
      </c>
      <c r="E88" s="47" t="n">
        <v>23785</v>
      </c>
      <c r="F88" s="47" t="n">
        <v>23563.8</v>
      </c>
      <c r="G88" s="47" t="n">
        <v>23765.15</v>
      </c>
      <c r="H88" s="47" t="n">
        <v>23782</v>
      </c>
      <c r="I88" s="47" t="n">
        <v>23765.15</v>
      </c>
      <c r="J88" s="48" t="n">
        <v>6686</v>
      </c>
      <c r="K88" s="47" t="n">
        <v>118857.47</v>
      </c>
      <c r="L88" s="48" t="n">
        <v>851175</v>
      </c>
      <c r="M88" s="48" t="n">
        <v>38250</v>
      </c>
      <c r="N88" s="47" t="n">
        <v>23508.4</v>
      </c>
      <c r="O88" s="47" t="n">
        <f aca="false">IF(AND(ISNUMBER(G88),ISNUMBER(N88)),G88-N88,"")</f>
        <v>256.75</v>
      </c>
      <c r="P88" s="49" t="n">
        <f aca="false">IF(ISNUMBER(O88),O88/N88,"")</f>
        <v>0.0109216280138163</v>
      </c>
      <c r="Q88" s="50" t="n">
        <f aca="false">C88-B88</f>
        <v>55</v>
      </c>
      <c r="R88" s="51" t="n">
        <f aca="false">IF(AND(C88=C87,ISNUMBER(G88),ISNUMBER(G87)),(G88/G87-1)*100,"")</f>
        <v>0.835232070196001</v>
      </c>
      <c r="S88" s="51" t="n">
        <f aca="false">IF(AND(C88=C87,ISNUMBER(L88),ISNUMBER(L87)),(L88/L87-1)*100,"")</f>
        <v>4.70523110988099</v>
      </c>
      <c r="T88" s="51" t="n">
        <f aca="false">IF(AND(C88=C87,ISNUMBER(G88),ISNUMBER(G87)),G88-G87,"")</f>
        <v>196.850000000002</v>
      </c>
      <c r="U88" s="1" t="str">
        <f aca="false">IF(OR(NOT(ISNUMBER(R88)),NOT(ISNUMBER(S88))),"Not classified",IF(AND(R88&gt;0,S88&gt;0),"Long buildup (interpretation)",IF(AND(R88&lt;0,S88&gt;0),"Short buildup (interpretation)",IF(AND(R88&gt;0,S88&lt;0),"Short covering (interpretation)",IF(AND(R88&lt;0,S88&lt;0),"Long unwinding (interpretation)","Neutral")))))</f>
        <v>Long buildup (interpretation)</v>
      </c>
      <c r="V88" s="52" t="str">
        <f aca="false">TEXT(B88,"yyyy-mm")</f>
        <v>2025-01</v>
      </c>
      <c r="W88" s="52" t="n">
        <f aca="false">1+COUNTIFS($B$2:$B$756,B88,$C$2:$C$756,"&lt;"&amp;C88)</f>
        <v>2</v>
      </c>
      <c r="X88" s="53" t="n">
        <f aca="false">IF(AND(ISNUMBER(P88),Q88&gt;0),P88*365/Q88,"")</f>
        <v>0.0724798950007811</v>
      </c>
      <c r="Y88" s="42" t="n">
        <f aca="false">IF(AND(C89=C88,ISNUMBER(R89)),R89,"")</f>
        <v>-0.298756793035182</v>
      </c>
      <c r="Z88" s="52" t="n">
        <f aca="false">IF(AND(W88=1,Q88&gt;Basis_Analysis!$B$3,ISNUMBER(Y88)),1,0)</f>
        <v>0</v>
      </c>
      <c r="AA88" s="43" t="str">
        <f aca="false">IF(W88=1,IF(SUMIFS($L$2:$L$756,$B$2:$B$756,B88,$W$2:$W$756,2)&gt;0,SUMIFS($L$2:$L$756,$B$2:$B$756,B88,$W$2:$W$756,2),""),"")</f>
        <v/>
      </c>
      <c r="AB88" s="54" t="str">
        <f aca="false">IF(AND(W88=1,ISNUMBER(AA88)),L88/(L88+AA88),"")</f>
        <v/>
      </c>
    </row>
    <row r="89" customFormat="false" ht="15" hidden="false" customHeight="true" outlineLevel="0" collapsed="false">
      <c r="A89" s="1" t="s">
        <v>274</v>
      </c>
      <c r="B89" s="46" t="n">
        <v>45689</v>
      </c>
      <c r="C89" s="46" t="n">
        <v>45743</v>
      </c>
      <c r="D89" s="47" t="n">
        <v>23751.05</v>
      </c>
      <c r="E89" s="47" t="n">
        <v>23852.95</v>
      </c>
      <c r="F89" s="47" t="n">
        <v>23570</v>
      </c>
      <c r="G89" s="47" t="n">
        <v>23694.15</v>
      </c>
      <c r="H89" s="47" t="n">
        <v>23697.6</v>
      </c>
      <c r="I89" s="47" t="n">
        <v>23694.15</v>
      </c>
      <c r="J89" s="48" t="n">
        <v>7741</v>
      </c>
      <c r="K89" s="47" t="n">
        <v>137680.55</v>
      </c>
      <c r="L89" s="48" t="n">
        <v>861225</v>
      </c>
      <c r="M89" s="48" t="n">
        <v>10050</v>
      </c>
      <c r="N89" s="47" t="n">
        <v>23482.15</v>
      </c>
      <c r="O89" s="47" t="n">
        <f aca="false">IF(AND(ISNUMBER(G89),ISNUMBER(N89)),G89-N89,"")</f>
        <v>212</v>
      </c>
      <c r="P89" s="49" t="n">
        <f aca="false">IF(ISNUMBER(O89),O89/N89,"")</f>
        <v>0.00902813413592878</v>
      </c>
      <c r="Q89" s="50" t="n">
        <f aca="false">C89-B89</f>
        <v>54</v>
      </c>
      <c r="R89" s="51" t="n">
        <f aca="false">IF(AND(C89=C88,ISNUMBER(G89),ISNUMBER(G88)),(G89/G88-1)*100,"")</f>
        <v>-0.298756793035182</v>
      </c>
      <c r="S89" s="51" t="n">
        <f aca="false">IF(AND(C89=C88,ISNUMBER(L89),ISNUMBER(L88)),(L89/L88-1)*100,"")</f>
        <v>1.18072076834963</v>
      </c>
      <c r="T89" s="51" t="n">
        <f aca="false">IF(AND(C89=C88,ISNUMBER(G89),ISNUMBER(G88)),G89-G88,"")</f>
        <v>-71</v>
      </c>
      <c r="U89" s="1" t="str">
        <f aca="false">IF(OR(NOT(ISNUMBER(R89)),NOT(ISNUMBER(S89))),"Not classified",IF(AND(R89&gt;0,S89&gt;0),"Long buildup (interpretation)",IF(AND(R89&lt;0,S89&gt;0),"Short buildup (interpretation)",IF(AND(R89&gt;0,S89&lt;0),"Short covering (interpretation)",IF(AND(R89&lt;0,S89&lt;0),"Long unwinding (interpretation)","Neutral")))))</f>
        <v>Short buildup (interpretation)</v>
      </c>
      <c r="V89" s="52" t="str">
        <f aca="false">TEXT(B89,"yyyy-mm")</f>
        <v>2025-02</v>
      </c>
      <c r="W89" s="52" t="n">
        <f aca="false">1+COUNTIFS($B$2:$B$756,B89,$C$2:$C$756,"&lt;"&amp;C89)</f>
        <v>2</v>
      </c>
      <c r="X89" s="53" t="n">
        <f aca="false">IF(AND(ISNUMBER(P89),Q89&gt;0),P89*365/Q89,"")</f>
        <v>0.0610234992521112</v>
      </c>
      <c r="Y89" s="42" t="n">
        <f aca="false">IF(AND(C90=C89,ISNUMBER(R90)),R90,"")</f>
        <v>-0.476488922371143</v>
      </c>
      <c r="Z89" s="52" t="n">
        <f aca="false">IF(AND(W89=1,Q89&gt;Basis_Analysis!$B$3,ISNUMBER(Y89)),1,0)</f>
        <v>0</v>
      </c>
      <c r="AA89" s="43" t="str">
        <f aca="false">IF(W89=1,IF(SUMIFS($L$2:$L$756,$B$2:$B$756,B89,$W$2:$W$756,2)&gt;0,SUMIFS($L$2:$L$756,$B$2:$B$756,B89,$W$2:$W$756,2),""),"")</f>
        <v/>
      </c>
      <c r="AB89" s="54" t="str">
        <f aca="false">IF(AND(W89=1,ISNUMBER(AA89)),L89/(L89+AA89),"")</f>
        <v/>
      </c>
    </row>
    <row r="90" customFormat="false" ht="15" hidden="false" customHeight="true" outlineLevel="0" collapsed="false">
      <c r="A90" s="1" t="s">
        <v>274</v>
      </c>
      <c r="B90" s="46" t="n">
        <v>45691</v>
      </c>
      <c r="C90" s="46" t="n">
        <v>45743</v>
      </c>
      <c r="D90" s="47" t="n">
        <v>23575</v>
      </c>
      <c r="E90" s="47" t="n">
        <v>23595</v>
      </c>
      <c r="F90" s="47" t="n">
        <v>23451</v>
      </c>
      <c r="G90" s="47" t="n">
        <v>23581.25</v>
      </c>
      <c r="H90" s="47" t="n">
        <v>23576.95</v>
      </c>
      <c r="I90" s="47" t="n">
        <v>23581.25</v>
      </c>
      <c r="J90" s="48" t="n">
        <v>4563</v>
      </c>
      <c r="K90" s="47" t="n">
        <v>80494.68</v>
      </c>
      <c r="L90" s="48" t="n">
        <v>862950</v>
      </c>
      <c r="M90" s="48" t="n">
        <v>1725</v>
      </c>
      <c r="N90" s="47" t="n">
        <v>23361.05</v>
      </c>
      <c r="O90" s="47" t="n">
        <f aca="false">IF(AND(ISNUMBER(G90),ISNUMBER(N90)),G90-N90,"")</f>
        <v>220.200000000001</v>
      </c>
      <c r="P90" s="49" t="n">
        <f aca="false">IF(ISNUMBER(O90),O90/N90,"")</f>
        <v>0.00942594617964521</v>
      </c>
      <c r="Q90" s="50" t="n">
        <f aca="false">C90-B90</f>
        <v>52</v>
      </c>
      <c r="R90" s="51" t="n">
        <f aca="false">IF(AND(C90=C89,ISNUMBER(G90),ISNUMBER(G89)),(G90/G89-1)*100,"")</f>
        <v>-0.476488922371143</v>
      </c>
      <c r="S90" s="51" t="n">
        <f aca="false">IF(AND(C90=C89,ISNUMBER(L90),ISNUMBER(L89)),(L90/L89-1)*100,"")</f>
        <v>0.200296089871976</v>
      </c>
      <c r="T90" s="51" t="n">
        <f aca="false">IF(AND(C90=C89,ISNUMBER(G90),ISNUMBER(G89)),G90-G89,"")</f>
        <v>-112.900000000001</v>
      </c>
      <c r="U90" s="1" t="str">
        <f aca="false">IF(OR(NOT(ISNUMBER(R90)),NOT(ISNUMBER(S90))),"Not classified",IF(AND(R90&gt;0,S90&gt;0),"Long buildup (interpretation)",IF(AND(R90&lt;0,S90&gt;0),"Short buildup (interpretation)",IF(AND(R90&gt;0,S90&lt;0),"Short covering (interpretation)",IF(AND(R90&lt;0,S90&lt;0),"Long unwinding (interpretation)","Neutral")))))</f>
        <v>Short buildup (interpretation)</v>
      </c>
      <c r="V90" s="52" t="str">
        <f aca="false">TEXT(B90,"yyyy-mm")</f>
        <v>2025-02</v>
      </c>
      <c r="W90" s="52" t="n">
        <f aca="false">1+COUNTIFS($B$2:$B$756,B90,$C$2:$C$756,"&lt;"&amp;C90)</f>
        <v>2</v>
      </c>
      <c r="X90" s="53" t="n">
        <f aca="false">IF(AND(ISNUMBER(P90),Q90&gt;0),P90*365/Q90,"")</f>
        <v>0.0661628914532789</v>
      </c>
      <c r="Y90" s="42" t="n">
        <f aca="false">IF(AND(C91=C90,ISNUMBER(R91)),R91,"")</f>
        <v>1.45115292870395</v>
      </c>
      <c r="Z90" s="52" t="n">
        <f aca="false">IF(AND(W90=1,Q90&gt;Basis_Analysis!$B$3,ISNUMBER(Y90)),1,0)</f>
        <v>0</v>
      </c>
      <c r="AA90" s="43" t="str">
        <f aca="false">IF(W90=1,IF(SUMIFS($L$2:$L$756,$B$2:$B$756,B90,$W$2:$W$756,2)&gt;0,SUMIFS($L$2:$L$756,$B$2:$B$756,B90,$W$2:$W$756,2),""),"")</f>
        <v/>
      </c>
      <c r="AB90" s="54" t="str">
        <f aca="false">IF(AND(W90=1,ISNUMBER(AA90)),L90/(L90+AA90),"")</f>
        <v/>
      </c>
    </row>
    <row r="91" customFormat="false" ht="15" hidden="false" customHeight="true" outlineLevel="0" collapsed="false">
      <c r="A91" s="1" t="s">
        <v>274</v>
      </c>
      <c r="B91" s="46" t="n">
        <v>45692</v>
      </c>
      <c r="C91" s="46" t="n">
        <v>45743</v>
      </c>
      <c r="D91" s="47" t="n">
        <v>23666</v>
      </c>
      <c r="E91" s="47" t="n">
        <v>23932.7</v>
      </c>
      <c r="F91" s="47" t="n">
        <v>23642.1</v>
      </c>
      <c r="G91" s="47" t="n">
        <v>23923.45</v>
      </c>
      <c r="H91" s="47" t="n">
        <v>23932</v>
      </c>
      <c r="I91" s="47" t="n">
        <v>23923.45</v>
      </c>
      <c r="J91" s="48" t="n">
        <v>7802</v>
      </c>
      <c r="K91" s="47" t="n">
        <v>139273.28</v>
      </c>
      <c r="L91" s="48" t="n">
        <v>885900</v>
      </c>
      <c r="M91" s="48" t="n">
        <v>22950</v>
      </c>
      <c r="N91" s="47"/>
      <c r="O91" s="47" t="str">
        <f aca="false">IF(AND(ISNUMBER(G91),ISNUMBER(N91)),G91-N91,"")</f>
        <v/>
      </c>
      <c r="P91" s="49" t="str">
        <f aca="false">IF(ISNUMBER(O91),O91/N91,"")</f>
        <v/>
      </c>
      <c r="Q91" s="50" t="n">
        <f aca="false">C91-B91</f>
        <v>51</v>
      </c>
      <c r="R91" s="51" t="n">
        <f aca="false">IF(AND(C91=C90,ISNUMBER(G91),ISNUMBER(G90)),(G91/G90-1)*100,"")</f>
        <v>1.45115292870395</v>
      </c>
      <c r="S91" s="51" t="n">
        <f aca="false">IF(AND(C91=C90,ISNUMBER(L91),ISNUMBER(L90)),(L91/L90-1)*100,"")</f>
        <v>2.65948200938642</v>
      </c>
      <c r="T91" s="51" t="n">
        <f aca="false">IF(AND(C91=C90,ISNUMBER(G91),ISNUMBER(G90)),G91-G90,"")</f>
        <v>342.200000000001</v>
      </c>
      <c r="U91" s="1" t="str">
        <f aca="false">IF(OR(NOT(ISNUMBER(R91)),NOT(ISNUMBER(S91))),"Not classified",IF(AND(R91&gt;0,S91&gt;0),"Long buildup (interpretation)",IF(AND(R91&lt;0,S91&gt;0),"Short buildup (interpretation)",IF(AND(R91&gt;0,S91&lt;0),"Short covering (interpretation)",IF(AND(R91&lt;0,S91&lt;0),"Long unwinding (interpretation)","Neutral")))))</f>
        <v>Long buildup (interpretation)</v>
      </c>
      <c r="V91" s="52" t="str">
        <f aca="false">TEXT(B91,"yyyy-mm")</f>
        <v>2025-02</v>
      </c>
      <c r="W91" s="52" t="n">
        <f aca="false">1+COUNTIFS($B$2:$B$756,B91,$C$2:$C$756,"&lt;"&amp;C91)</f>
        <v>2</v>
      </c>
      <c r="X91" s="53" t="str">
        <f aca="false">IF(AND(ISNUMBER(P91),Q91&gt;0),P91*365/Q91,"")</f>
        <v/>
      </c>
      <c r="Y91" s="42" t="n">
        <f aca="false">IF(AND(C92=C91,ISNUMBER(R92)),R92,"")</f>
        <v>-0.0319769932848324</v>
      </c>
      <c r="Z91" s="52" t="n">
        <f aca="false">IF(AND(W91=1,Q91&gt;Basis_Analysis!$B$3,ISNUMBER(Y91)),1,0)</f>
        <v>0</v>
      </c>
      <c r="AA91" s="43" t="str">
        <f aca="false">IF(W91=1,IF(SUMIFS($L$2:$L$756,$B$2:$B$756,B91,$W$2:$W$756,2)&gt;0,SUMIFS($L$2:$L$756,$B$2:$B$756,B91,$W$2:$W$756,2),""),"")</f>
        <v/>
      </c>
      <c r="AB91" s="54" t="str">
        <f aca="false">IF(AND(W91=1,ISNUMBER(AA91)),L91/(L91+AA91),"")</f>
        <v/>
      </c>
    </row>
    <row r="92" customFormat="false" ht="15" hidden="false" customHeight="true" outlineLevel="0" collapsed="false">
      <c r="A92" s="1" t="s">
        <v>274</v>
      </c>
      <c r="B92" s="46" t="n">
        <v>45693</v>
      </c>
      <c r="C92" s="46" t="n">
        <v>45743</v>
      </c>
      <c r="D92" s="47" t="n">
        <v>23935</v>
      </c>
      <c r="E92" s="47" t="n">
        <v>23991.65</v>
      </c>
      <c r="F92" s="47" t="n">
        <v>23897.65</v>
      </c>
      <c r="G92" s="47" t="n">
        <v>23915.8</v>
      </c>
      <c r="H92" s="47" t="n">
        <v>23898</v>
      </c>
      <c r="I92" s="47" t="n">
        <v>23915.8</v>
      </c>
      <c r="J92" s="48" t="n">
        <v>3179</v>
      </c>
      <c r="K92" s="47" t="n">
        <v>57116.18</v>
      </c>
      <c r="L92" s="48" t="n">
        <v>888975</v>
      </c>
      <c r="M92" s="48" t="n">
        <v>3075</v>
      </c>
      <c r="N92" s="47" t="n">
        <v>23696.3</v>
      </c>
      <c r="O92" s="47" t="n">
        <f aca="false">IF(AND(ISNUMBER(G92),ISNUMBER(N92)),G92-N92,"")</f>
        <v>219.5</v>
      </c>
      <c r="P92" s="49" t="n">
        <f aca="false">IF(ISNUMBER(O92),O92/N92,"")</f>
        <v>0.00926304950561902</v>
      </c>
      <c r="Q92" s="50" t="n">
        <f aca="false">C92-B92</f>
        <v>50</v>
      </c>
      <c r="R92" s="51" t="n">
        <f aca="false">IF(AND(C92=C91,ISNUMBER(G92),ISNUMBER(G91)),(G92/G91-1)*100,"")</f>
        <v>-0.0319769932848324</v>
      </c>
      <c r="S92" s="51" t="n">
        <f aca="false">IF(AND(C92=C91,ISNUMBER(L92),ISNUMBER(L91)),(L92/L91-1)*100,"")</f>
        <v>0.347104639349816</v>
      </c>
      <c r="T92" s="51" t="n">
        <f aca="false">IF(AND(C92=C91,ISNUMBER(G92),ISNUMBER(G91)),G92-G91,"")</f>
        <v>-7.65000000000146</v>
      </c>
      <c r="U92" s="1" t="str">
        <f aca="false">IF(OR(NOT(ISNUMBER(R92)),NOT(ISNUMBER(S92))),"Not classified",IF(AND(R92&gt;0,S92&gt;0),"Long buildup (interpretation)",IF(AND(R92&lt;0,S92&gt;0),"Short buildup (interpretation)",IF(AND(R92&gt;0,S92&lt;0),"Short covering (interpretation)",IF(AND(R92&lt;0,S92&lt;0),"Long unwinding (interpretation)","Neutral")))))</f>
        <v>Short buildup (interpretation)</v>
      </c>
      <c r="V92" s="52" t="str">
        <f aca="false">TEXT(B92,"yyyy-mm")</f>
        <v>2025-02</v>
      </c>
      <c r="W92" s="52" t="n">
        <f aca="false">1+COUNTIFS($B$2:$B$756,B92,$C$2:$C$756,"&lt;"&amp;C92)</f>
        <v>2</v>
      </c>
      <c r="X92" s="53" t="n">
        <f aca="false">IF(AND(ISNUMBER(P92),Q92&gt;0),P92*365/Q92,"")</f>
        <v>0.0676202613910189</v>
      </c>
      <c r="Y92" s="42" t="n">
        <f aca="false">IF(AND(C93=C92,ISNUMBER(R93)),R93,"")</f>
        <v>-0.336597563117269</v>
      </c>
      <c r="Z92" s="52" t="n">
        <f aca="false">IF(AND(W92=1,Q92&gt;Basis_Analysis!$B$3,ISNUMBER(Y92)),1,0)</f>
        <v>0</v>
      </c>
      <c r="AA92" s="43" t="str">
        <f aca="false">IF(W92=1,IF(SUMIFS($L$2:$L$756,$B$2:$B$756,B92,$W$2:$W$756,2)&gt;0,SUMIFS($L$2:$L$756,$B$2:$B$756,B92,$W$2:$W$756,2),""),"")</f>
        <v/>
      </c>
      <c r="AB92" s="54" t="str">
        <f aca="false">IF(AND(W92=1,ISNUMBER(AA92)),L92/(L92+AA92),"")</f>
        <v/>
      </c>
    </row>
    <row r="93" customFormat="false" ht="15" hidden="false" customHeight="true" outlineLevel="0" collapsed="false">
      <c r="A93" s="1" t="s">
        <v>274</v>
      </c>
      <c r="B93" s="46" t="n">
        <v>45694</v>
      </c>
      <c r="C93" s="46" t="n">
        <v>45743</v>
      </c>
      <c r="D93" s="47" t="n">
        <v>23964.6</v>
      </c>
      <c r="E93" s="47" t="n">
        <v>23964.6</v>
      </c>
      <c r="F93" s="47" t="n">
        <v>23805.05</v>
      </c>
      <c r="G93" s="47" t="n">
        <v>23835.3</v>
      </c>
      <c r="H93" s="47" t="n">
        <v>23850</v>
      </c>
      <c r="I93" s="47" t="n">
        <v>23835.3</v>
      </c>
      <c r="J93" s="48" t="n">
        <v>2823</v>
      </c>
      <c r="K93" s="47" t="n">
        <v>50507.53</v>
      </c>
      <c r="L93" s="48" t="n">
        <v>930525</v>
      </c>
      <c r="M93" s="48" t="n">
        <v>41550</v>
      </c>
      <c r="N93" s="47" t="n">
        <v>23603.35</v>
      </c>
      <c r="O93" s="47" t="n">
        <f aca="false">IF(AND(ISNUMBER(G93),ISNUMBER(N93)),G93-N93,"")</f>
        <v>231.950000000001</v>
      </c>
      <c r="P93" s="49" t="n">
        <f aca="false">IF(ISNUMBER(O93),O93/N93,"")</f>
        <v>0.00982699489691085</v>
      </c>
      <c r="Q93" s="50" t="n">
        <f aca="false">C93-B93</f>
        <v>49</v>
      </c>
      <c r="R93" s="51" t="n">
        <f aca="false">IF(AND(C93=C92,ISNUMBER(G93),ISNUMBER(G92)),(G93/G92-1)*100,"")</f>
        <v>-0.336597563117269</v>
      </c>
      <c r="S93" s="51" t="n">
        <f aca="false">IF(AND(C93=C92,ISNUMBER(L93),ISNUMBER(L92)),(L93/L92-1)*100,"")</f>
        <v>4.67392221378553</v>
      </c>
      <c r="T93" s="51" t="n">
        <f aca="false">IF(AND(C93=C92,ISNUMBER(G93),ISNUMBER(G92)),G93-G92,"")</f>
        <v>-80.5</v>
      </c>
      <c r="U93" s="1" t="str">
        <f aca="false">IF(OR(NOT(ISNUMBER(R93)),NOT(ISNUMBER(S93))),"Not classified",IF(AND(R93&gt;0,S93&gt;0),"Long buildup (interpretation)",IF(AND(R93&lt;0,S93&gt;0),"Short buildup (interpretation)",IF(AND(R93&gt;0,S93&lt;0),"Short covering (interpretation)",IF(AND(R93&lt;0,S93&lt;0),"Long unwinding (interpretation)","Neutral")))))</f>
        <v>Short buildup (interpretation)</v>
      </c>
      <c r="V93" s="52" t="str">
        <f aca="false">TEXT(B93,"yyyy-mm")</f>
        <v>2025-02</v>
      </c>
      <c r="W93" s="52" t="n">
        <f aca="false">1+COUNTIFS($B$2:$B$756,B93,$C$2:$C$756,"&lt;"&amp;C93)</f>
        <v>2</v>
      </c>
      <c r="X93" s="53" t="n">
        <f aca="false">IF(AND(ISNUMBER(P93),Q93&gt;0),P93*365/Q93,"")</f>
        <v>0.0732010844361727</v>
      </c>
      <c r="Y93" s="42" t="n">
        <f aca="false">IF(AND(C94=C93,ISNUMBER(R94)),R94,"")</f>
        <v>-0.292003876603186</v>
      </c>
      <c r="Z93" s="52" t="n">
        <f aca="false">IF(AND(W93=1,Q93&gt;Basis_Analysis!$B$3,ISNUMBER(Y93)),1,0)</f>
        <v>0</v>
      </c>
      <c r="AA93" s="43" t="str">
        <f aca="false">IF(W93=1,IF(SUMIFS($L$2:$L$756,$B$2:$B$756,B93,$W$2:$W$756,2)&gt;0,SUMIFS($L$2:$L$756,$B$2:$B$756,B93,$W$2:$W$756,2),""),"")</f>
        <v/>
      </c>
      <c r="AB93" s="54" t="str">
        <f aca="false">IF(AND(W93=1,ISNUMBER(AA93)),L93/(L93+AA93),"")</f>
        <v/>
      </c>
    </row>
    <row r="94" customFormat="false" ht="15" hidden="false" customHeight="true" outlineLevel="0" collapsed="false">
      <c r="A94" s="1" t="s">
        <v>274</v>
      </c>
      <c r="B94" s="46" t="n">
        <v>45695</v>
      </c>
      <c r="C94" s="46" t="n">
        <v>45743</v>
      </c>
      <c r="D94" s="47" t="n">
        <v>23852.45</v>
      </c>
      <c r="E94" s="47" t="n">
        <v>23934.1</v>
      </c>
      <c r="F94" s="47" t="n">
        <v>23671</v>
      </c>
      <c r="G94" s="47" t="n">
        <v>23765.7</v>
      </c>
      <c r="H94" s="47" t="n">
        <v>23770</v>
      </c>
      <c r="I94" s="47" t="n">
        <v>23765.7</v>
      </c>
      <c r="J94" s="48" t="n">
        <v>5279</v>
      </c>
      <c r="K94" s="47" t="n">
        <v>94187.35</v>
      </c>
      <c r="L94" s="48" t="n">
        <v>963300</v>
      </c>
      <c r="M94" s="48" t="n">
        <v>32775</v>
      </c>
      <c r="N94" s="47" t="n">
        <v>23559.95</v>
      </c>
      <c r="O94" s="47" t="n">
        <f aca="false">IF(AND(ISNUMBER(G94),ISNUMBER(N94)),G94-N94,"")</f>
        <v>205.75</v>
      </c>
      <c r="P94" s="49" t="n">
        <f aca="false">IF(ISNUMBER(O94),O94/N94,"")</f>
        <v>0.00873304060492488</v>
      </c>
      <c r="Q94" s="50" t="n">
        <f aca="false">C94-B94</f>
        <v>48</v>
      </c>
      <c r="R94" s="51" t="n">
        <f aca="false">IF(AND(C94=C93,ISNUMBER(G94),ISNUMBER(G93)),(G94/G93-1)*100,"")</f>
        <v>-0.292003876603186</v>
      </c>
      <c r="S94" s="51" t="n">
        <f aca="false">IF(AND(C94=C93,ISNUMBER(L94),ISNUMBER(L93)),(L94/L93-1)*100,"")</f>
        <v>3.52220520673814</v>
      </c>
      <c r="T94" s="51" t="n">
        <f aca="false">IF(AND(C94=C93,ISNUMBER(G94),ISNUMBER(G93)),G94-G93,"")</f>
        <v>-69.5999999999985</v>
      </c>
      <c r="U94" s="1" t="str">
        <f aca="false">IF(OR(NOT(ISNUMBER(R94)),NOT(ISNUMBER(S94))),"Not classified",IF(AND(R94&gt;0,S94&gt;0),"Long buildup (interpretation)",IF(AND(R94&lt;0,S94&gt;0),"Short buildup (interpretation)",IF(AND(R94&gt;0,S94&lt;0),"Short covering (interpretation)",IF(AND(R94&lt;0,S94&lt;0),"Long unwinding (interpretation)","Neutral")))))</f>
        <v>Short buildup (interpretation)</v>
      </c>
      <c r="V94" s="52" t="str">
        <f aca="false">TEXT(B94,"yyyy-mm")</f>
        <v>2025-02</v>
      </c>
      <c r="W94" s="52" t="n">
        <f aca="false">1+COUNTIFS($B$2:$B$756,B94,$C$2:$C$756,"&lt;"&amp;C94)</f>
        <v>2</v>
      </c>
      <c r="X94" s="53" t="n">
        <f aca="false">IF(AND(ISNUMBER(P94),Q94&gt;0),P94*365/Q94,"")</f>
        <v>0.0664074962666163</v>
      </c>
      <c r="Y94" s="42" t="n">
        <f aca="false">IF(AND(C95=C94,ISNUMBER(R95)),R95,"")</f>
        <v>-0.652621214607618</v>
      </c>
      <c r="Z94" s="52" t="n">
        <f aca="false">IF(AND(W94=1,Q94&gt;Basis_Analysis!$B$3,ISNUMBER(Y94)),1,0)</f>
        <v>0</v>
      </c>
      <c r="AA94" s="43" t="str">
        <f aca="false">IF(W94=1,IF(SUMIFS($L$2:$L$756,$B$2:$B$756,B94,$W$2:$W$756,2)&gt;0,SUMIFS($L$2:$L$756,$B$2:$B$756,B94,$W$2:$W$756,2),""),"")</f>
        <v/>
      </c>
      <c r="AB94" s="54" t="str">
        <f aca="false">IF(AND(W94=1,ISNUMBER(AA94)),L94/(L94+AA94),"")</f>
        <v/>
      </c>
    </row>
    <row r="95" customFormat="false" ht="15" hidden="false" customHeight="true" outlineLevel="0" collapsed="false">
      <c r="A95" s="1" t="s">
        <v>274</v>
      </c>
      <c r="B95" s="46" t="n">
        <v>45698</v>
      </c>
      <c r="C95" s="46" t="n">
        <v>45743</v>
      </c>
      <c r="D95" s="47" t="n">
        <v>23746</v>
      </c>
      <c r="E95" s="47" t="n">
        <v>23752.1</v>
      </c>
      <c r="F95" s="47" t="n">
        <v>23540</v>
      </c>
      <c r="G95" s="47" t="n">
        <v>23610.6</v>
      </c>
      <c r="H95" s="47" t="n">
        <v>23608</v>
      </c>
      <c r="I95" s="47" t="n">
        <v>23610.6</v>
      </c>
      <c r="J95" s="48" t="n">
        <v>4887</v>
      </c>
      <c r="K95" s="47" t="n">
        <v>86533.95</v>
      </c>
      <c r="L95" s="48" t="n">
        <v>1041825</v>
      </c>
      <c r="M95" s="48" t="n">
        <v>78525</v>
      </c>
      <c r="N95" s="47" t="n">
        <v>23381.6</v>
      </c>
      <c r="O95" s="47" t="n">
        <f aca="false">IF(AND(ISNUMBER(G95),ISNUMBER(N95)),G95-N95,"")</f>
        <v>229</v>
      </c>
      <c r="P95" s="49" t="n">
        <f aca="false">IF(ISNUMBER(O95),O95/N95,"")</f>
        <v>0.00979402607178294</v>
      </c>
      <c r="Q95" s="50" t="n">
        <f aca="false">C95-B95</f>
        <v>45</v>
      </c>
      <c r="R95" s="51" t="n">
        <f aca="false">IF(AND(C95=C94,ISNUMBER(G95),ISNUMBER(G94)),(G95/G94-1)*100,"")</f>
        <v>-0.652621214607618</v>
      </c>
      <c r="S95" s="51" t="n">
        <f aca="false">IF(AND(C95=C94,ISNUMBER(L95),ISNUMBER(L94)),(L95/L94-1)*100,"")</f>
        <v>8.15166614761758</v>
      </c>
      <c r="T95" s="51" t="n">
        <f aca="false">IF(AND(C95=C94,ISNUMBER(G95),ISNUMBER(G94)),G95-G94,"")</f>
        <v>-155.100000000002</v>
      </c>
      <c r="U95" s="1" t="str">
        <f aca="false">IF(OR(NOT(ISNUMBER(R95)),NOT(ISNUMBER(S95))),"Not classified",IF(AND(R95&gt;0,S95&gt;0),"Long buildup (interpretation)",IF(AND(R95&lt;0,S95&gt;0),"Short buildup (interpretation)",IF(AND(R95&gt;0,S95&lt;0),"Short covering (interpretation)",IF(AND(R95&lt;0,S95&lt;0),"Long unwinding (interpretation)","Neutral")))))</f>
        <v>Short buildup (interpretation)</v>
      </c>
      <c r="V95" s="52" t="str">
        <f aca="false">TEXT(B95,"yyyy-mm")</f>
        <v>2025-02</v>
      </c>
      <c r="W95" s="52" t="n">
        <f aca="false">1+COUNTIFS($B$2:$B$756,B95,$C$2:$C$756,"&lt;"&amp;C95)</f>
        <v>2</v>
      </c>
      <c r="X95" s="53" t="n">
        <f aca="false">IF(AND(ISNUMBER(P95),Q95&gt;0),P95*365/Q95,"")</f>
        <v>0.0794404336933505</v>
      </c>
      <c r="Y95" s="42" t="n">
        <f aca="false">IF(AND(C96=C95,ISNUMBER(R96)),R96,"")</f>
        <v>-1.3417702218495</v>
      </c>
      <c r="Z95" s="52" t="n">
        <f aca="false">IF(AND(W95=1,Q95&gt;Basis_Analysis!$B$3,ISNUMBER(Y95)),1,0)</f>
        <v>0</v>
      </c>
      <c r="AA95" s="43" t="str">
        <f aca="false">IF(W95=1,IF(SUMIFS($L$2:$L$756,$B$2:$B$756,B95,$W$2:$W$756,2)&gt;0,SUMIFS($L$2:$L$756,$B$2:$B$756,B95,$W$2:$W$756,2),""),"")</f>
        <v/>
      </c>
      <c r="AB95" s="54" t="str">
        <f aca="false">IF(AND(W95=1,ISNUMBER(AA95)),L95/(L95+AA95),"")</f>
        <v/>
      </c>
    </row>
    <row r="96" customFormat="false" ht="15" hidden="false" customHeight="true" outlineLevel="0" collapsed="false">
      <c r="A96" s="1" t="s">
        <v>274</v>
      </c>
      <c r="B96" s="46" t="n">
        <v>45699</v>
      </c>
      <c r="C96" s="46" t="n">
        <v>45743</v>
      </c>
      <c r="D96" s="47" t="n">
        <v>23568.4</v>
      </c>
      <c r="E96" s="47" t="n">
        <v>23594.6</v>
      </c>
      <c r="F96" s="47" t="n">
        <v>23203.5</v>
      </c>
      <c r="G96" s="47" t="n">
        <v>23293.8</v>
      </c>
      <c r="H96" s="47" t="n">
        <v>23276.95</v>
      </c>
      <c r="I96" s="47" t="n">
        <v>23293.8</v>
      </c>
      <c r="J96" s="48" t="n">
        <v>9000</v>
      </c>
      <c r="K96" s="47" t="n">
        <v>157715.28</v>
      </c>
      <c r="L96" s="48" t="n">
        <v>1152825</v>
      </c>
      <c r="M96" s="48" t="n">
        <v>111000</v>
      </c>
      <c r="N96" s="47" t="n">
        <v>23071.8</v>
      </c>
      <c r="O96" s="47" t="n">
        <f aca="false">IF(AND(ISNUMBER(G96),ISNUMBER(N96)),G96-N96,"")</f>
        <v>222</v>
      </c>
      <c r="P96" s="49" t="n">
        <f aca="false">IF(ISNUMBER(O96),O96/N96,"")</f>
        <v>0.00962213611421736</v>
      </c>
      <c r="Q96" s="50" t="n">
        <f aca="false">C96-B96</f>
        <v>44</v>
      </c>
      <c r="R96" s="51" t="n">
        <f aca="false">IF(AND(C96=C95,ISNUMBER(G96),ISNUMBER(G95)),(G96/G95-1)*100,"")</f>
        <v>-1.3417702218495</v>
      </c>
      <c r="S96" s="51" t="n">
        <f aca="false">IF(AND(C96=C95,ISNUMBER(L96),ISNUMBER(L95)),(L96/L95-1)*100,"")</f>
        <v>10.6543805341588</v>
      </c>
      <c r="T96" s="51" t="n">
        <f aca="false">IF(AND(C96=C95,ISNUMBER(G96),ISNUMBER(G95)),G96-G95,"")</f>
        <v>-316.799999999999</v>
      </c>
      <c r="U96" s="1" t="str">
        <f aca="false">IF(OR(NOT(ISNUMBER(R96)),NOT(ISNUMBER(S96))),"Not classified",IF(AND(R96&gt;0,S96&gt;0),"Long buildup (interpretation)",IF(AND(R96&lt;0,S96&gt;0),"Short buildup (interpretation)",IF(AND(R96&gt;0,S96&lt;0),"Short covering (interpretation)",IF(AND(R96&lt;0,S96&lt;0),"Long unwinding (interpretation)","Neutral")))))</f>
        <v>Short buildup (interpretation)</v>
      </c>
      <c r="V96" s="52" t="str">
        <f aca="false">TEXT(B96,"yyyy-mm")</f>
        <v>2025-02</v>
      </c>
      <c r="W96" s="52" t="n">
        <f aca="false">1+COUNTIFS($B$2:$B$756,B96,$C$2:$C$756,"&lt;"&amp;C96)</f>
        <v>2</v>
      </c>
      <c r="X96" s="53" t="n">
        <f aca="false">IF(AND(ISNUMBER(P96),Q96&gt;0),P96*365/Q96,"")</f>
        <v>0.0798199927656667</v>
      </c>
      <c r="Y96" s="42" t="n">
        <f aca="false">IF(AND(C97=C96,ISNUMBER(R97)),R97,"")</f>
        <v>-0.120203659342832</v>
      </c>
      <c r="Z96" s="52" t="n">
        <f aca="false">IF(AND(W96=1,Q96&gt;Basis_Analysis!$B$3,ISNUMBER(Y96)),1,0)</f>
        <v>0</v>
      </c>
      <c r="AA96" s="43" t="str">
        <f aca="false">IF(W96=1,IF(SUMIFS($L$2:$L$756,$B$2:$B$756,B96,$W$2:$W$756,2)&gt;0,SUMIFS($L$2:$L$756,$B$2:$B$756,B96,$W$2:$W$756,2),""),"")</f>
        <v/>
      </c>
      <c r="AB96" s="54" t="str">
        <f aca="false">IF(AND(W96=1,ISNUMBER(AA96)),L96/(L96+AA96),"")</f>
        <v/>
      </c>
    </row>
    <row r="97" customFormat="false" ht="15" hidden="false" customHeight="true" outlineLevel="0" collapsed="false">
      <c r="A97" s="1" t="s">
        <v>274</v>
      </c>
      <c r="B97" s="46" t="n">
        <v>45700</v>
      </c>
      <c r="C97" s="46" t="n">
        <v>45743</v>
      </c>
      <c r="D97" s="47" t="n">
        <v>23283.8</v>
      </c>
      <c r="E97" s="47" t="n">
        <v>23375</v>
      </c>
      <c r="F97" s="47" t="n">
        <v>23040</v>
      </c>
      <c r="G97" s="47" t="n">
        <v>23265.8</v>
      </c>
      <c r="H97" s="47" t="n">
        <v>23270</v>
      </c>
      <c r="I97" s="47" t="n">
        <v>23265.8</v>
      </c>
      <c r="J97" s="48" t="n">
        <v>11291</v>
      </c>
      <c r="K97" s="47" t="n">
        <v>196445.83</v>
      </c>
      <c r="L97" s="48" t="n">
        <v>1292625</v>
      </c>
      <c r="M97" s="48" t="n">
        <v>139800</v>
      </c>
      <c r="N97" s="47" t="n">
        <v>23045.25</v>
      </c>
      <c r="O97" s="47" t="n">
        <f aca="false">IF(AND(ISNUMBER(G97),ISNUMBER(N97)),G97-N97,"")</f>
        <v>220.549999999999</v>
      </c>
      <c r="P97" s="49" t="n">
        <f aca="false">IF(ISNUMBER(O97),O97/N97,"")</f>
        <v>0.00957030190603267</v>
      </c>
      <c r="Q97" s="50" t="n">
        <f aca="false">C97-B97</f>
        <v>43</v>
      </c>
      <c r="R97" s="51" t="n">
        <f aca="false">IF(AND(C97=C96,ISNUMBER(G97),ISNUMBER(G96)),(G97/G96-1)*100,"")</f>
        <v>-0.120203659342832</v>
      </c>
      <c r="S97" s="51" t="n">
        <f aca="false">IF(AND(C97=C96,ISNUMBER(L97),ISNUMBER(L96)),(L97/L96-1)*100,"")</f>
        <v>12.1267321579598</v>
      </c>
      <c r="T97" s="51" t="n">
        <f aca="false">IF(AND(C97=C96,ISNUMBER(G97),ISNUMBER(G96)),G97-G96,"")</f>
        <v>-28</v>
      </c>
      <c r="U97" s="1" t="str">
        <f aca="false">IF(OR(NOT(ISNUMBER(R97)),NOT(ISNUMBER(S97))),"Not classified",IF(AND(R97&gt;0,S97&gt;0),"Long buildup (interpretation)",IF(AND(R97&lt;0,S97&gt;0),"Short buildup (interpretation)",IF(AND(R97&gt;0,S97&lt;0),"Short covering (interpretation)",IF(AND(R97&lt;0,S97&lt;0),"Long unwinding (interpretation)","Neutral")))))</f>
        <v>Short buildup (interpretation)</v>
      </c>
      <c r="V97" s="52" t="str">
        <f aca="false">TEXT(B97,"yyyy-mm")</f>
        <v>2025-02</v>
      </c>
      <c r="W97" s="52" t="n">
        <f aca="false">1+COUNTIFS($B$2:$B$756,B97,$C$2:$C$756,"&lt;"&amp;C97)</f>
        <v>2</v>
      </c>
      <c r="X97" s="53" t="n">
        <f aca="false">IF(AND(ISNUMBER(P97),Q97&gt;0),P97*365/Q97,"")</f>
        <v>0.0812362836209749</v>
      </c>
      <c r="Y97" s="42" t="n">
        <f aca="false">IF(AND(C98=C97,ISNUMBER(R98)),R98,"")</f>
        <v>-0.101436443191283</v>
      </c>
      <c r="Z97" s="52" t="n">
        <f aca="false">IF(AND(W97=1,Q97&gt;Basis_Analysis!$B$3,ISNUMBER(Y97)),1,0)</f>
        <v>0</v>
      </c>
      <c r="AA97" s="43" t="str">
        <f aca="false">IF(W97=1,IF(SUMIFS($L$2:$L$756,$B$2:$B$756,B97,$W$2:$W$756,2)&gt;0,SUMIFS($L$2:$L$756,$B$2:$B$756,B97,$W$2:$W$756,2),""),"")</f>
        <v/>
      </c>
      <c r="AB97" s="54" t="str">
        <f aca="false">IF(AND(W97=1,ISNUMBER(AA97)),L97/(L97+AA97),"")</f>
        <v/>
      </c>
    </row>
    <row r="98" customFormat="false" ht="15" hidden="false" customHeight="true" outlineLevel="0" collapsed="false">
      <c r="A98" s="1" t="s">
        <v>274</v>
      </c>
      <c r="B98" s="46" t="n">
        <v>45701</v>
      </c>
      <c r="C98" s="46" t="n">
        <v>45743</v>
      </c>
      <c r="D98" s="47" t="n">
        <v>23290</v>
      </c>
      <c r="E98" s="47" t="n">
        <v>23442</v>
      </c>
      <c r="F98" s="47" t="n">
        <v>23207.55</v>
      </c>
      <c r="G98" s="47" t="n">
        <v>23242.2</v>
      </c>
      <c r="H98" s="47" t="n">
        <v>23230</v>
      </c>
      <c r="I98" s="47" t="n">
        <v>23242.2</v>
      </c>
      <c r="J98" s="48" t="n">
        <v>8033</v>
      </c>
      <c r="K98" s="47" t="n">
        <v>140460.37</v>
      </c>
      <c r="L98" s="48" t="n">
        <v>1432575</v>
      </c>
      <c r="M98" s="48" t="n">
        <v>139950</v>
      </c>
      <c r="N98" s="47" t="n">
        <v>23031.4</v>
      </c>
      <c r="O98" s="47" t="n">
        <f aca="false">IF(AND(ISNUMBER(G98),ISNUMBER(N98)),G98-N98,"")</f>
        <v>210.799999999999</v>
      </c>
      <c r="P98" s="49" t="n">
        <f aca="false">IF(ISNUMBER(O98),O98/N98,"")</f>
        <v>0.00915272193613933</v>
      </c>
      <c r="Q98" s="50" t="n">
        <f aca="false">C98-B98</f>
        <v>42</v>
      </c>
      <c r="R98" s="51" t="n">
        <f aca="false">IF(AND(C98=C97,ISNUMBER(G98),ISNUMBER(G97)),(G98/G97-1)*100,"")</f>
        <v>-0.101436443191283</v>
      </c>
      <c r="S98" s="51" t="n">
        <f aca="false">IF(AND(C98=C97,ISNUMBER(L98),ISNUMBER(L97)),(L98/L97-1)*100,"")</f>
        <v>10.8268059181897</v>
      </c>
      <c r="T98" s="51" t="n">
        <f aca="false">IF(AND(C98=C97,ISNUMBER(G98),ISNUMBER(G97)),G98-G97,"")</f>
        <v>-23.5999999999985</v>
      </c>
      <c r="U98" s="1" t="str">
        <f aca="false">IF(OR(NOT(ISNUMBER(R98)),NOT(ISNUMBER(S98))),"Not classified",IF(AND(R98&gt;0,S98&gt;0),"Long buildup (interpretation)",IF(AND(R98&lt;0,S98&gt;0),"Short buildup (interpretation)",IF(AND(R98&gt;0,S98&lt;0),"Short covering (interpretation)",IF(AND(R98&lt;0,S98&lt;0),"Long unwinding (interpretation)","Neutral")))))</f>
        <v>Short buildup (interpretation)</v>
      </c>
      <c r="V98" s="52" t="str">
        <f aca="false">TEXT(B98,"yyyy-mm")</f>
        <v>2025-02</v>
      </c>
      <c r="W98" s="52" t="n">
        <f aca="false">1+COUNTIFS($B$2:$B$756,B98,$C$2:$C$756,"&lt;"&amp;C98)</f>
        <v>2</v>
      </c>
      <c r="X98" s="53" t="n">
        <f aca="false">IF(AND(ISNUMBER(P98),Q98&gt;0),P98*365/Q98,"")</f>
        <v>0.0795415120640679</v>
      </c>
      <c r="Y98" s="42" t="n">
        <f aca="false">IF(AND(C99=C98,ISNUMBER(R99)),R99,"")</f>
        <v>-0.486829990276316</v>
      </c>
      <c r="Z98" s="52" t="n">
        <f aca="false">IF(AND(W98=1,Q98&gt;Basis_Analysis!$B$3,ISNUMBER(Y98)),1,0)</f>
        <v>0</v>
      </c>
      <c r="AA98" s="43" t="str">
        <f aca="false">IF(W98=1,IF(SUMIFS($L$2:$L$756,$B$2:$B$756,B98,$W$2:$W$756,2)&gt;0,SUMIFS($L$2:$L$756,$B$2:$B$756,B98,$W$2:$W$756,2),""),"")</f>
        <v/>
      </c>
      <c r="AB98" s="54" t="str">
        <f aca="false">IF(AND(W98=1,ISNUMBER(AA98)),L98/(L98+AA98),"")</f>
        <v/>
      </c>
    </row>
    <row r="99" customFormat="false" ht="15" hidden="false" customHeight="true" outlineLevel="0" collapsed="false">
      <c r="A99" s="1" t="s">
        <v>274</v>
      </c>
      <c r="B99" s="46" t="n">
        <v>45702</v>
      </c>
      <c r="C99" s="46" t="n">
        <v>45743</v>
      </c>
      <c r="D99" s="47" t="n">
        <v>23299</v>
      </c>
      <c r="E99" s="47" t="n">
        <v>23344</v>
      </c>
      <c r="F99" s="47" t="n">
        <v>22982.3</v>
      </c>
      <c r="G99" s="47" t="n">
        <v>23129.05</v>
      </c>
      <c r="H99" s="47" t="n">
        <v>23115</v>
      </c>
      <c r="I99" s="47" t="n">
        <v>23129.05</v>
      </c>
      <c r="J99" s="48" t="n">
        <v>12285</v>
      </c>
      <c r="K99" s="47" t="n">
        <v>213077.06</v>
      </c>
      <c r="L99" s="48" t="n">
        <v>1659225</v>
      </c>
      <c r="M99" s="48" t="n">
        <v>226650</v>
      </c>
      <c r="N99" s="47" t="n">
        <v>22929.25</v>
      </c>
      <c r="O99" s="47" t="n">
        <f aca="false">IF(AND(ISNUMBER(G99),ISNUMBER(N99)),G99-N99,"")</f>
        <v>199.799999999999</v>
      </c>
      <c r="P99" s="49" t="n">
        <f aca="false">IF(ISNUMBER(O99),O99/N99,"")</f>
        <v>0.00871376080770192</v>
      </c>
      <c r="Q99" s="50" t="n">
        <f aca="false">C99-B99</f>
        <v>41</v>
      </c>
      <c r="R99" s="51" t="n">
        <f aca="false">IF(AND(C99=C98,ISNUMBER(G99),ISNUMBER(G98)),(G99/G98-1)*100,"")</f>
        <v>-0.486829990276316</v>
      </c>
      <c r="S99" s="51" t="n">
        <f aca="false">IF(AND(C99=C98,ISNUMBER(L99),ISNUMBER(L98)),(L99/L98-1)*100,"")</f>
        <v>15.8211611957489</v>
      </c>
      <c r="T99" s="51" t="n">
        <f aca="false">IF(AND(C99=C98,ISNUMBER(G99),ISNUMBER(G98)),G99-G98,"")</f>
        <v>-113.150000000001</v>
      </c>
      <c r="U99" s="1" t="str">
        <f aca="false">IF(OR(NOT(ISNUMBER(R99)),NOT(ISNUMBER(S99))),"Not classified",IF(AND(R99&gt;0,S99&gt;0),"Long buildup (interpretation)",IF(AND(R99&lt;0,S99&gt;0),"Short buildup (interpretation)",IF(AND(R99&gt;0,S99&lt;0),"Short covering (interpretation)",IF(AND(R99&lt;0,S99&lt;0),"Long unwinding (interpretation)","Neutral")))))</f>
        <v>Short buildup (interpretation)</v>
      </c>
      <c r="V99" s="52" t="str">
        <f aca="false">TEXT(B99,"yyyy-mm")</f>
        <v>2025-02</v>
      </c>
      <c r="W99" s="52" t="n">
        <f aca="false">1+COUNTIFS($B$2:$B$756,B99,$C$2:$C$756,"&lt;"&amp;C99)</f>
        <v>2</v>
      </c>
      <c r="X99" s="53" t="n">
        <f aca="false">IF(AND(ISNUMBER(P99),Q99&gt;0),P99*365/Q99,"")</f>
        <v>0.0775737242636878</v>
      </c>
      <c r="Y99" s="42" t="n">
        <f aca="false">IF(AND(C100=C99,ISNUMBER(R100)),R100,"")</f>
        <v>0.142677714821837</v>
      </c>
      <c r="Z99" s="52" t="n">
        <f aca="false">IF(AND(W99=1,Q99&gt;Basis_Analysis!$B$3,ISNUMBER(Y99)),1,0)</f>
        <v>0</v>
      </c>
      <c r="AA99" s="43" t="str">
        <f aca="false">IF(W99=1,IF(SUMIFS($L$2:$L$756,$B$2:$B$756,B99,$W$2:$W$756,2)&gt;0,SUMIFS($L$2:$L$756,$B$2:$B$756,B99,$W$2:$W$756,2),""),"")</f>
        <v/>
      </c>
      <c r="AB99" s="54" t="str">
        <f aca="false">IF(AND(W99=1,ISNUMBER(AA99)),L99/(L99+AA99),"")</f>
        <v/>
      </c>
    </row>
    <row r="100" customFormat="false" ht="15" hidden="false" customHeight="true" outlineLevel="0" collapsed="false">
      <c r="A100" s="1" t="s">
        <v>274</v>
      </c>
      <c r="B100" s="46" t="n">
        <v>45705</v>
      </c>
      <c r="C100" s="46" t="n">
        <v>45743</v>
      </c>
      <c r="D100" s="47" t="n">
        <v>23050.15</v>
      </c>
      <c r="E100" s="47" t="n">
        <v>23185</v>
      </c>
      <c r="F100" s="47" t="n">
        <v>22962.2</v>
      </c>
      <c r="G100" s="47" t="n">
        <v>23162.05</v>
      </c>
      <c r="H100" s="47" t="n">
        <v>23178.35</v>
      </c>
      <c r="I100" s="47" t="n">
        <v>23162.05</v>
      </c>
      <c r="J100" s="48" t="n">
        <v>10208</v>
      </c>
      <c r="K100" s="47" t="n">
        <v>176602.54</v>
      </c>
      <c r="L100" s="48" t="n">
        <v>1804125</v>
      </c>
      <c r="M100" s="48" t="n">
        <v>144900</v>
      </c>
      <c r="N100" s="47" t="n">
        <v>22959.5</v>
      </c>
      <c r="O100" s="47" t="n">
        <f aca="false">IF(AND(ISNUMBER(G100),ISNUMBER(N100)),G100-N100,"")</f>
        <v>202.549999999999</v>
      </c>
      <c r="P100" s="49" t="n">
        <f aca="false">IF(ISNUMBER(O100),O100/N100,"")</f>
        <v>0.00882205622944747</v>
      </c>
      <c r="Q100" s="50" t="n">
        <f aca="false">C100-B100</f>
        <v>38</v>
      </c>
      <c r="R100" s="51" t="n">
        <f aca="false">IF(AND(C100=C99,ISNUMBER(G100),ISNUMBER(G99)),(G100/G99-1)*100,"")</f>
        <v>0.142677714821837</v>
      </c>
      <c r="S100" s="51" t="n">
        <f aca="false">IF(AND(C100=C99,ISNUMBER(L100),ISNUMBER(L99)),(L100/L99-1)*100,"")</f>
        <v>8.73299281290965</v>
      </c>
      <c r="T100" s="51" t="n">
        <f aca="false">IF(AND(C100=C99,ISNUMBER(G100),ISNUMBER(G99)),G100-G99,"")</f>
        <v>33</v>
      </c>
      <c r="U100" s="1" t="str">
        <f aca="false">IF(OR(NOT(ISNUMBER(R100)),NOT(ISNUMBER(S100))),"Not classified",IF(AND(R100&gt;0,S100&gt;0),"Long buildup (interpretation)",IF(AND(R100&lt;0,S100&gt;0),"Short buildup (interpretation)",IF(AND(R100&gt;0,S100&lt;0),"Short covering (interpretation)",IF(AND(R100&lt;0,S100&lt;0),"Long unwinding (interpretation)","Neutral")))))</f>
        <v>Long buildup (interpretation)</v>
      </c>
      <c r="V100" s="52" t="str">
        <f aca="false">TEXT(B100,"yyyy-mm")</f>
        <v>2025-02</v>
      </c>
      <c r="W100" s="52" t="n">
        <f aca="false">1+COUNTIFS($B$2:$B$756,B100,$C$2:$C$756,"&lt;"&amp;C100)</f>
        <v>2</v>
      </c>
      <c r="X100" s="53" t="n">
        <f aca="false">IF(AND(ISNUMBER(P100),Q100&gt;0),P100*365/Q100,"")</f>
        <v>0.0847381716775876</v>
      </c>
      <c r="Y100" s="42" t="n">
        <f aca="false">IF(AND(C101=C100,ISNUMBER(R101)),R101,"")</f>
        <v>-0.262066613274736</v>
      </c>
      <c r="Z100" s="52" t="n">
        <f aca="false">IF(AND(W100=1,Q100&gt;Basis_Analysis!$B$3,ISNUMBER(Y100)),1,0)</f>
        <v>0</v>
      </c>
      <c r="AA100" s="43" t="str">
        <f aca="false">IF(W100=1,IF(SUMIFS($L$2:$L$756,$B$2:$B$756,B100,$W$2:$W$756,2)&gt;0,SUMIFS($L$2:$L$756,$B$2:$B$756,B100,$W$2:$W$756,2),""),"")</f>
        <v/>
      </c>
      <c r="AB100" s="54" t="str">
        <f aca="false">IF(AND(W100=1,ISNUMBER(AA100)),L100/(L100+AA100),"")</f>
        <v/>
      </c>
    </row>
    <row r="101" customFormat="false" ht="15" hidden="false" customHeight="true" outlineLevel="0" collapsed="false">
      <c r="A101" s="1" t="s">
        <v>274</v>
      </c>
      <c r="B101" s="46" t="n">
        <v>45706</v>
      </c>
      <c r="C101" s="46" t="n">
        <v>45743</v>
      </c>
      <c r="D101" s="47" t="n">
        <v>23142.7</v>
      </c>
      <c r="E101" s="47" t="n">
        <v>23150</v>
      </c>
      <c r="F101" s="47" t="n">
        <v>22977.2</v>
      </c>
      <c r="G101" s="47" t="n">
        <v>23101.35</v>
      </c>
      <c r="H101" s="47" t="n">
        <v>23085</v>
      </c>
      <c r="I101" s="47" t="n">
        <v>23101.35</v>
      </c>
      <c r="J101" s="48" t="n">
        <v>10369</v>
      </c>
      <c r="K101" s="47" t="n">
        <v>179362.92</v>
      </c>
      <c r="L101" s="48" t="n">
        <v>2020050</v>
      </c>
      <c r="M101" s="48" t="n">
        <v>215925</v>
      </c>
      <c r="N101" s="47" t="n">
        <v>22945.3</v>
      </c>
      <c r="O101" s="47" t="n">
        <f aca="false">IF(AND(ISNUMBER(G101),ISNUMBER(N101)),G101-N101,"")</f>
        <v>156.049999999999</v>
      </c>
      <c r="P101" s="49" t="n">
        <f aca="false">IF(ISNUMBER(O101),O101/N101,"")</f>
        <v>0.00680095705874403</v>
      </c>
      <c r="Q101" s="50" t="n">
        <f aca="false">C101-B101</f>
        <v>37</v>
      </c>
      <c r="R101" s="51" t="n">
        <f aca="false">IF(AND(C101=C100,ISNUMBER(G101),ISNUMBER(G100)),(G101/G100-1)*100,"")</f>
        <v>-0.262066613274736</v>
      </c>
      <c r="S101" s="51" t="n">
        <f aca="false">IF(AND(C101=C100,ISNUMBER(L101),ISNUMBER(L100)),(L101/L100-1)*100,"")</f>
        <v>11.9684057368531</v>
      </c>
      <c r="T101" s="51" t="n">
        <f aca="false">IF(AND(C101=C100,ISNUMBER(G101),ISNUMBER(G100)),G101-G100,"")</f>
        <v>-60.7000000000007</v>
      </c>
      <c r="U101" s="1" t="str">
        <f aca="false">IF(OR(NOT(ISNUMBER(R101)),NOT(ISNUMBER(S101))),"Not classified",IF(AND(R101&gt;0,S101&gt;0),"Long buildup (interpretation)",IF(AND(R101&lt;0,S101&gt;0),"Short buildup (interpretation)",IF(AND(R101&gt;0,S101&lt;0),"Short covering (interpretation)",IF(AND(R101&lt;0,S101&lt;0),"Long unwinding (interpretation)","Neutral")))))</f>
        <v>Short buildup (interpretation)</v>
      </c>
      <c r="V101" s="52" t="str">
        <f aca="false">TEXT(B101,"yyyy-mm")</f>
        <v>2025-02</v>
      </c>
      <c r="W101" s="52" t="n">
        <f aca="false">1+COUNTIFS($B$2:$B$756,B101,$C$2:$C$756,"&lt;"&amp;C101)</f>
        <v>2</v>
      </c>
      <c r="X101" s="53" t="n">
        <f aca="false">IF(AND(ISNUMBER(P101),Q101&gt;0),P101*365/Q101,"")</f>
        <v>0.0670905223362586</v>
      </c>
      <c r="Y101" s="42" t="n">
        <f aca="false">IF(AND(C102=C101,ISNUMBER(R102)),R102,"")</f>
        <v>-0.00670956459254413</v>
      </c>
      <c r="Z101" s="52" t="n">
        <f aca="false">IF(AND(W101=1,Q101&gt;Basis_Analysis!$B$3,ISNUMBER(Y101)),1,0)</f>
        <v>0</v>
      </c>
      <c r="AA101" s="43" t="str">
        <f aca="false">IF(W101=1,IF(SUMIFS($L$2:$L$756,$B$2:$B$756,B101,$W$2:$W$756,2)&gt;0,SUMIFS($L$2:$L$756,$B$2:$B$756,B101,$W$2:$W$756,2),""),"")</f>
        <v/>
      </c>
      <c r="AB101" s="54" t="str">
        <f aca="false">IF(AND(W101=1,ISNUMBER(AA101)),L101/(L101+AA101),"")</f>
        <v/>
      </c>
    </row>
    <row r="102" customFormat="false" ht="15" hidden="false" customHeight="true" outlineLevel="0" collapsed="false">
      <c r="A102" s="1" t="s">
        <v>274</v>
      </c>
      <c r="B102" s="46" t="n">
        <v>45707</v>
      </c>
      <c r="C102" s="46" t="n">
        <v>45743</v>
      </c>
      <c r="D102" s="47" t="n">
        <v>23080.95</v>
      </c>
      <c r="E102" s="47" t="n">
        <v>23237.95</v>
      </c>
      <c r="F102" s="47" t="n">
        <v>23012.95</v>
      </c>
      <c r="G102" s="47" t="n">
        <v>23099.8</v>
      </c>
      <c r="H102" s="47" t="n">
        <v>23091</v>
      </c>
      <c r="I102" s="47" t="n">
        <v>23099.8</v>
      </c>
      <c r="J102" s="48" t="n">
        <v>11489</v>
      </c>
      <c r="K102" s="47" t="n">
        <v>199266.89</v>
      </c>
      <c r="L102" s="48" t="n">
        <v>2306175</v>
      </c>
      <c r="M102" s="48" t="n">
        <v>286125</v>
      </c>
      <c r="N102" s="47" t="n">
        <v>22932.9</v>
      </c>
      <c r="O102" s="47" t="n">
        <f aca="false">IF(AND(ISNUMBER(G102),ISNUMBER(N102)),G102-N102,"")</f>
        <v>166.899999999998</v>
      </c>
      <c r="P102" s="49" t="n">
        <f aca="false">IF(ISNUMBER(O102),O102/N102,"")</f>
        <v>0.00727775379476638</v>
      </c>
      <c r="Q102" s="50" t="n">
        <f aca="false">C102-B102</f>
        <v>36</v>
      </c>
      <c r="R102" s="51" t="n">
        <f aca="false">IF(AND(C102=C101,ISNUMBER(G102),ISNUMBER(G101)),(G102/G101-1)*100,"")</f>
        <v>-0.00670956459254413</v>
      </c>
      <c r="S102" s="51" t="n">
        <f aca="false">IF(AND(C102=C101,ISNUMBER(L102),ISNUMBER(L101)),(L102/L101-1)*100,"")</f>
        <v>14.1642533600653</v>
      </c>
      <c r="T102" s="51" t="n">
        <f aca="false">IF(AND(C102=C101,ISNUMBER(G102),ISNUMBER(G101)),G102-G101,"")</f>
        <v>-1.54999999999927</v>
      </c>
      <c r="U102" s="1" t="str">
        <f aca="false">IF(OR(NOT(ISNUMBER(R102)),NOT(ISNUMBER(S102))),"Not classified",IF(AND(R102&gt;0,S102&gt;0),"Long buildup (interpretation)",IF(AND(R102&lt;0,S102&gt;0),"Short buildup (interpretation)",IF(AND(R102&gt;0,S102&lt;0),"Short covering (interpretation)",IF(AND(R102&lt;0,S102&lt;0),"Long unwinding (interpretation)","Neutral")))))</f>
        <v>Short buildup (interpretation)</v>
      </c>
      <c r="V102" s="52" t="str">
        <f aca="false">TEXT(B102,"yyyy-mm")</f>
        <v>2025-02</v>
      </c>
      <c r="W102" s="52" t="n">
        <f aca="false">1+COUNTIFS($B$2:$B$756,B102,$C$2:$C$756,"&lt;"&amp;C102)</f>
        <v>2</v>
      </c>
      <c r="X102" s="53" t="n">
        <f aca="false">IF(AND(ISNUMBER(P102),Q102&gt;0),P102*365/Q102,"")</f>
        <v>0.0737883370858257</v>
      </c>
      <c r="Y102" s="42" t="n">
        <f aca="false">IF(AND(C103=C102,ISNUMBER(R103)),R103,"")</f>
        <v>-0.0712127377726191</v>
      </c>
      <c r="Z102" s="52" t="n">
        <f aca="false">IF(AND(W102=1,Q102&gt;Basis_Analysis!$B$3,ISNUMBER(Y102)),1,0)</f>
        <v>0</v>
      </c>
      <c r="AA102" s="43" t="str">
        <f aca="false">IF(W102=1,IF(SUMIFS($L$2:$L$756,$B$2:$B$756,B102,$W$2:$W$756,2)&gt;0,SUMIFS($L$2:$L$756,$B$2:$B$756,B102,$W$2:$W$756,2),""),"")</f>
        <v/>
      </c>
      <c r="AB102" s="54" t="str">
        <f aca="false">IF(AND(W102=1,ISNUMBER(AA102)),L102/(L102+AA102),"")</f>
        <v/>
      </c>
    </row>
    <row r="103" customFormat="false" ht="15" hidden="false" customHeight="true" outlineLevel="0" collapsed="false">
      <c r="A103" s="1" t="s">
        <v>274</v>
      </c>
      <c r="B103" s="46" t="n">
        <v>45708</v>
      </c>
      <c r="C103" s="46" t="n">
        <v>45743</v>
      </c>
      <c r="D103" s="47" t="n">
        <v>22911</v>
      </c>
      <c r="E103" s="47" t="n">
        <v>23100.3</v>
      </c>
      <c r="F103" s="47" t="n">
        <v>22898.35</v>
      </c>
      <c r="G103" s="47" t="n">
        <v>23083.35</v>
      </c>
      <c r="H103" s="47" t="n">
        <v>23077.95</v>
      </c>
      <c r="I103" s="47" t="n">
        <v>23083.35</v>
      </c>
      <c r="J103" s="48" t="n">
        <v>14937</v>
      </c>
      <c r="K103" s="47" t="n">
        <v>258408.87</v>
      </c>
      <c r="L103" s="48" t="n">
        <v>2879400</v>
      </c>
      <c r="M103" s="48" t="n">
        <v>573225</v>
      </c>
      <c r="N103" s="47" t="n">
        <v>22913.15</v>
      </c>
      <c r="O103" s="47" t="n">
        <f aca="false">IF(AND(ISNUMBER(G103),ISNUMBER(N103)),G103-N103,"")</f>
        <v>170.199999999997</v>
      </c>
      <c r="P103" s="49" t="n">
        <f aca="false">IF(ISNUMBER(O103),O103/N103,"")</f>
        <v>0.00742804895878555</v>
      </c>
      <c r="Q103" s="50" t="n">
        <f aca="false">C103-B103</f>
        <v>35</v>
      </c>
      <c r="R103" s="51" t="n">
        <f aca="false">IF(AND(C103=C102,ISNUMBER(G103),ISNUMBER(G102)),(G103/G102-1)*100,"")</f>
        <v>-0.0712127377726191</v>
      </c>
      <c r="S103" s="51" t="n">
        <f aca="false">IF(AND(C103=C102,ISNUMBER(L103),ISNUMBER(L102)),(L103/L102-1)*100,"")</f>
        <v>24.8560928810693</v>
      </c>
      <c r="T103" s="51" t="n">
        <f aca="false">IF(AND(C103=C102,ISNUMBER(G103),ISNUMBER(G102)),G103-G102,"")</f>
        <v>-16.4500000000007</v>
      </c>
      <c r="U103" s="1" t="str">
        <f aca="false">IF(OR(NOT(ISNUMBER(R103)),NOT(ISNUMBER(S103))),"Not classified",IF(AND(R103&gt;0,S103&gt;0),"Long buildup (interpretation)",IF(AND(R103&lt;0,S103&gt;0),"Short buildup (interpretation)",IF(AND(R103&gt;0,S103&lt;0),"Short covering (interpretation)",IF(AND(R103&lt;0,S103&lt;0),"Long unwinding (interpretation)","Neutral")))))</f>
        <v>Short buildup (interpretation)</v>
      </c>
      <c r="V103" s="52" t="str">
        <f aca="false">TEXT(B103,"yyyy-mm")</f>
        <v>2025-02</v>
      </c>
      <c r="W103" s="52" t="n">
        <f aca="false">1+COUNTIFS($B$2:$B$756,B103,$C$2:$C$756,"&lt;"&amp;C103)</f>
        <v>2</v>
      </c>
      <c r="X103" s="53" t="n">
        <f aca="false">IF(AND(ISNUMBER(P103),Q103&gt;0),P103*365/Q103,"")</f>
        <v>0.0774639391416207</v>
      </c>
      <c r="Y103" s="42" t="n">
        <f aca="false">IF(AND(C104=C103,ISNUMBER(R104)),R104,"")</f>
        <v>-0.521154858371942</v>
      </c>
      <c r="Z103" s="52" t="n">
        <f aca="false">IF(AND(W103=1,Q103&gt;Basis_Analysis!$B$3,ISNUMBER(Y103)),1,0)</f>
        <v>0</v>
      </c>
      <c r="AA103" s="43" t="str">
        <f aca="false">IF(W103=1,IF(SUMIFS($L$2:$L$756,$B$2:$B$756,B103,$W$2:$W$756,2)&gt;0,SUMIFS($L$2:$L$756,$B$2:$B$756,B103,$W$2:$W$756,2),""),"")</f>
        <v/>
      </c>
      <c r="AB103" s="54" t="str">
        <f aca="false">IF(AND(W103=1,ISNUMBER(AA103)),L103/(L103+AA103),"")</f>
        <v/>
      </c>
    </row>
    <row r="104" customFormat="false" ht="15" hidden="false" customHeight="true" outlineLevel="0" collapsed="false">
      <c r="A104" s="1" t="s">
        <v>274</v>
      </c>
      <c r="B104" s="46" t="n">
        <v>45709</v>
      </c>
      <c r="C104" s="46" t="n">
        <v>45743</v>
      </c>
      <c r="D104" s="47" t="n">
        <v>23073.2</v>
      </c>
      <c r="E104" s="47" t="n">
        <v>23081.5</v>
      </c>
      <c r="F104" s="47" t="n">
        <v>22900</v>
      </c>
      <c r="G104" s="47" t="n">
        <v>22963.05</v>
      </c>
      <c r="H104" s="47" t="n">
        <v>22932.45</v>
      </c>
      <c r="I104" s="47" t="n">
        <v>22963.05</v>
      </c>
      <c r="J104" s="48" t="n">
        <v>29166</v>
      </c>
      <c r="K104" s="47" t="n">
        <v>502429.55</v>
      </c>
      <c r="L104" s="48" t="n">
        <v>4159350</v>
      </c>
      <c r="M104" s="48" t="n">
        <v>1279950</v>
      </c>
      <c r="N104" s="47" t="n">
        <v>22795.9</v>
      </c>
      <c r="O104" s="47" t="n">
        <f aca="false">IF(AND(ISNUMBER(G104),ISNUMBER(N104)),G104-N104,"")</f>
        <v>167.149999999998</v>
      </c>
      <c r="P104" s="49" t="n">
        <f aca="false">IF(ISNUMBER(O104),O104/N104,"")</f>
        <v>0.00733245890708407</v>
      </c>
      <c r="Q104" s="50" t="n">
        <f aca="false">C104-B104</f>
        <v>34</v>
      </c>
      <c r="R104" s="51" t="n">
        <f aca="false">IF(AND(C104=C103,ISNUMBER(G104),ISNUMBER(G103)),(G104/G103-1)*100,"")</f>
        <v>-0.521154858371942</v>
      </c>
      <c r="S104" s="51" t="n">
        <f aca="false">IF(AND(C104=C103,ISNUMBER(L104),ISNUMBER(L103)),(L104/L103-1)*100,"")</f>
        <v>44.4519691602417</v>
      </c>
      <c r="T104" s="51" t="n">
        <f aca="false">IF(AND(C104=C103,ISNUMBER(G104),ISNUMBER(G103)),G104-G103,"")</f>
        <v>-120.299999999999</v>
      </c>
      <c r="U104" s="1" t="str">
        <f aca="false">IF(OR(NOT(ISNUMBER(R104)),NOT(ISNUMBER(S104))),"Not classified",IF(AND(R104&gt;0,S104&gt;0),"Long buildup (interpretation)",IF(AND(R104&lt;0,S104&gt;0),"Short buildup (interpretation)",IF(AND(R104&gt;0,S104&lt;0),"Short covering (interpretation)",IF(AND(R104&lt;0,S104&lt;0),"Long unwinding (interpretation)","Neutral")))))</f>
        <v>Short buildup (interpretation)</v>
      </c>
      <c r="V104" s="52" t="str">
        <f aca="false">TEXT(B104,"yyyy-mm")</f>
        <v>2025-02</v>
      </c>
      <c r="W104" s="52" t="n">
        <f aca="false">1+COUNTIFS($B$2:$B$756,B104,$C$2:$C$756,"&lt;"&amp;C104)</f>
        <v>2</v>
      </c>
      <c r="X104" s="53" t="n">
        <f aca="false">IF(AND(ISNUMBER(P104),Q104&gt;0),P104*365/Q104,"")</f>
        <v>0.0787161029731084</v>
      </c>
      <c r="Y104" s="42" t="n">
        <f aca="false">IF(AND(C105=C104,ISNUMBER(R105)),R105,"")</f>
        <v>-0.951528651463984</v>
      </c>
      <c r="Z104" s="52" t="n">
        <f aca="false">IF(AND(W104=1,Q104&gt;Basis_Analysis!$B$3,ISNUMBER(Y104)),1,0)</f>
        <v>0</v>
      </c>
      <c r="AA104" s="43" t="str">
        <f aca="false">IF(W104=1,IF(SUMIFS($L$2:$L$756,$B$2:$B$756,B104,$W$2:$W$756,2)&gt;0,SUMIFS($L$2:$L$756,$B$2:$B$756,B104,$W$2:$W$756,2),""),"")</f>
        <v/>
      </c>
      <c r="AB104" s="54" t="str">
        <f aca="false">IF(AND(W104=1,ISNUMBER(AA104)),L104/(L104+AA104),"")</f>
        <v/>
      </c>
    </row>
    <row r="105" customFormat="false" ht="15" hidden="false" customHeight="true" outlineLevel="0" collapsed="false">
      <c r="A105" s="1" t="s">
        <v>274</v>
      </c>
      <c r="B105" s="46" t="n">
        <v>45712</v>
      </c>
      <c r="C105" s="46" t="n">
        <v>45743</v>
      </c>
      <c r="D105" s="47" t="n">
        <v>22825</v>
      </c>
      <c r="E105" s="47" t="n">
        <v>22855</v>
      </c>
      <c r="F105" s="47" t="n">
        <v>22707.55</v>
      </c>
      <c r="G105" s="47" t="n">
        <v>22744.55</v>
      </c>
      <c r="H105" s="47" t="n">
        <v>22735</v>
      </c>
      <c r="I105" s="47" t="n">
        <v>22744.55</v>
      </c>
      <c r="J105" s="48" t="n">
        <v>70700</v>
      </c>
      <c r="K105" s="47" t="n">
        <v>1206738.57</v>
      </c>
      <c r="L105" s="48" t="n">
        <v>8394450</v>
      </c>
      <c r="M105" s="48" t="n">
        <v>4235100</v>
      </c>
      <c r="N105" s="47" t="n">
        <v>22553.35</v>
      </c>
      <c r="O105" s="47" t="n">
        <f aca="false">IF(AND(ISNUMBER(G105),ISNUMBER(N105)),G105-N105,"")</f>
        <v>191.200000000001</v>
      </c>
      <c r="P105" s="49" t="n">
        <f aca="false">IF(ISNUMBER(O105),O105/N105,"")</f>
        <v>0.00847767626538854</v>
      </c>
      <c r="Q105" s="50" t="n">
        <f aca="false">C105-B105</f>
        <v>31</v>
      </c>
      <c r="R105" s="51" t="n">
        <f aca="false">IF(AND(C105=C104,ISNUMBER(G105),ISNUMBER(G104)),(G105/G104-1)*100,"")</f>
        <v>-0.951528651463984</v>
      </c>
      <c r="S105" s="51" t="n">
        <f aca="false">IF(AND(C105=C104,ISNUMBER(L105),ISNUMBER(L104)),(L105/L104-1)*100,"")</f>
        <v>101.82119802373</v>
      </c>
      <c r="T105" s="51" t="n">
        <f aca="false">IF(AND(C105=C104,ISNUMBER(G105),ISNUMBER(G104)),G105-G104,"")</f>
        <v>-218.5</v>
      </c>
      <c r="U105" s="1" t="str">
        <f aca="false">IF(OR(NOT(ISNUMBER(R105)),NOT(ISNUMBER(S105))),"Not classified",IF(AND(R105&gt;0,S105&gt;0),"Long buildup (interpretation)",IF(AND(R105&lt;0,S105&gt;0),"Short buildup (interpretation)",IF(AND(R105&gt;0,S105&lt;0),"Short covering (interpretation)",IF(AND(R105&lt;0,S105&lt;0),"Long unwinding (interpretation)","Neutral")))))</f>
        <v>Short buildup (interpretation)</v>
      </c>
      <c r="V105" s="52" t="str">
        <f aca="false">TEXT(B105,"yyyy-mm")</f>
        <v>2025-02</v>
      </c>
      <c r="W105" s="52" t="n">
        <f aca="false">1+COUNTIFS($B$2:$B$756,B105,$C$2:$C$756,"&lt;"&amp;C105)</f>
        <v>2</v>
      </c>
      <c r="X105" s="53" t="n">
        <f aca="false">IF(AND(ISNUMBER(P105),Q105&gt;0),P105*365/Q105,"")</f>
        <v>0.0998178011892522</v>
      </c>
      <c r="Y105" s="42" t="n">
        <f aca="false">IF(AND(C106=C105,ISNUMBER(R106)),R106,"")</f>
        <v>-0.124645244684984</v>
      </c>
      <c r="Z105" s="52" t="n">
        <f aca="false">IF(AND(W105=1,Q105&gt;Basis_Analysis!$B$3,ISNUMBER(Y105)),1,0)</f>
        <v>0</v>
      </c>
      <c r="AA105" s="43" t="str">
        <f aca="false">IF(W105=1,IF(SUMIFS($L$2:$L$756,$B$2:$B$756,B105,$W$2:$W$756,2)&gt;0,SUMIFS($L$2:$L$756,$B$2:$B$756,B105,$W$2:$W$756,2),""),"")</f>
        <v/>
      </c>
      <c r="AB105" s="54" t="str">
        <f aca="false">IF(AND(W105=1,ISNUMBER(AA105)),L105/(L105+AA105),"")</f>
        <v/>
      </c>
    </row>
    <row r="106" customFormat="false" ht="15" hidden="false" customHeight="true" outlineLevel="0" collapsed="false">
      <c r="A106" s="1" t="s">
        <v>274</v>
      </c>
      <c r="B106" s="46" t="n">
        <v>45713</v>
      </c>
      <c r="C106" s="46" t="n">
        <v>45743</v>
      </c>
      <c r="D106" s="47" t="n">
        <v>22777</v>
      </c>
      <c r="E106" s="47" t="n">
        <v>22779</v>
      </c>
      <c r="F106" s="47" t="n">
        <v>22691.2</v>
      </c>
      <c r="G106" s="47" t="n">
        <v>22716.2</v>
      </c>
      <c r="H106" s="47" t="n">
        <v>22696</v>
      </c>
      <c r="I106" s="47" t="n">
        <v>22716.2</v>
      </c>
      <c r="J106" s="48" t="n">
        <v>70205</v>
      </c>
      <c r="K106" s="47" t="n">
        <v>1196762.38</v>
      </c>
      <c r="L106" s="48" t="n">
        <v>12197550</v>
      </c>
      <c r="M106" s="48" t="n">
        <v>3803100</v>
      </c>
      <c r="N106" s="47" t="n">
        <v>22547.55</v>
      </c>
      <c r="O106" s="47" t="n">
        <f aca="false">IF(AND(ISNUMBER(G106),ISNUMBER(N106)),G106-N106,"")</f>
        <v>168.650000000001</v>
      </c>
      <c r="P106" s="49" t="n">
        <f aca="false">IF(ISNUMBER(O106),O106/N106,"")</f>
        <v>0.0074797483540341</v>
      </c>
      <c r="Q106" s="50" t="n">
        <f aca="false">C106-B106</f>
        <v>30</v>
      </c>
      <c r="R106" s="51" t="n">
        <f aca="false">IF(AND(C106=C105,ISNUMBER(G106),ISNUMBER(G105)),(G106/G105-1)*100,"")</f>
        <v>-0.124645244684984</v>
      </c>
      <c r="S106" s="51" t="n">
        <f aca="false">IF(AND(C106=C105,ISNUMBER(L106),ISNUMBER(L105)),(L106/L105-1)*100,"")</f>
        <v>45.304933616854</v>
      </c>
      <c r="T106" s="51" t="n">
        <f aca="false">IF(AND(C106=C105,ISNUMBER(G106),ISNUMBER(G105)),G106-G105,"")</f>
        <v>-28.3499999999985</v>
      </c>
      <c r="U106" s="1" t="str">
        <f aca="false">IF(OR(NOT(ISNUMBER(R106)),NOT(ISNUMBER(S106))),"Not classified",IF(AND(R106&gt;0,S106&gt;0),"Long buildup (interpretation)",IF(AND(R106&lt;0,S106&gt;0),"Short buildup (interpretation)",IF(AND(R106&gt;0,S106&lt;0),"Short covering (interpretation)",IF(AND(R106&lt;0,S106&lt;0),"Long unwinding (interpretation)","Neutral")))))</f>
        <v>Short buildup (interpretation)</v>
      </c>
      <c r="V106" s="52" t="str">
        <f aca="false">TEXT(B106,"yyyy-mm")</f>
        <v>2025-02</v>
      </c>
      <c r="W106" s="52" t="n">
        <f aca="false">1+COUNTIFS($B$2:$B$756,B106,$C$2:$C$756,"&lt;"&amp;C106)</f>
        <v>2</v>
      </c>
      <c r="X106" s="53" t="n">
        <f aca="false">IF(AND(ISNUMBER(P106),Q106&gt;0),P106*365/Q106,"")</f>
        <v>0.0910036049740815</v>
      </c>
      <c r="Y106" s="42" t="n">
        <f aca="false">IF(AND(C107=C106,ISNUMBER(R107)),R107,"")</f>
        <v>-0.143289810795821</v>
      </c>
      <c r="Z106" s="52" t="n">
        <f aca="false">IF(AND(W106=1,Q106&gt;Basis_Analysis!$B$3,ISNUMBER(Y106)),1,0)</f>
        <v>0</v>
      </c>
      <c r="AA106" s="43" t="str">
        <f aca="false">IF(W106=1,IF(SUMIFS($L$2:$L$756,$B$2:$B$756,B106,$W$2:$W$756,2)&gt;0,SUMIFS($L$2:$L$756,$B$2:$B$756,B106,$W$2:$W$756,2),""),"")</f>
        <v/>
      </c>
      <c r="AB106" s="54" t="str">
        <f aca="false">IF(AND(W106=1,ISNUMBER(AA106)),L106/(L106+AA106),"")</f>
        <v/>
      </c>
    </row>
    <row r="107" customFormat="false" ht="15" hidden="false" customHeight="true" outlineLevel="0" collapsed="false">
      <c r="A107" s="1" t="s">
        <v>274</v>
      </c>
      <c r="B107" s="46" t="n">
        <v>45715</v>
      </c>
      <c r="C107" s="46" t="n">
        <v>45743</v>
      </c>
      <c r="D107" s="47" t="n">
        <v>22696</v>
      </c>
      <c r="E107" s="47" t="n">
        <v>22739.6</v>
      </c>
      <c r="F107" s="47" t="n">
        <v>22660</v>
      </c>
      <c r="G107" s="47" t="n">
        <v>22683.65</v>
      </c>
      <c r="H107" s="47" t="n">
        <v>22660</v>
      </c>
      <c r="I107" s="47" t="n">
        <v>22683.65</v>
      </c>
      <c r="J107" s="48" t="n">
        <v>97681</v>
      </c>
      <c r="K107" s="47" t="n">
        <v>1662019.44</v>
      </c>
      <c r="L107" s="48" t="n">
        <v>16756425</v>
      </c>
      <c r="M107" s="48" t="n">
        <v>4558875</v>
      </c>
      <c r="N107" s="47" t="n">
        <v>22545.05</v>
      </c>
      <c r="O107" s="47" t="n">
        <f aca="false">IF(AND(ISNUMBER(G107),ISNUMBER(N107)),G107-N107,"")</f>
        <v>138.600000000002</v>
      </c>
      <c r="P107" s="49" t="n">
        <f aca="false">IF(ISNUMBER(O107),O107/N107,"")</f>
        <v>0.00614769095655154</v>
      </c>
      <c r="Q107" s="50" t="n">
        <f aca="false">C107-B107</f>
        <v>28</v>
      </c>
      <c r="R107" s="51" t="n">
        <f aca="false">IF(AND(C107=C106,ISNUMBER(G107),ISNUMBER(G106)),(G107/G106-1)*100,"")</f>
        <v>-0.143289810795821</v>
      </c>
      <c r="S107" s="51" t="n">
        <f aca="false">IF(AND(C107=C106,ISNUMBER(L107),ISNUMBER(L106)),(L107/L106-1)*100,"")</f>
        <v>37.375333571086</v>
      </c>
      <c r="T107" s="51" t="n">
        <f aca="false">IF(AND(C107=C106,ISNUMBER(G107),ISNUMBER(G106)),G107-G106,"")</f>
        <v>-32.5499999999993</v>
      </c>
      <c r="U107" s="1" t="str">
        <f aca="false">IF(OR(NOT(ISNUMBER(R107)),NOT(ISNUMBER(S107))),"Not classified",IF(AND(R107&gt;0,S107&gt;0),"Long buildup (interpretation)",IF(AND(R107&lt;0,S107&gt;0),"Short buildup (interpretation)",IF(AND(R107&gt;0,S107&lt;0),"Short covering (interpretation)",IF(AND(R107&lt;0,S107&lt;0),"Long unwinding (interpretation)","Neutral")))))</f>
        <v>Short buildup (interpretation)</v>
      </c>
      <c r="V107" s="52" t="str">
        <f aca="false">TEXT(B107,"yyyy-mm")</f>
        <v>2025-02</v>
      </c>
      <c r="W107" s="52" t="n">
        <f aca="false">1+COUNTIFS($B$2:$B$756,B107,$C$2:$C$756,"&lt;"&amp;C107)</f>
        <v>2</v>
      </c>
      <c r="X107" s="53" t="n">
        <f aca="false">IF(AND(ISNUMBER(P107),Q107&gt;0),P107*365/Q107,"")</f>
        <v>0.0801395428264754</v>
      </c>
      <c r="Y107" s="42" t="n">
        <f aca="false">IF(AND(C108=C107,ISNUMBER(R108)),R108,"")</f>
        <v>-1.77925510224326</v>
      </c>
      <c r="Z107" s="52" t="n">
        <f aca="false">IF(AND(W107=1,Q107&gt;Basis_Analysis!$B$3,ISNUMBER(Y107)),1,0)</f>
        <v>0</v>
      </c>
      <c r="AA107" s="43" t="str">
        <f aca="false">IF(W107=1,IF(SUMIFS($L$2:$L$756,$B$2:$B$756,B107,$W$2:$W$756,2)&gt;0,SUMIFS($L$2:$L$756,$B$2:$B$756,B107,$W$2:$W$756,2),""),"")</f>
        <v/>
      </c>
      <c r="AB107" s="54" t="str">
        <f aca="false">IF(AND(W107=1,ISNUMBER(AA107)),L107/(L107+AA107),"")</f>
        <v/>
      </c>
    </row>
    <row r="108" customFormat="false" ht="15" hidden="false" customHeight="true" outlineLevel="0" collapsed="false">
      <c r="A108" s="1" t="s">
        <v>274</v>
      </c>
      <c r="B108" s="46" t="n">
        <v>45716</v>
      </c>
      <c r="C108" s="46" t="n">
        <v>45743</v>
      </c>
      <c r="D108" s="47" t="n">
        <v>22532.4</v>
      </c>
      <c r="E108" s="47" t="n">
        <v>22574.75</v>
      </c>
      <c r="F108" s="47" t="n">
        <v>22233.35</v>
      </c>
      <c r="G108" s="47" t="n">
        <v>22280.05</v>
      </c>
      <c r="H108" s="47" t="n">
        <v>22272.05</v>
      </c>
      <c r="I108" s="47" t="n">
        <v>22280.05</v>
      </c>
      <c r="J108" s="48" t="n">
        <v>122445</v>
      </c>
      <c r="K108" s="47" t="n">
        <v>2053647.19</v>
      </c>
      <c r="L108" s="48" t="n">
        <v>17905950</v>
      </c>
      <c r="M108" s="48" t="n">
        <v>1149525</v>
      </c>
      <c r="N108" s="47" t="n">
        <v>22124.7</v>
      </c>
      <c r="O108" s="47" t="n">
        <f aca="false">IF(AND(ISNUMBER(G108),ISNUMBER(N108)),G108-N108,"")</f>
        <v>155.349999999999</v>
      </c>
      <c r="P108" s="49" t="n">
        <f aca="false">IF(ISNUMBER(O108),O108/N108,"")</f>
        <v>0.00702156413420288</v>
      </c>
      <c r="Q108" s="50" t="n">
        <f aca="false">C108-B108</f>
        <v>27</v>
      </c>
      <c r="R108" s="51" t="n">
        <f aca="false">IF(AND(C108=C107,ISNUMBER(G108),ISNUMBER(G107)),(G108/G107-1)*100,"")</f>
        <v>-1.77925510224326</v>
      </c>
      <c r="S108" s="51" t="n">
        <f aca="false">IF(AND(C108=C107,ISNUMBER(L108),ISNUMBER(L107)),(L108/L107-1)*100,"")</f>
        <v>6.86020436936876</v>
      </c>
      <c r="T108" s="51" t="n">
        <f aca="false">IF(AND(C108=C107,ISNUMBER(G108),ISNUMBER(G107)),G108-G107,"")</f>
        <v>-403.600000000002</v>
      </c>
      <c r="U108" s="1" t="str">
        <f aca="false">IF(OR(NOT(ISNUMBER(R108)),NOT(ISNUMBER(S108))),"Not classified",IF(AND(R108&gt;0,S108&gt;0),"Long buildup (interpretation)",IF(AND(R108&lt;0,S108&gt;0),"Short buildup (interpretation)",IF(AND(R108&gt;0,S108&lt;0),"Short covering (interpretation)",IF(AND(R108&lt;0,S108&lt;0),"Long unwinding (interpretation)","Neutral")))))</f>
        <v>Short buildup (interpretation)</v>
      </c>
      <c r="V108" s="52" t="str">
        <f aca="false">TEXT(B108,"yyyy-mm")</f>
        <v>2025-02</v>
      </c>
      <c r="W108" s="52" t="n">
        <f aca="false">1+COUNTIFS($B$2:$B$756,B108,$C$2:$C$756,"&lt;"&amp;C108)</f>
        <v>1</v>
      </c>
      <c r="X108" s="53" t="n">
        <f aca="false">IF(AND(ISNUMBER(P108),Q108&gt;0),P108*365/Q108,"")</f>
        <v>0.0949211447771871</v>
      </c>
      <c r="Y108" s="42" t="n">
        <f aca="false">IF(AND(C109=C108,ISNUMBER(R109)),R109,"")</f>
        <v>-0.090888485438767</v>
      </c>
      <c r="Z108" s="52" t="n">
        <f aca="false">IF(AND(W108=1,Q108&gt;Basis_Analysis!$B$3,ISNUMBER(Y108)),1,0)</f>
        <v>1</v>
      </c>
      <c r="AA108" s="43" t="n">
        <f aca="false">IF(W108=1,IF(SUMIFS($L$2:$L$756,$B$2:$B$756,B108,$W$2:$W$756,2)&gt;0,SUMIFS($L$2:$L$756,$B$2:$B$756,B108,$W$2:$W$756,2),""),"")</f>
        <v>991950</v>
      </c>
      <c r="AB108" s="54" t="n">
        <f aca="false">IF(AND(W108=1,ISNUMBER(AA108)),L108/(L108+AA108),"")</f>
        <v>0.947510040798184</v>
      </c>
    </row>
    <row r="109" customFormat="false" ht="15" hidden="false" customHeight="true" outlineLevel="0" collapsed="false">
      <c r="A109" s="1" t="s">
        <v>274</v>
      </c>
      <c r="B109" s="46" t="n">
        <v>45719</v>
      </c>
      <c r="C109" s="46" t="n">
        <v>45743</v>
      </c>
      <c r="D109" s="47" t="n">
        <v>22341</v>
      </c>
      <c r="E109" s="47" t="n">
        <v>22376</v>
      </c>
      <c r="F109" s="47" t="n">
        <v>22140.05</v>
      </c>
      <c r="G109" s="47" t="n">
        <v>22259.8</v>
      </c>
      <c r="H109" s="47" t="n">
        <v>22267</v>
      </c>
      <c r="I109" s="47" t="n">
        <v>22259.8</v>
      </c>
      <c r="J109" s="48" t="n">
        <v>89291</v>
      </c>
      <c r="K109" s="47" t="n">
        <v>1489787.3</v>
      </c>
      <c r="L109" s="48" t="n">
        <v>17949600</v>
      </c>
      <c r="M109" s="48" t="n">
        <v>43650</v>
      </c>
      <c r="N109" s="47" t="n">
        <v>22119.3</v>
      </c>
      <c r="O109" s="47" t="n">
        <f aca="false">IF(AND(ISNUMBER(G109),ISNUMBER(N109)),G109-N109,"")</f>
        <v>140.5</v>
      </c>
      <c r="P109" s="49" t="n">
        <f aca="false">IF(ISNUMBER(O109),O109/N109,"")</f>
        <v>0.00635191891244298</v>
      </c>
      <c r="Q109" s="50" t="n">
        <f aca="false">C109-B109</f>
        <v>24</v>
      </c>
      <c r="R109" s="51" t="n">
        <f aca="false">IF(AND(C109=C108,ISNUMBER(G109),ISNUMBER(G108)),(G109/G108-1)*100,"")</f>
        <v>-0.090888485438767</v>
      </c>
      <c r="S109" s="51" t="n">
        <f aca="false">IF(AND(C109=C108,ISNUMBER(L109),ISNUMBER(L108)),(L109/L108-1)*100,"")</f>
        <v>0.243773717674856</v>
      </c>
      <c r="T109" s="51" t="n">
        <f aca="false">IF(AND(C109=C108,ISNUMBER(G109),ISNUMBER(G108)),G109-G108,"")</f>
        <v>-20.25</v>
      </c>
      <c r="U109" s="1" t="str">
        <f aca="false">IF(OR(NOT(ISNUMBER(R109)),NOT(ISNUMBER(S109))),"Not classified",IF(AND(R109&gt;0,S109&gt;0),"Long buildup (interpretation)",IF(AND(R109&lt;0,S109&gt;0),"Short buildup (interpretation)",IF(AND(R109&gt;0,S109&lt;0),"Short covering (interpretation)",IF(AND(R109&lt;0,S109&lt;0),"Long unwinding (interpretation)","Neutral")))))</f>
        <v>Short buildup (interpretation)</v>
      </c>
      <c r="V109" s="52" t="str">
        <f aca="false">TEXT(B109,"yyyy-mm")</f>
        <v>2025-03</v>
      </c>
      <c r="W109" s="52" t="n">
        <f aca="false">1+COUNTIFS($B$2:$B$756,B109,$C$2:$C$756,"&lt;"&amp;C109)</f>
        <v>1</v>
      </c>
      <c r="X109" s="53" t="n">
        <f aca="false">IF(AND(ISNUMBER(P109),Q109&gt;0),P109*365/Q109,"")</f>
        <v>0.096602100126737</v>
      </c>
      <c r="Y109" s="42" t="n">
        <f aca="false">IF(AND(C110=C109,ISNUMBER(R110)),R110,"")</f>
        <v>-0.308852730033515</v>
      </c>
      <c r="Z109" s="52" t="n">
        <f aca="false">IF(AND(W109=1,Q109&gt;Basis_Analysis!$B$3,ISNUMBER(Y109)),1,0)</f>
        <v>1</v>
      </c>
      <c r="AA109" s="43" t="n">
        <f aca="false">IF(W109=1,IF(SUMIFS($L$2:$L$756,$B$2:$B$756,B109,$W$2:$W$756,2)&gt;0,SUMIFS($L$2:$L$756,$B$2:$B$756,B109,$W$2:$W$756,2),""),"")</f>
        <v>1123500</v>
      </c>
      <c r="AB109" s="54" t="n">
        <f aca="false">IF(AND(W109=1,ISNUMBER(AA109)),L109/(L109+AA109),"")</f>
        <v>0.941095050096733</v>
      </c>
    </row>
    <row r="110" customFormat="false" ht="15" hidden="false" customHeight="true" outlineLevel="0" collapsed="false">
      <c r="A110" s="1" t="s">
        <v>274</v>
      </c>
      <c r="B110" s="46" t="n">
        <v>45720</v>
      </c>
      <c r="C110" s="46" t="n">
        <v>45743</v>
      </c>
      <c r="D110" s="47" t="n">
        <v>22115.6</v>
      </c>
      <c r="E110" s="47" t="n">
        <v>22237</v>
      </c>
      <c r="F110" s="47" t="n">
        <v>22101</v>
      </c>
      <c r="G110" s="47" t="n">
        <v>22191.05</v>
      </c>
      <c r="H110" s="47" t="n">
        <v>22184.8</v>
      </c>
      <c r="I110" s="47" t="n">
        <v>22191.05</v>
      </c>
      <c r="J110" s="48" t="n">
        <v>63149</v>
      </c>
      <c r="K110" s="47" t="n">
        <v>1050223.89</v>
      </c>
      <c r="L110" s="48" t="n">
        <v>18198750</v>
      </c>
      <c r="M110" s="48" t="n">
        <v>249150</v>
      </c>
      <c r="N110" s="47" t="n">
        <v>22082.65</v>
      </c>
      <c r="O110" s="47" t="n">
        <f aca="false">IF(AND(ISNUMBER(G110),ISNUMBER(N110)),G110-N110,"")</f>
        <v>108.399999999998</v>
      </c>
      <c r="P110" s="49" t="n">
        <f aca="false">IF(ISNUMBER(O110),O110/N110,"")</f>
        <v>0.00490883114118993</v>
      </c>
      <c r="Q110" s="50" t="n">
        <f aca="false">C110-B110</f>
        <v>23</v>
      </c>
      <c r="R110" s="51" t="n">
        <f aca="false">IF(AND(C110=C109,ISNUMBER(G110),ISNUMBER(G109)),(G110/G109-1)*100,"")</f>
        <v>-0.308852730033515</v>
      </c>
      <c r="S110" s="51" t="n">
        <f aca="false">IF(AND(C110=C109,ISNUMBER(L110),ISNUMBER(L109)),(L110/L109-1)*100,"")</f>
        <v>1.38805321567055</v>
      </c>
      <c r="T110" s="51" t="n">
        <f aca="false">IF(AND(C110=C109,ISNUMBER(G110),ISNUMBER(G109)),G110-G109,"")</f>
        <v>-68.75</v>
      </c>
      <c r="U110" s="1" t="str">
        <f aca="false">IF(OR(NOT(ISNUMBER(R110)),NOT(ISNUMBER(S110))),"Not classified",IF(AND(R110&gt;0,S110&gt;0),"Long buildup (interpretation)",IF(AND(R110&lt;0,S110&gt;0),"Short buildup (interpretation)",IF(AND(R110&gt;0,S110&lt;0),"Short covering (interpretation)",IF(AND(R110&lt;0,S110&lt;0),"Long unwinding (interpretation)","Neutral")))))</f>
        <v>Short buildup (interpretation)</v>
      </c>
      <c r="V110" s="52" t="str">
        <f aca="false">TEXT(B110,"yyyy-mm")</f>
        <v>2025-03</v>
      </c>
      <c r="W110" s="52" t="n">
        <f aca="false">1+COUNTIFS($B$2:$B$756,B110,$C$2:$C$756,"&lt;"&amp;C110)</f>
        <v>1</v>
      </c>
      <c r="X110" s="53" t="n">
        <f aca="false">IF(AND(ISNUMBER(P110),Q110&gt;0),P110*365/Q110,"")</f>
        <v>0.077901015936275</v>
      </c>
      <c r="Y110" s="42" t="n">
        <f aca="false">IF(AND(C111=C110,ISNUMBER(R111)),R111,"")</f>
        <v>1.12793220690324</v>
      </c>
      <c r="Z110" s="52" t="n">
        <f aca="false">IF(AND(W110=1,Q110&gt;Basis_Analysis!$B$3,ISNUMBER(Y110)),1,0)</f>
        <v>1</v>
      </c>
      <c r="AA110" s="43" t="n">
        <f aca="false">IF(W110=1,IF(SUMIFS($L$2:$L$756,$B$2:$B$756,B110,$W$2:$W$756,2)&gt;0,SUMIFS($L$2:$L$756,$B$2:$B$756,B110,$W$2:$W$756,2),""),"")</f>
        <v>1217700</v>
      </c>
      <c r="AB110" s="54" t="n">
        <f aca="false">IF(AND(W110=1,ISNUMBER(AA110)),L110/(L110+AA110),"")</f>
        <v>0.937285137087367</v>
      </c>
    </row>
    <row r="111" customFormat="false" ht="15" hidden="false" customHeight="true" outlineLevel="0" collapsed="false">
      <c r="A111" s="1" t="s">
        <v>274</v>
      </c>
      <c r="B111" s="46" t="n">
        <v>45721</v>
      </c>
      <c r="C111" s="46" t="n">
        <v>45743</v>
      </c>
      <c r="D111" s="47" t="n">
        <v>22200</v>
      </c>
      <c r="E111" s="47" t="n">
        <v>22498</v>
      </c>
      <c r="F111" s="47" t="n">
        <v>22168.3</v>
      </c>
      <c r="G111" s="47" t="n">
        <v>22441.35</v>
      </c>
      <c r="H111" s="47" t="n">
        <v>22445</v>
      </c>
      <c r="I111" s="47" t="n">
        <v>22441.35</v>
      </c>
      <c r="J111" s="48" t="n">
        <v>82566</v>
      </c>
      <c r="K111" s="47" t="n">
        <v>1386227.31</v>
      </c>
      <c r="L111" s="48" t="n">
        <v>17827425</v>
      </c>
      <c r="M111" s="48" t="n">
        <v>-371325</v>
      </c>
      <c r="N111" s="47" t="n">
        <v>22337.3</v>
      </c>
      <c r="O111" s="47" t="n">
        <f aca="false">IF(AND(ISNUMBER(G111),ISNUMBER(N111)),G111-N111,"")</f>
        <v>104.049999999999</v>
      </c>
      <c r="P111" s="49" t="n">
        <f aca="false">IF(ISNUMBER(O111),O111/N111,"")</f>
        <v>0.0046581278847488</v>
      </c>
      <c r="Q111" s="50" t="n">
        <f aca="false">C111-B111</f>
        <v>22</v>
      </c>
      <c r="R111" s="51" t="n">
        <f aca="false">IF(AND(C111=C110,ISNUMBER(G111),ISNUMBER(G110)),(G111/G110-1)*100,"")</f>
        <v>1.12793220690324</v>
      </c>
      <c r="S111" s="51" t="n">
        <f aca="false">IF(AND(C111=C110,ISNUMBER(L111),ISNUMBER(L110)),(L111/L110-1)*100,"")</f>
        <v>-2.04038738924377</v>
      </c>
      <c r="T111" s="51" t="n">
        <f aca="false">IF(AND(C111=C110,ISNUMBER(G111),ISNUMBER(G110)),G111-G110,"")</f>
        <v>250.299999999999</v>
      </c>
      <c r="U111" s="1" t="str">
        <f aca="false">IF(OR(NOT(ISNUMBER(R111)),NOT(ISNUMBER(S111))),"Not classified",IF(AND(R111&gt;0,S111&gt;0),"Long buildup (interpretation)",IF(AND(R111&lt;0,S111&gt;0),"Short buildup (interpretation)",IF(AND(R111&gt;0,S111&lt;0),"Short covering (interpretation)",IF(AND(R111&lt;0,S111&lt;0),"Long unwinding (interpretation)","Neutral")))))</f>
        <v>Short covering (interpretation)</v>
      </c>
      <c r="V111" s="52" t="str">
        <f aca="false">TEXT(B111,"yyyy-mm")</f>
        <v>2025-03</v>
      </c>
      <c r="W111" s="52" t="n">
        <f aca="false">1+COUNTIFS($B$2:$B$756,B111,$C$2:$C$756,"&lt;"&amp;C111)</f>
        <v>1</v>
      </c>
      <c r="X111" s="53" t="n">
        <f aca="false">IF(AND(ISNUMBER(P111),Q111&gt;0),P111*365/Q111,"")</f>
        <v>0.0772825762696959</v>
      </c>
      <c r="Y111" s="42" t="n">
        <f aca="false">IF(AND(C112=C111,ISNUMBER(R112)),R112,"")</f>
        <v>0.800308359345592</v>
      </c>
      <c r="Z111" s="52" t="n">
        <f aca="false">IF(AND(W111=1,Q111&gt;Basis_Analysis!$B$3,ISNUMBER(Y111)),1,0)</f>
        <v>1</v>
      </c>
      <c r="AA111" s="43" t="n">
        <f aca="false">IF(W111=1,IF(SUMIFS($L$2:$L$756,$B$2:$B$756,B111,$W$2:$W$756,2)&gt;0,SUMIFS($L$2:$L$756,$B$2:$B$756,B111,$W$2:$W$756,2),""),"")</f>
        <v>1429800</v>
      </c>
      <c r="AB111" s="54" t="n">
        <f aca="false">IF(AND(W111=1,ISNUMBER(AA111)),L111/(L111+AA111),"")</f>
        <v>0.925752542227658</v>
      </c>
    </row>
    <row r="112" customFormat="false" ht="15" hidden="false" customHeight="true" outlineLevel="0" collapsed="false">
      <c r="A112" s="1" t="s">
        <v>274</v>
      </c>
      <c r="B112" s="46" t="n">
        <v>45722</v>
      </c>
      <c r="C112" s="46" t="n">
        <v>45743</v>
      </c>
      <c r="D112" s="47" t="n">
        <v>22541</v>
      </c>
      <c r="E112" s="47" t="n">
        <v>22638.15</v>
      </c>
      <c r="F112" s="47" t="n">
        <v>22359</v>
      </c>
      <c r="G112" s="47" t="n">
        <v>22620.95</v>
      </c>
      <c r="H112" s="47" t="n">
        <v>22620.2</v>
      </c>
      <c r="I112" s="47" t="n">
        <v>22620.95</v>
      </c>
      <c r="J112" s="48" t="n">
        <v>117025</v>
      </c>
      <c r="K112" s="47" t="n">
        <v>1977724.81</v>
      </c>
      <c r="L112" s="48" t="n">
        <v>18106275</v>
      </c>
      <c r="M112" s="48" t="n">
        <v>278850</v>
      </c>
      <c r="N112" s="47" t="n">
        <v>22544.7</v>
      </c>
      <c r="O112" s="47" t="n">
        <f aca="false">IF(AND(ISNUMBER(G112),ISNUMBER(N112)),G112-N112,"")</f>
        <v>76.25</v>
      </c>
      <c r="P112" s="49" t="n">
        <f aca="false">IF(ISNUMBER(O112),O112/N112,"")</f>
        <v>0.00338216964519377</v>
      </c>
      <c r="Q112" s="50" t="n">
        <f aca="false">C112-B112</f>
        <v>21</v>
      </c>
      <c r="R112" s="51" t="n">
        <f aca="false">IF(AND(C112=C111,ISNUMBER(G112),ISNUMBER(G111)),(G112/G111-1)*100,"")</f>
        <v>0.800308359345592</v>
      </c>
      <c r="S112" s="51" t="n">
        <f aca="false">IF(AND(C112=C111,ISNUMBER(L112),ISNUMBER(L111)),(L112/L111-1)*100,"")</f>
        <v>1.56416308019807</v>
      </c>
      <c r="T112" s="51" t="n">
        <f aca="false">IF(AND(C112=C111,ISNUMBER(G112),ISNUMBER(G111)),G112-G111,"")</f>
        <v>179.600000000002</v>
      </c>
      <c r="U112" s="1" t="str">
        <f aca="false">IF(OR(NOT(ISNUMBER(R112)),NOT(ISNUMBER(S112))),"Not classified",IF(AND(R112&gt;0,S112&gt;0),"Long buildup (interpretation)",IF(AND(R112&lt;0,S112&gt;0),"Short buildup (interpretation)",IF(AND(R112&gt;0,S112&lt;0),"Short covering (interpretation)",IF(AND(R112&lt;0,S112&lt;0),"Long unwinding (interpretation)","Neutral")))))</f>
        <v>Long buildup (interpretation)</v>
      </c>
      <c r="V112" s="52" t="str">
        <f aca="false">TEXT(B112,"yyyy-mm")</f>
        <v>2025-03</v>
      </c>
      <c r="W112" s="52" t="n">
        <f aca="false">1+COUNTIFS($B$2:$B$756,B112,$C$2:$C$756,"&lt;"&amp;C112)</f>
        <v>1</v>
      </c>
      <c r="X112" s="53" t="n">
        <f aca="false">IF(AND(ISNUMBER(P112),Q112&gt;0),P112*365/Q112,"")</f>
        <v>0.0587853295474155</v>
      </c>
      <c r="Y112" s="42" t="n">
        <f aca="false">IF(AND(C113=C112,ISNUMBER(R113)),R113,"")</f>
        <v>0.12819974404259</v>
      </c>
      <c r="Z112" s="52" t="n">
        <f aca="false">IF(AND(W112=1,Q112&gt;Basis_Analysis!$B$3,ISNUMBER(Y112)),1,0)</f>
        <v>1</v>
      </c>
      <c r="AA112" s="43" t="n">
        <f aca="false">IF(W112=1,IF(SUMIFS($L$2:$L$756,$B$2:$B$756,B112,$W$2:$W$756,2)&gt;0,SUMIFS($L$2:$L$756,$B$2:$B$756,B112,$W$2:$W$756,2),""),"")</f>
        <v>1409925</v>
      </c>
      <c r="AB112" s="54" t="n">
        <f aca="false">IF(AND(W112=1,ISNUMBER(AA112)),L112/(L112+AA112),"")</f>
        <v>0.927756171795739</v>
      </c>
    </row>
    <row r="113" customFormat="false" ht="15" hidden="false" customHeight="true" outlineLevel="0" collapsed="false">
      <c r="A113" s="1" t="s">
        <v>274</v>
      </c>
      <c r="B113" s="46" t="n">
        <v>45723</v>
      </c>
      <c r="C113" s="46" t="n">
        <v>45743</v>
      </c>
      <c r="D113" s="47" t="n">
        <v>22598.9</v>
      </c>
      <c r="E113" s="47" t="n">
        <v>22738</v>
      </c>
      <c r="F113" s="47" t="n">
        <v>22572.2</v>
      </c>
      <c r="G113" s="47" t="n">
        <v>22649.95</v>
      </c>
      <c r="H113" s="47" t="n">
        <v>22639</v>
      </c>
      <c r="I113" s="47" t="n">
        <v>22649.95</v>
      </c>
      <c r="J113" s="48" t="n">
        <v>75660</v>
      </c>
      <c r="K113" s="47" t="n">
        <v>1285467.1</v>
      </c>
      <c r="L113" s="48" t="n">
        <v>18054525</v>
      </c>
      <c r="M113" s="48" t="n">
        <v>-51750</v>
      </c>
      <c r="N113" s="47" t="n">
        <v>22552.5</v>
      </c>
      <c r="O113" s="47" t="n">
        <f aca="false">IF(AND(ISNUMBER(G113),ISNUMBER(N113)),G113-N113,"")</f>
        <v>97.4500000000007</v>
      </c>
      <c r="P113" s="49" t="n">
        <f aca="false">IF(ISNUMBER(O113),O113/N113,"")</f>
        <v>0.00432102871078598</v>
      </c>
      <c r="Q113" s="50" t="n">
        <f aca="false">C113-B113</f>
        <v>20</v>
      </c>
      <c r="R113" s="51" t="n">
        <f aca="false">IF(AND(C113=C112,ISNUMBER(G113),ISNUMBER(G112)),(G113/G112-1)*100,"")</f>
        <v>0.12819974404259</v>
      </c>
      <c r="S113" s="51" t="n">
        <f aca="false">IF(AND(C113=C112,ISNUMBER(L113),ISNUMBER(L112)),(L113/L112-1)*100,"")</f>
        <v>-0.285812515274397</v>
      </c>
      <c r="T113" s="51" t="n">
        <f aca="false">IF(AND(C113=C112,ISNUMBER(G113),ISNUMBER(G112)),G113-G112,"")</f>
        <v>29</v>
      </c>
      <c r="U113" s="1" t="str">
        <f aca="false">IF(OR(NOT(ISNUMBER(R113)),NOT(ISNUMBER(S113))),"Not classified",IF(AND(R113&gt;0,S113&gt;0),"Long buildup (interpretation)",IF(AND(R113&lt;0,S113&gt;0),"Short buildup (interpretation)",IF(AND(R113&gt;0,S113&lt;0),"Short covering (interpretation)",IF(AND(R113&lt;0,S113&lt;0),"Long unwinding (interpretation)","Neutral")))))</f>
        <v>Short covering (interpretation)</v>
      </c>
      <c r="V113" s="52" t="str">
        <f aca="false">TEXT(B113,"yyyy-mm")</f>
        <v>2025-03</v>
      </c>
      <c r="W113" s="52" t="n">
        <f aca="false">1+COUNTIFS($B$2:$B$756,B113,$C$2:$C$756,"&lt;"&amp;C113)</f>
        <v>1</v>
      </c>
      <c r="X113" s="53" t="n">
        <f aca="false">IF(AND(ISNUMBER(P113),Q113&gt;0),P113*365/Q113,"")</f>
        <v>0.0788587739718441</v>
      </c>
      <c r="Y113" s="42" t="n">
        <f aca="false">IF(AND(C114=C113,ISNUMBER(R114)),R114,"")</f>
        <v>-0.592937291252293</v>
      </c>
      <c r="Z113" s="52" t="n">
        <f aca="false">IF(AND(W113=1,Q113&gt;Basis_Analysis!$B$3,ISNUMBER(Y113)),1,0)</f>
        <v>1</v>
      </c>
      <c r="AA113" s="43" t="n">
        <f aca="false">IF(W113=1,IF(SUMIFS($L$2:$L$756,$B$2:$B$756,B113,$W$2:$W$756,2)&gt;0,SUMIFS($L$2:$L$756,$B$2:$B$756,B113,$W$2:$W$756,2),""),"")</f>
        <v>1467000</v>
      </c>
      <c r="AB113" s="54" t="n">
        <f aca="false">IF(AND(W113=1,ISNUMBER(AA113)),L113/(L113+AA113),"")</f>
        <v>0.92485218239866</v>
      </c>
    </row>
    <row r="114" customFormat="false" ht="15" hidden="false" customHeight="true" outlineLevel="0" collapsed="false">
      <c r="A114" s="1" t="s">
        <v>274</v>
      </c>
      <c r="B114" s="46" t="n">
        <v>45726</v>
      </c>
      <c r="C114" s="46" t="n">
        <v>45743</v>
      </c>
      <c r="D114" s="47" t="n">
        <v>22599.9</v>
      </c>
      <c r="E114" s="47" t="n">
        <v>22728.15</v>
      </c>
      <c r="F114" s="47" t="n">
        <v>22486.85</v>
      </c>
      <c r="G114" s="47" t="n">
        <v>22515.65</v>
      </c>
      <c r="H114" s="47" t="n">
        <v>22507.9</v>
      </c>
      <c r="I114" s="47" t="n">
        <v>22515.65</v>
      </c>
      <c r="J114" s="48" t="n">
        <v>69156</v>
      </c>
      <c r="K114" s="47" t="n">
        <v>1172463.91</v>
      </c>
      <c r="L114" s="48" t="n">
        <v>17677275</v>
      </c>
      <c r="M114" s="48" t="n">
        <v>-377250</v>
      </c>
      <c r="N114" s="47" t="n">
        <v>22460.3</v>
      </c>
      <c r="O114" s="47" t="n">
        <f aca="false">IF(AND(ISNUMBER(G114),ISNUMBER(N114)),G114-N114,"")</f>
        <v>55.3500000000022</v>
      </c>
      <c r="P114" s="49" t="n">
        <f aca="false">IF(ISNUMBER(O114),O114/N114,"")</f>
        <v>0.00246434820550047</v>
      </c>
      <c r="Q114" s="50" t="n">
        <f aca="false">C114-B114</f>
        <v>17</v>
      </c>
      <c r="R114" s="51" t="n">
        <f aca="false">IF(AND(C114=C113,ISNUMBER(G114),ISNUMBER(G113)),(G114/G113-1)*100,"")</f>
        <v>-0.592937291252293</v>
      </c>
      <c r="S114" s="51" t="n">
        <f aca="false">IF(AND(C114=C113,ISNUMBER(L114),ISNUMBER(L113)),(L114/L113-1)*100,"")</f>
        <v>-2.08950387783672</v>
      </c>
      <c r="T114" s="51" t="n">
        <f aca="false">IF(AND(C114=C113,ISNUMBER(G114),ISNUMBER(G113)),G114-G113,"")</f>
        <v>-134.299999999999</v>
      </c>
      <c r="U114" s="1" t="str">
        <f aca="false">IF(OR(NOT(ISNUMBER(R114)),NOT(ISNUMBER(S114))),"Not classified",IF(AND(R114&gt;0,S114&gt;0),"Long buildup (interpretation)",IF(AND(R114&lt;0,S114&gt;0),"Short buildup (interpretation)",IF(AND(R114&gt;0,S114&lt;0),"Short covering (interpretation)",IF(AND(R114&lt;0,S114&lt;0),"Long unwinding (interpretation)","Neutral")))))</f>
        <v>Long unwinding (interpretation)</v>
      </c>
      <c r="V114" s="52" t="str">
        <f aca="false">TEXT(B114,"yyyy-mm")</f>
        <v>2025-03</v>
      </c>
      <c r="W114" s="52" t="n">
        <f aca="false">1+COUNTIFS($B$2:$B$756,B114,$C$2:$C$756,"&lt;"&amp;C114)</f>
        <v>1</v>
      </c>
      <c r="X114" s="53" t="n">
        <f aca="false">IF(AND(ISNUMBER(P114),Q114&gt;0),P114*365/Q114,"")</f>
        <v>0.0529110055886865</v>
      </c>
      <c r="Y114" s="42" t="n">
        <f aca="false">IF(AND(C115=C114,ISNUMBER(R115)),R115,"")</f>
        <v>0.216071932189377</v>
      </c>
      <c r="Z114" s="52" t="n">
        <f aca="false">IF(AND(W114=1,Q114&gt;Basis_Analysis!$B$3,ISNUMBER(Y114)),1,0)</f>
        <v>1</v>
      </c>
      <c r="AA114" s="43" t="n">
        <f aca="false">IF(W114=1,IF(SUMIFS($L$2:$L$756,$B$2:$B$756,B114,$W$2:$W$756,2)&gt;0,SUMIFS($L$2:$L$756,$B$2:$B$756,B114,$W$2:$W$756,2),""),"")</f>
        <v>1496550</v>
      </c>
      <c r="AB114" s="54" t="n">
        <f aca="false">IF(AND(W114=1,ISNUMBER(AA114)),L114/(L114+AA114),"")</f>
        <v>0.921948281055032</v>
      </c>
    </row>
    <row r="115" customFormat="false" ht="15" hidden="false" customHeight="true" outlineLevel="0" collapsed="false">
      <c r="A115" s="1" t="s">
        <v>274</v>
      </c>
      <c r="B115" s="46" t="n">
        <v>45727</v>
      </c>
      <c r="C115" s="46" t="n">
        <v>45743</v>
      </c>
      <c r="D115" s="47" t="n">
        <v>22419.95</v>
      </c>
      <c r="E115" s="47" t="n">
        <v>22592.05</v>
      </c>
      <c r="F115" s="47" t="n">
        <v>22361.55</v>
      </c>
      <c r="G115" s="47" t="n">
        <v>22564.3</v>
      </c>
      <c r="H115" s="47" t="n">
        <v>22589.95</v>
      </c>
      <c r="I115" s="47" t="n">
        <v>22564.3</v>
      </c>
      <c r="J115" s="48" t="n">
        <v>75200</v>
      </c>
      <c r="K115" s="47" t="n">
        <v>1268627.37</v>
      </c>
      <c r="L115" s="48" t="n">
        <v>17580075</v>
      </c>
      <c r="M115" s="48" t="n">
        <v>-97200</v>
      </c>
      <c r="N115" s="47" t="n">
        <v>22497.9</v>
      </c>
      <c r="O115" s="47" t="n">
        <f aca="false">IF(AND(ISNUMBER(G115),ISNUMBER(N115)),G115-N115,"")</f>
        <v>66.3999999999978</v>
      </c>
      <c r="P115" s="49" t="n">
        <f aca="false">IF(ISNUMBER(O115),O115/N115,"")</f>
        <v>0.00295138657385791</v>
      </c>
      <c r="Q115" s="50" t="n">
        <f aca="false">C115-B115</f>
        <v>16</v>
      </c>
      <c r="R115" s="51" t="n">
        <f aca="false">IF(AND(C115=C114,ISNUMBER(G115),ISNUMBER(G114)),(G115/G114-1)*100,"")</f>
        <v>0.216071932189377</v>
      </c>
      <c r="S115" s="51" t="n">
        <f aca="false">IF(AND(C115=C114,ISNUMBER(L115),ISNUMBER(L114)),(L115/L114-1)*100,"")</f>
        <v>-0.549858504775203</v>
      </c>
      <c r="T115" s="51" t="n">
        <f aca="false">IF(AND(C115=C114,ISNUMBER(G115),ISNUMBER(G114)),G115-G114,"")</f>
        <v>48.6499999999978</v>
      </c>
      <c r="U115" s="1" t="str">
        <f aca="false">IF(OR(NOT(ISNUMBER(R115)),NOT(ISNUMBER(S115))),"Not classified",IF(AND(R115&gt;0,S115&gt;0),"Long buildup (interpretation)",IF(AND(R115&lt;0,S115&gt;0),"Short buildup (interpretation)",IF(AND(R115&gt;0,S115&lt;0),"Short covering (interpretation)",IF(AND(R115&lt;0,S115&lt;0),"Long unwinding (interpretation)","Neutral")))))</f>
        <v>Short covering (interpretation)</v>
      </c>
      <c r="V115" s="52" t="str">
        <f aca="false">TEXT(B115,"yyyy-mm")</f>
        <v>2025-03</v>
      </c>
      <c r="W115" s="52" t="n">
        <f aca="false">1+COUNTIFS($B$2:$B$756,B115,$C$2:$C$756,"&lt;"&amp;C115)</f>
        <v>1</v>
      </c>
      <c r="X115" s="53" t="n">
        <f aca="false">IF(AND(ISNUMBER(P115),Q115&gt;0),P115*365/Q115,"")</f>
        <v>0.0673285062161335</v>
      </c>
      <c r="Y115" s="42" t="n">
        <f aca="false">IF(AND(C116=C115,ISNUMBER(R116)),R116,"")</f>
        <v>-0.150458910757256</v>
      </c>
      <c r="Z115" s="52" t="n">
        <f aca="false">IF(AND(W115=1,Q115&gt;Basis_Analysis!$B$3,ISNUMBER(Y115)),1,0)</f>
        <v>1</v>
      </c>
      <c r="AA115" s="43" t="n">
        <f aca="false">IF(W115=1,IF(SUMIFS($L$2:$L$756,$B$2:$B$756,B115,$W$2:$W$756,2)&gt;0,SUMIFS($L$2:$L$756,$B$2:$B$756,B115,$W$2:$W$756,2),""),"")</f>
        <v>1580475</v>
      </c>
      <c r="AB115" s="54" t="n">
        <f aca="false">IF(AND(W115=1,ISNUMBER(AA115)),L115/(L115+AA115),"")</f>
        <v>0.917514111024997</v>
      </c>
    </row>
    <row r="116" customFormat="false" ht="15" hidden="false" customHeight="true" outlineLevel="0" collapsed="false">
      <c r="A116" s="1" t="s">
        <v>274</v>
      </c>
      <c r="B116" s="46" t="n">
        <v>45728</v>
      </c>
      <c r="C116" s="46" t="n">
        <v>45743</v>
      </c>
      <c r="D116" s="47" t="n">
        <v>22580</v>
      </c>
      <c r="E116" s="47" t="n">
        <v>22618.8</v>
      </c>
      <c r="F116" s="47" t="n">
        <v>22380.2</v>
      </c>
      <c r="G116" s="47" t="n">
        <v>22530.35</v>
      </c>
      <c r="H116" s="47" t="n">
        <v>22527</v>
      </c>
      <c r="I116" s="47" t="n">
        <v>22530.35</v>
      </c>
      <c r="J116" s="48" t="n">
        <v>78142</v>
      </c>
      <c r="K116" s="47" t="n">
        <v>1317868.95</v>
      </c>
      <c r="L116" s="48" t="n">
        <v>17460150</v>
      </c>
      <c r="M116" s="48" t="n">
        <v>-119925</v>
      </c>
      <c r="N116" s="47" t="n">
        <v>22470.5</v>
      </c>
      <c r="O116" s="47" t="n">
        <f aca="false">IF(AND(ISNUMBER(G116),ISNUMBER(N116)),G116-N116,"")</f>
        <v>59.8499999999985</v>
      </c>
      <c r="P116" s="49" t="n">
        <f aca="false">IF(ISNUMBER(O116),O116/N116,"")</f>
        <v>0.00266349213413135</v>
      </c>
      <c r="Q116" s="50" t="n">
        <f aca="false">C116-B116</f>
        <v>15</v>
      </c>
      <c r="R116" s="51" t="n">
        <f aca="false">IF(AND(C116=C115,ISNUMBER(G116),ISNUMBER(G115)),(G116/G115-1)*100,"")</f>
        <v>-0.150458910757256</v>
      </c>
      <c r="S116" s="51" t="n">
        <f aca="false">IF(AND(C116=C115,ISNUMBER(L116),ISNUMBER(L115)),(L116/L115-1)*100,"")</f>
        <v>-0.682164325237522</v>
      </c>
      <c r="T116" s="51" t="n">
        <f aca="false">IF(AND(C116=C115,ISNUMBER(G116),ISNUMBER(G115)),G116-G115,"")</f>
        <v>-33.9500000000007</v>
      </c>
      <c r="U116" s="1" t="str">
        <f aca="false">IF(OR(NOT(ISNUMBER(R116)),NOT(ISNUMBER(S116))),"Not classified",IF(AND(R116&gt;0,S116&gt;0),"Long buildup (interpretation)",IF(AND(R116&lt;0,S116&gt;0),"Short buildup (interpretation)",IF(AND(R116&gt;0,S116&lt;0),"Short covering (interpretation)",IF(AND(R116&lt;0,S116&lt;0),"Long unwinding (interpretation)","Neutral")))))</f>
        <v>Long unwinding (interpretation)</v>
      </c>
      <c r="V116" s="52" t="str">
        <f aca="false">TEXT(B116,"yyyy-mm")</f>
        <v>2025-03</v>
      </c>
      <c r="W116" s="52" t="n">
        <f aca="false">1+COUNTIFS($B$2:$B$756,B116,$C$2:$C$756,"&lt;"&amp;C116)</f>
        <v>1</v>
      </c>
      <c r="X116" s="53" t="n">
        <f aca="false">IF(AND(ISNUMBER(P116),Q116&gt;0),P116*365/Q116,"")</f>
        <v>0.0648116419305296</v>
      </c>
      <c r="Y116" s="42" t="n">
        <f aca="false">IF(AND(C117=C116,ISNUMBER(R117)),R117,"")</f>
        <v>-0.382151187176405</v>
      </c>
      <c r="Z116" s="52" t="n">
        <f aca="false">IF(AND(W116=1,Q116&gt;Basis_Analysis!$B$3,ISNUMBER(Y116)),1,0)</f>
        <v>1</v>
      </c>
      <c r="AA116" s="43" t="n">
        <f aca="false">IF(W116=1,IF(SUMIFS($L$2:$L$756,$B$2:$B$756,B116,$W$2:$W$756,2)&gt;0,SUMIFS($L$2:$L$756,$B$2:$B$756,B116,$W$2:$W$756,2),""),"")</f>
        <v>1668975</v>
      </c>
      <c r="AB116" s="54" t="n">
        <f aca="false">IF(AND(W116=1,ISNUMBER(AA116)),L116/(L116+AA116),"")</f>
        <v>0.912752151496736</v>
      </c>
    </row>
    <row r="117" customFormat="false" ht="15" hidden="false" customHeight="true" outlineLevel="0" collapsed="false">
      <c r="A117" s="1" t="s">
        <v>274</v>
      </c>
      <c r="B117" s="46" t="n">
        <v>45729</v>
      </c>
      <c r="C117" s="46" t="n">
        <v>45743</v>
      </c>
      <c r="D117" s="47" t="n">
        <v>22550</v>
      </c>
      <c r="E117" s="47" t="n">
        <v>22615.8</v>
      </c>
      <c r="F117" s="47" t="n">
        <v>22430.1</v>
      </c>
      <c r="G117" s="47" t="n">
        <v>22444.25</v>
      </c>
      <c r="H117" s="47" t="n">
        <v>22437</v>
      </c>
      <c r="I117" s="47" t="n">
        <v>22444.25</v>
      </c>
      <c r="J117" s="48" t="n">
        <v>65790</v>
      </c>
      <c r="K117" s="47" t="n">
        <v>1110426.37</v>
      </c>
      <c r="L117" s="48" t="n">
        <v>17564925</v>
      </c>
      <c r="M117" s="48" t="n">
        <v>104775</v>
      </c>
      <c r="N117" s="47" t="n">
        <v>22397.2</v>
      </c>
      <c r="O117" s="47" t="n">
        <f aca="false">IF(AND(ISNUMBER(G117),ISNUMBER(N117)),G117-N117,"")</f>
        <v>47.0499999999993</v>
      </c>
      <c r="P117" s="49" t="n">
        <f aca="false">IF(ISNUMBER(O117),O117/N117,"")</f>
        <v>0.00210070901719855</v>
      </c>
      <c r="Q117" s="50" t="n">
        <f aca="false">C117-B117</f>
        <v>14</v>
      </c>
      <c r="R117" s="51" t="n">
        <f aca="false">IF(AND(C117=C116,ISNUMBER(G117),ISNUMBER(G116)),(G117/G116-1)*100,"")</f>
        <v>-0.382151187176405</v>
      </c>
      <c r="S117" s="51" t="n">
        <f aca="false">IF(AND(C117=C116,ISNUMBER(L117),ISNUMBER(L116)),(L117/L116-1)*100,"")</f>
        <v>0.600080755319965</v>
      </c>
      <c r="T117" s="51" t="n">
        <f aca="false">IF(AND(C117=C116,ISNUMBER(G117),ISNUMBER(G116)),G117-G116,"")</f>
        <v>-86.0999999999985</v>
      </c>
      <c r="U117" s="1" t="str">
        <f aca="false">IF(OR(NOT(ISNUMBER(R117)),NOT(ISNUMBER(S117))),"Not classified",IF(AND(R117&gt;0,S117&gt;0),"Long buildup (interpretation)",IF(AND(R117&lt;0,S117&gt;0),"Short buildup (interpretation)",IF(AND(R117&gt;0,S117&lt;0),"Short covering (interpretation)",IF(AND(R117&lt;0,S117&lt;0),"Long unwinding (interpretation)","Neutral")))))</f>
        <v>Short buildup (interpretation)</v>
      </c>
      <c r="V117" s="52" t="str">
        <f aca="false">TEXT(B117,"yyyy-mm")</f>
        <v>2025-03</v>
      </c>
      <c r="W117" s="52" t="n">
        <f aca="false">1+COUNTIFS($B$2:$B$756,B117,$C$2:$C$756,"&lt;"&amp;C117)</f>
        <v>1</v>
      </c>
      <c r="X117" s="53" t="n">
        <f aca="false">IF(AND(ISNUMBER(P117),Q117&gt;0),P117*365/Q117,"")</f>
        <v>0.0547684850912478</v>
      </c>
      <c r="Y117" s="42" t="n">
        <f aca="false">IF(AND(C118=C117,ISNUMBER(R118)),R118,"")</f>
        <v>0.62399055437361</v>
      </c>
      <c r="Z117" s="52" t="n">
        <f aca="false">IF(AND(W117=1,Q117&gt;Basis_Analysis!$B$3,ISNUMBER(Y117)),1,0)</f>
        <v>1</v>
      </c>
      <c r="AA117" s="43" t="n">
        <f aca="false">IF(W117=1,IF(SUMIFS($L$2:$L$756,$B$2:$B$756,B117,$W$2:$W$756,2)&gt;0,SUMIFS($L$2:$L$756,$B$2:$B$756,B117,$W$2:$W$756,2),""),"")</f>
        <v>1700400</v>
      </c>
      <c r="AB117" s="54" t="n">
        <f aca="false">IF(AND(W117=1,ISNUMBER(AA117)),L117/(L117+AA117),"")</f>
        <v>0.911737798350145</v>
      </c>
    </row>
    <row r="118" customFormat="false" ht="15" hidden="false" customHeight="true" outlineLevel="0" collapsed="false">
      <c r="A118" s="1" t="s">
        <v>274</v>
      </c>
      <c r="B118" s="46" t="n">
        <v>45733</v>
      </c>
      <c r="C118" s="46" t="n">
        <v>45743</v>
      </c>
      <c r="D118" s="47" t="n">
        <v>22510.2</v>
      </c>
      <c r="E118" s="47" t="n">
        <v>22670</v>
      </c>
      <c r="F118" s="47" t="n">
        <v>22502.3</v>
      </c>
      <c r="G118" s="47" t="n">
        <v>22584.3</v>
      </c>
      <c r="H118" s="47" t="n">
        <v>22589.5</v>
      </c>
      <c r="I118" s="47" t="n">
        <v>22584.3</v>
      </c>
      <c r="J118" s="48" t="n">
        <v>67599</v>
      </c>
      <c r="K118" s="47" t="n">
        <v>1144869</v>
      </c>
      <c r="L118" s="48" t="n">
        <v>17206125</v>
      </c>
      <c r="M118" s="48" t="n">
        <v>-358800</v>
      </c>
      <c r="N118" s="47" t="n">
        <v>22508.75</v>
      </c>
      <c r="O118" s="47" t="n">
        <f aca="false">IF(AND(ISNUMBER(G118),ISNUMBER(N118)),G118-N118,"")</f>
        <v>75.5499999999993</v>
      </c>
      <c r="P118" s="49" t="n">
        <f aca="false">IF(ISNUMBER(O118),O118/N118,"")</f>
        <v>0.00335647248292328</v>
      </c>
      <c r="Q118" s="50" t="n">
        <f aca="false">C118-B118</f>
        <v>10</v>
      </c>
      <c r="R118" s="51" t="n">
        <f aca="false">IF(AND(C118=C117,ISNUMBER(G118),ISNUMBER(G117)),(G118/G117-1)*100,"")</f>
        <v>0.62399055437361</v>
      </c>
      <c r="S118" s="51" t="n">
        <f aca="false">IF(AND(C118=C117,ISNUMBER(L118),ISNUMBER(L117)),(L118/L117-1)*100,"")</f>
        <v>-2.04270727031285</v>
      </c>
      <c r="T118" s="51" t="n">
        <f aca="false">IF(AND(C118=C117,ISNUMBER(G118),ISNUMBER(G117)),G118-G117,"")</f>
        <v>140.049999999999</v>
      </c>
      <c r="U118" s="1" t="str">
        <f aca="false">IF(OR(NOT(ISNUMBER(R118)),NOT(ISNUMBER(S118))),"Not classified",IF(AND(R118&gt;0,S118&gt;0),"Long buildup (interpretation)",IF(AND(R118&lt;0,S118&gt;0),"Short buildup (interpretation)",IF(AND(R118&gt;0,S118&lt;0),"Short covering (interpretation)",IF(AND(R118&lt;0,S118&lt;0),"Long unwinding (interpretation)","Neutral")))))</f>
        <v>Short covering (interpretation)</v>
      </c>
      <c r="V118" s="52" t="str">
        <f aca="false">TEXT(B118,"yyyy-mm")</f>
        <v>2025-03</v>
      </c>
      <c r="W118" s="52" t="n">
        <f aca="false">1+COUNTIFS($B$2:$B$756,B118,$C$2:$C$756,"&lt;"&amp;C118)</f>
        <v>1</v>
      </c>
      <c r="X118" s="53" t="n">
        <f aca="false">IF(AND(ISNUMBER(P118),Q118&gt;0),P118*365/Q118,"")</f>
        <v>0.1225112456267</v>
      </c>
      <c r="Y118" s="42" t="n">
        <f aca="false">IF(AND(C119=C118,ISNUMBER(R119)),R119,"")</f>
        <v>1.3775056123059</v>
      </c>
      <c r="Z118" s="52" t="n">
        <f aca="false">IF(AND(W118=1,Q118&gt;Basis_Analysis!$B$3,ISNUMBER(Y118)),1,0)</f>
        <v>1</v>
      </c>
      <c r="AA118" s="43" t="n">
        <f aca="false">IF(W118=1,IF(SUMIFS($L$2:$L$756,$B$2:$B$756,B118,$W$2:$W$756,2)&gt;0,SUMIFS($L$2:$L$756,$B$2:$B$756,B118,$W$2:$W$756,2),""),"")</f>
        <v>1783950</v>
      </c>
      <c r="AB118" s="54" t="n">
        <f aca="false">IF(AND(W118=1,ISNUMBER(AA118)),L118/(L118+AA118),"")</f>
        <v>0.906058822832453</v>
      </c>
    </row>
    <row r="119" customFormat="false" ht="15" hidden="false" customHeight="true" outlineLevel="0" collapsed="false">
      <c r="A119" s="1" t="s">
        <v>274</v>
      </c>
      <c r="B119" s="46" t="n">
        <v>45734</v>
      </c>
      <c r="C119" s="46" t="n">
        <v>45743</v>
      </c>
      <c r="D119" s="47" t="n">
        <v>22705</v>
      </c>
      <c r="E119" s="47" t="n">
        <v>22912.7</v>
      </c>
      <c r="F119" s="47" t="n">
        <v>22672.8</v>
      </c>
      <c r="G119" s="47" t="n">
        <v>22895.4</v>
      </c>
      <c r="H119" s="47" t="n">
        <v>22902.25</v>
      </c>
      <c r="I119" s="47" t="n">
        <v>22895.4</v>
      </c>
      <c r="J119" s="48" t="n">
        <v>89671</v>
      </c>
      <c r="K119" s="47" t="n">
        <v>1533378.27</v>
      </c>
      <c r="L119" s="48" t="n">
        <v>16764675</v>
      </c>
      <c r="M119" s="48" t="n">
        <v>-441450</v>
      </c>
      <c r="N119" s="47" t="n">
        <v>22834.3</v>
      </c>
      <c r="O119" s="47" t="n">
        <f aca="false">IF(AND(ISNUMBER(G119),ISNUMBER(N119)),G119-N119,"")</f>
        <v>61.1000000000022</v>
      </c>
      <c r="P119" s="49" t="n">
        <f aca="false">IF(ISNUMBER(O119),O119/N119,"")</f>
        <v>0.00267579912675239</v>
      </c>
      <c r="Q119" s="50" t="n">
        <f aca="false">C119-B119</f>
        <v>9</v>
      </c>
      <c r="R119" s="51" t="n">
        <f aca="false">IF(AND(C119=C118,ISNUMBER(G119),ISNUMBER(G118)),(G119/G118-1)*100,"")</f>
        <v>1.3775056123059</v>
      </c>
      <c r="S119" s="51" t="n">
        <f aca="false">IF(AND(C119=C118,ISNUMBER(L119),ISNUMBER(L118)),(L119/L118-1)*100,"")</f>
        <v>-2.56565612536234</v>
      </c>
      <c r="T119" s="51" t="n">
        <f aca="false">IF(AND(C119=C118,ISNUMBER(G119),ISNUMBER(G118)),G119-G118,"")</f>
        <v>311.100000000002</v>
      </c>
      <c r="U119" s="1" t="str">
        <f aca="false">IF(OR(NOT(ISNUMBER(R119)),NOT(ISNUMBER(S119))),"Not classified",IF(AND(R119&gt;0,S119&gt;0),"Long buildup (interpretation)",IF(AND(R119&lt;0,S119&gt;0),"Short buildup (interpretation)",IF(AND(R119&gt;0,S119&lt;0),"Short covering (interpretation)",IF(AND(R119&lt;0,S119&lt;0),"Long unwinding (interpretation)","Neutral")))))</f>
        <v>Short covering (interpretation)</v>
      </c>
      <c r="V119" s="52" t="str">
        <f aca="false">TEXT(B119,"yyyy-mm")</f>
        <v>2025-03</v>
      </c>
      <c r="W119" s="52" t="n">
        <f aca="false">1+COUNTIFS($B$2:$B$756,B119,$C$2:$C$756,"&lt;"&amp;C119)</f>
        <v>1</v>
      </c>
      <c r="X119" s="53" t="n">
        <f aca="false">IF(AND(ISNUMBER(P119),Q119&gt;0),P119*365/Q119,"")</f>
        <v>0.108518520140514</v>
      </c>
      <c r="Y119" s="42" t="n">
        <f aca="false">IF(AND(C120=C119,ISNUMBER(R120)),R120,"")</f>
        <v>0.338714326895362</v>
      </c>
      <c r="Z119" s="52" t="n">
        <f aca="false">IF(AND(W119=1,Q119&gt;Basis_Analysis!$B$3,ISNUMBER(Y119)),1,0)</f>
        <v>1</v>
      </c>
      <c r="AA119" s="43" t="n">
        <f aca="false">IF(W119=1,IF(SUMIFS($L$2:$L$756,$B$2:$B$756,B119,$W$2:$W$756,2)&gt;0,SUMIFS($L$2:$L$756,$B$2:$B$756,B119,$W$2:$W$756,2),""),"")</f>
        <v>2025075</v>
      </c>
      <c r="AB119" s="54" t="n">
        <f aca="false">IF(AND(W119=1,ISNUMBER(AA119)),L119/(L119+AA119),"")</f>
        <v>0.892224484093721</v>
      </c>
    </row>
    <row r="120" customFormat="false" ht="15" hidden="false" customHeight="true" outlineLevel="0" collapsed="false">
      <c r="A120" s="1" t="s">
        <v>274</v>
      </c>
      <c r="B120" s="46" t="n">
        <v>45735</v>
      </c>
      <c r="C120" s="46" t="n">
        <v>45743</v>
      </c>
      <c r="D120" s="47" t="n">
        <v>22934</v>
      </c>
      <c r="E120" s="47" t="n">
        <v>22993</v>
      </c>
      <c r="F120" s="47" t="n">
        <v>22872</v>
      </c>
      <c r="G120" s="47" t="n">
        <v>22972.95</v>
      </c>
      <c r="H120" s="47" t="n">
        <v>22969</v>
      </c>
      <c r="I120" s="47" t="n">
        <v>22972.95</v>
      </c>
      <c r="J120" s="48" t="n">
        <v>59079</v>
      </c>
      <c r="K120" s="47" t="n">
        <v>1016820.53</v>
      </c>
      <c r="L120" s="48" t="n">
        <v>16443750</v>
      </c>
      <c r="M120" s="48" t="n">
        <v>-320925</v>
      </c>
      <c r="N120" s="47" t="n">
        <v>22907.6</v>
      </c>
      <c r="O120" s="47" t="n">
        <f aca="false">IF(AND(ISNUMBER(G120),ISNUMBER(N120)),G120-N120,"")</f>
        <v>65.3500000000022</v>
      </c>
      <c r="P120" s="49" t="n">
        <f aca="false">IF(ISNUMBER(O120),O120/N120,"")</f>
        <v>0.00285276502121576</v>
      </c>
      <c r="Q120" s="50" t="n">
        <f aca="false">C120-B120</f>
        <v>8</v>
      </c>
      <c r="R120" s="51" t="n">
        <f aca="false">IF(AND(C120=C119,ISNUMBER(G120),ISNUMBER(G119)),(G120/G119-1)*100,"")</f>
        <v>0.338714326895362</v>
      </c>
      <c r="S120" s="51" t="n">
        <f aca="false">IF(AND(C120=C119,ISNUMBER(L120),ISNUMBER(L119)),(L120/L119-1)*100,"")</f>
        <v>-1.91429300001342</v>
      </c>
      <c r="T120" s="51" t="n">
        <f aca="false">IF(AND(C120=C119,ISNUMBER(G120),ISNUMBER(G119)),G120-G119,"")</f>
        <v>77.5499999999993</v>
      </c>
      <c r="U120" s="1" t="str">
        <f aca="false">IF(OR(NOT(ISNUMBER(R120)),NOT(ISNUMBER(S120))),"Not classified",IF(AND(R120&gt;0,S120&gt;0),"Long buildup (interpretation)",IF(AND(R120&lt;0,S120&gt;0),"Short buildup (interpretation)",IF(AND(R120&gt;0,S120&lt;0),"Short covering (interpretation)",IF(AND(R120&lt;0,S120&lt;0),"Long unwinding (interpretation)","Neutral")))))</f>
        <v>Short covering (interpretation)</v>
      </c>
      <c r="V120" s="52" t="str">
        <f aca="false">TEXT(B120,"yyyy-mm")</f>
        <v>2025-03</v>
      </c>
      <c r="W120" s="52" t="n">
        <f aca="false">1+COUNTIFS($B$2:$B$756,B120,$C$2:$C$756,"&lt;"&amp;C120)</f>
        <v>1</v>
      </c>
      <c r="X120" s="53" t="n">
        <f aca="false">IF(AND(ISNUMBER(P120),Q120&gt;0),P120*365/Q120,"")</f>
        <v>0.130157404092969</v>
      </c>
      <c r="Y120" s="42" t="n">
        <f aca="false">IF(AND(C121=C120,ISNUMBER(R121)),R121,"")</f>
        <v>0.989424518836279</v>
      </c>
      <c r="Z120" s="52" t="n">
        <f aca="false">IF(AND(W120=1,Q120&gt;Basis_Analysis!$B$3,ISNUMBER(Y120)),1,0)</f>
        <v>1</v>
      </c>
      <c r="AA120" s="43" t="n">
        <f aca="false">IF(W120=1,IF(SUMIFS($L$2:$L$756,$B$2:$B$756,B120,$W$2:$W$756,2)&gt;0,SUMIFS($L$2:$L$756,$B$2:$B$756,B120,$W$2:$W$756,2),""),"")</f>
        <v>2344050</v>
      </c>
      <c r="AB120" s="54" t="n">
        <f aca="false">IF(AND(W120=1,ISNUMBER(AA120)),L120/(L120+AA120),"")</f>
        <v>0.875235525181235</v>
      </c>
    </row>
    <row r="121" customFormat="false" ht="15" hidden="false" customHeight="true" outlineLevel="0" collapsed="false">
      <c r="A121" s="1" t="s">
        <v>274</v>
      </c>
      <c r="B121" s="46" t="n">
        <v>45736</v>
      </c>
      <c r="C121" s="46" t="n">
        <v>45743</v>
      </c>
      <c r="D121" s="47" t="n">
        <v>23069.9</v>
      </c>
      <c r="E121" s="47" t="n">
        <v>23232.6</v>
      </c>
      <c r="F121" s="47" t="n">
        <v>23015</v>
      </c>
      <c r="G121" s="47" t="n">
        <v>23200.25</v>
      </c>
      <c r="H121" s="47" t="n">
        <v>23191</v>
      </c>
      <c r="I121" s="47" t="n">
        <v>23200.25</v>
      </c>
      <c r="J121" s="48" t="n">
        <v>103958</v>
      </c>
      <c r="K121" s="47" t="n">
        <v>1803777.55</v>
      </c>
      <c r="L121" s="48" t="n">
        <v>15414525</v>
      </c>
      <c r="M121" s="48" t="n">
        <v>-1029225</v>
      </c>
      <c r="N121" s="47" t="n">
        <v>23190.65</v>
      </c>
      <c r="O121" s="47" t="n">
        <f aca="false">IF(AND(ISNUMBER(G121),ISNUMBER(N121)),G121-N121,"")</f>
        <v>9.59999999999855</v>
      </c>
      <c r="P121" s="49" t="n">
        <f aca="false">IF(ISNUMBER(O121),O121/N121,"")</f>
        <v>0.000413959936439839</v>
      </c>
      <c r="Q121" s="50" t="n">
        <f aca="false">C121-B121</f>
        <v>7</v>
      </c>
      <c r="R121" s="51" t="n">
        <f aca="false">IF(AND(C121=C120,ISNUMBER(G121),ISNUMBER(G120)),(G121/G120-1)*100,"")</f>
        <v>0.989424518836279</v>
      </c>
      <c r="S121" s="51" t="n">
        <f aca="false">IF(AND(C121=C120,ISNUMBER(L121),ISNUMBER(L120)),(L121/L120-1)*100,"")</f>
        <v>-6.25906499429875</v>
      </c>
      <c r="T121" s="51" t="n">
        <f aca="false">IF(AND(C121=C120,ISNUMBER(G121),ISNUMBER(G120)),G121-G120,"")</f>
        <v>227.299999999999</v>
      </c>
      <c r="U121" s="1" t="str">
        <f aca="false">IF(OR(NOT(ISNUMBER(R121)),NOT(ISNUMBER(S121))),"Not classified",IF(AND(R121&gt;0,S121&gt;0),"Long buildup (interpretation)",IF(AND(R121&lt;0,S121&gt;0),"Short buildup (interpretation)",IF(AND(R121&gt;0,S121&lt;0),"Short covering (interpretation)",IF(AND(R121&lt;0,S121&lt;0),"Long unwinding (interpretation)","Neutral")))))</f>
        <v>Short covering (interpretation)</v>
      </c>
      <c r="V121" s="52" t="str">
        <f aca="false">TEXT(B121,"yyyy-mm")</f>
        <v>2025-03</v>
      </c>
      <c r="W121" s="52" t="n">
        <f aca="false">1+COUNTIFS($B$2:$B$756,B121,$C$2:$C$756,"&lt;"&amp;C121)</f>
        <v>1</v>
      </c>
      <c r="X121" s="53" t="n">
        <f aca="false">IF(AND(ISNUMBER(P121),Q121&gt;0),P121*365/Q121,"")</f>
        <v>0.0215850538286487</v>
      </c>
      <c r="Y121" s="42" t="n">
        <f aca="false">IF(AND(C122=C121,ISNUMBER(R122)),R122,"")</f>
        <v>0.774129589120798</v>
      </c>
      <c r="Z121" s="52" t="n">
        <f aca="false">IF(AND(W121=1,Q121&gt;Basis_Analysis!$B$3,ISNUMBER(Y121)),1,0)</f>
        <v>1</v>
      </c>
      <c r="AA121" s="43" t="n">
        <f aca="false">IF(W121=1,IF(SUMIFS($L$2:$L$756,$B$2:$B$756,B121,$W$2:$W$756,2)&gt;0,SUMIFS($L$2:$L$756,$B$2:$B$756,B121,$W$2:$W$756,2),""),"")</f>
        <v>2676525</v>
      </c>
      <c r="AB121" s="54" t="n">
        <f aca="false">IF(AND(W121=1,ISNUMBER(AA121)),L121/(L121+AA121),"")</f>
        <v>0.85205253426418</v>
      </c>
    </row>
    <row r="122" customFormat="false" ht="15" hidden="false" customHeight="true" outlineLevel="0" collapsed="false">
      <c r="A122" s="1" t="s">
        <v>274</v>
      </c>
      <c r="B122" s="46" t="n">
        <v>45737</v>
      </c>
      <c r="C122" s="46" t="n">
        <v>45743</v>
      </c>
      <c r="D122" s="47" t="n">
        <v>23195.05</v>
      </c>
      <c r="E122" s="47" t="n">
        <v>23438</v>
      </c>
      <c r="F122" s="47" t="n">
        <v>23172</v>
      </c>
      <c r="G122" s="47" t="n">
        <v>23379.85</v>
      </c>
      <c r="H122" s="47" t="n">
        <v>23382.1</v>
      </c>
      <c r="I122" s="47" t="n">
        <v>23379.85</v>
      </c>
      <c r="J122" s="48" t="n">
        <v>89048</v>
      </c>
      <c r="K122" s="47" t="n">
        <v>1558782.53</v>
      </c>
      <c r="L122" s="48" t="n">
        <v>14353050</v>
      </c>
      <c r="M122" s="48" t="n">
        <v>-1061475</v>
      </c>
      <c r="N122" s="47" t="n">
        <v>23350.4</v>
      </c>
      <c r="O122" s="47" t="n">
        <f aca="false">IF(AND(ISNUMBER(G122),ISNUMBER(N122)),G122-N122,"")</f>
        <v>29.4499999999971</v>
      </c>
      <c r="P122" s="49" t="n">
        <f aca="false">IF(ISNUMBER(O122),O122/N122,"")</f>
        <v>0.00126122036453325</v>
      </c>
      <c r="Q122" s="50" t="n">
        <f aca="false">C122-B122</f>
        <v>6</v>
      </c>
      <c r="R122" s="51" t="n">
        <f aca="false">IF(AND(C122=C121,ISNUMBER(G122),ISNUMBER(G121)),(G122/G121-1)*100,"")</f>
        <v>0.774129589120798</v>
      </c>
      <c r="S122" s="51" t="n">
        <f aca="false">IF(AND(C122=C121,ISNUMBER(L122),ISNUMBER(L121)),(L122/L121-1)*100,"")</f>
        <v>-6.88619986668418</v>
      </c>
      <c r="T122" s="51" t="n">
        <f aca="false">IF(AND(C122=C121,ISNUMBER(G122),ISNUMBER(G121)),G122-G121,"")</f>
        <v>179.599999999999</v>
      </c>
      <c r="U122" s="1" t="str">
        <f aca="false">IF(OR(NOT(ISNUMBER(R122)),NOT(ISNUMBER(S122))),"Not classified",IF(AND(R122&gt;0,S122&gt;0),"Long buildup (interpretation)",IF(AND(R122&lt;0,S122&gt;0),"Short buildup (interpretation)",IF(AND(R122&gt;0,S122&lt;0),"Short covering (interpretation)",IF(AND(R122&lt;0,S122&lt;0),"Long unwinding (interpretation)","Neutral")))))</f>
        <v>Short covering (interpretation)</v>
      </c>
      <c r="V122" s="52" t="str">
        <f aca="false">TEXT(B122,"yyyy-mm")</f>
        <v>2025-03</v>
      </c>
      <c r="W122" s="52" t="n">
        <f aca="false">1+COUNTIFS($B$2:$B$756,B122,$C$2:$C$756,"&lt;"&amp;C122)</f>
        <v>1</v>
      </c>
      <c r="X122" s="53" t="n">
        <f aca="false">IF(AND(ISNUMBER(P122),Q122&gt;0),P122*365/Q122,"")</f>
        <v>0.0767242388424391</v>
      </c>
      <c r="Y122" s="42" t="n">
        <f aca="false">IF(AND(C123=C122,ISNUMBER(R123)),R123,"")</f>
        <v>1.36656137656999</v>
      </c>
      <c r="Z122" s="52" t="n">
        <f aca="false">IF(AND(W122=1,Q122&gt;Basis_Analysis!$B$3,ISNUMBER(Y122)),1,0)</f>
        <v>1</v>
      </c>
      <c r="AA122" s="43" t="n">
        <f aca="false">IF(W122=1,IF(SUMIFS($L$2:$L$756,$B$2:$B$756,B122,$W$2:$W$756,2)&gt;0,SUMIFS($L$2:$L$756,$B$2:$B$756,B122,$W$2:$W$756,2),""),"")</f>
        <v>3040350</v>
      </c>
      <c r="AB122" s="54" t="n">
        <f aca="false">IF(AND(W122=1,ISNUMBER(AA122)),L122/(L122+AA122),"")</f>
        <v>0.825200938286936</v>
      </c>
    </row>
    <row r="123" customFormat="false" ht="15" hidden="false" customHeight="true" outlineLevel="0" collapsed="false">
      <c r="A123" s="1" t="s">
        <v>274</v>
      </c>
      <c r="B123" s="46" t="n">
        <v>45740</v>
      </c>
      <c r="C123" s="46" t="n">
        <v>45743</v>
      </c>
      <c r="D123" s="47" t="n">
        <v>23482.3</v>
      </c>
      <c r="E123" s="47" t="n">
        <v>23729.8</v>
      </c>
      <c r="F123" s="47" t="n">
        <v>23441.5</v>
      </c>
      <c r="G123" s="47" t="n">
        <v>23699.35</v>
      </c>
      <c r="H123" s="47" t="n">
        <v>23720</v>
      </c>
      <c r="I123" s="47" t="n">
        <v>23699.35</v>
      </c>
      <c r="J123" s="48" t="n">
        <v>94775</v>
      </c>
      <c r="K123" s="47" t="n">
        <v>1678921.1</v>
      </c>
      <c r="L123" s="48" t="n">
        <v>12926625</v>
      </c>
      <c r="M123" s="48" t="n">
        <v>-1426425</v>
      </c>
      <c r="N123" s="47" t="n">
        <v>23658.35</v>
      </c>
      <c r="O123" s="47" t="n">
        <f aca="false">IF(AND(ISNUMBER(G123),ISNUMBER(N123)),G123-N123,"")</f>
        <v>41</v>
      </c>
      <c r="P123" s="49" t="n">
        <f aca="false">IF(ISNUMBER(O123),O123/N123,"")</f>
        <v>0.00173300335822236</v>
      </c>
      <c r="Q123" s="50" t="n">
        <f aca="false">C123-B123</f>
        <v>3</v>
      </c>
      <c r="R123" s="51" t="n">
        <f aca="false">IF(AND(C123=C122,ISNUMBER(G123),ISNUMBER(G122)),(G123/G122-1)*100,"")</f>
        <v>1.36656137656999</v>
      </c>
      <c r="S123" s="51" t="n">
        <f aca="false">IF(AND(C123=C122,ISNUMBER(L123),ISNUMBER(L122)),(L123/L122-1)*100,"")</f>
        <v>-9.93813161662503</v>
      </c>
      <c r="T123" s="51" t="n">
        <f aca="false">IF(AND(C123=C122,ISNUMBER(G123),ISNUMBER(G122)),G123-G122,"")</f>
        <v>319.5</v>
      </c>
      <c r="U123" s="1" t="str">
        <f aca="false">IF(OR(NOT(ISNUMBER(R123)),NOT(ISNUMBER(S123))),"Not classified",IF(AND(R123&gt;0,S123&gt;0),"Long buildup (interpretation)",IF(AND(R123&lt;0,S123&gt;0),"Short buildup (interpretation)",IF(AND(R123&gt;0,S123&lt;0),"Short covering (interpretation)",IF(AND(R123&lt;0,S123&lt;0),"Long unwinding (interpretation)","Neutral")))))</f>
        <v>Short covering (interpretation)</v>
      </c>
      <c r="V123" s="52" t="str">
        <f aca="false">TEXT(B123,"yyyy-mm")</f>
        <v>2025-03</v>
      </c>
      <c r="W123" s="52" t="n">
        <f aca="false">1+COUNTIFS($B$2:$B$756,B123,$C$2:$C$756,"&lt;"&amp;C123)</f>
        <v>1</v>
      </c>
      <c r="X123" s="53" t="n">
        <f aca="false">IF(AND(ISNUMBER(P123),Q123&gt;0),P123*365/Q123,"")</f>
        <v>0.210848741917054</v>
      </c>
      <c r="Y123" s="42" t="n">
        <f aca="false">IF(AND(C124=C123,ISNUMBER(R124)),R124,"")</f>
        <v>0.0253171500484095</v>
      </c>
      <c r="Z123" s="52" t="n">
        <f aca="false">IF(AND(W123=1,Q123&gt;Basis_Analysis!$B$3,ISNUMBER(Y123)),1,0)</f>
        <v>0</v>
      </c>
      <c r="AA123" s="43" t="n">
        <f aca="false">IF(W123=1,IF(SUMIFS($L$2:$L$756,$B$2:$B$756,B123,$W$2:$W$756,2)&gt;0,SUMIFS($L$2:$L$756,$B$2:$B$756,B123,$W$2:$W$756,2),""),"")</f>
        <v>4772325</v>
      </c>
      <c r="AB123" s="54" t="n">
        <f aca="false">IF(AND(W123=1,ISNUMBER(AA123)),L123/(L123+AA123),"")</f>
        <v>0.730361123117473</v>
      </c>
    </row>
    <row r="124" customFormat="false" ht="15" hidden="false" customHeight="true" outlineLevel="0" collapsed="false">
      <c r="A124" s="1" t="s">
        <v>274</v>
      </c>
      <c r="B124" s="46" t="n">
        <v>45741</v>
      </c>
      <c r="C124" s="46" t="n">
        <v>45743</v>
      </c>
      <c r="D124" s="47" t="n">
        <v>23767.1</v>
      </c>
      <c r="E124" s="47" t="n">
        <v>23893.9</v>
      </c>
      <c r="F124" s="47" t="n">
        <v>23660</v>
      </c>
      <c r="G124" s="47" t="n">
        <v>23705.35</v>
      </c>
      <c r="H124" s="47" t="n">
        <v>23665.15</v>
      </c>
      <c r="I124" s="47" t="n">
        <v>23705.35</v>
      </c>
      <c r="J124" s="48" t="n">
        <v>112607</v>
      </c>
      <c r="K124" s="47" t="n">
        <v>2006150.45</v>
      </c>
      <c r="L124" s="48" t="n">
        <v>11648400</v>
      </c>
      <c r="M124" s="48" t="n">
        <v>-1278225</v>
      </c>
      <c r="N124" s="47" t="n">
        <v>23668.65</v>
      </c>
      <c r="O124" s="47" t="n">
        <f aca="false">IF(AND(ISNUMBER(G124),ISNUMBER(N124)),G124-N124,"")</f>
        <v>36.6999999999971</v>
      </c>
      <c r="P124" s="49" t="n">
        <f aca="false">IF(ISNUMBER(O124),O124/N124,"")</f>
        <v>0.00155057428285927</v>
      </c>
      <c r="Q124" s="50" t="n">
        <f aca="false">C124-B124</f>
        <v>2</v>
      </c>
      <c r="R124" s="51" t="n">
        <f aca="false">IF(AND(C124=C123,ISNUMBER(G124),ISNUMBER(G123)),(G124/G123-1)*100,"")</f>
        <v>0.0253171500484095</v>
      </c>
      <c r="S124" s="51" t="n">
        <f aca="false">IF(AND(C124=C123,ISNUMBER(L124),ISNUMBER(L123)),(L124/L123-1)*100,"")</f>
        <v>-9.8883119143628</v>
      </c>
      <c r="T124" s="51" t="n">
        <f aca="false">IF(AND(C124=C123,ISNUMBER(G124),ISNUMBER(G123)),G124-G123,"")</f>
        <v>6</v>
      </c>
      <c r="U124" s="1" t="str">
        <f aca="false">IF(OR(NOT(ISNUMBER(R124)),NOT(ISNUMBER(S124))),"Not classified",IF(AND(R124&gt;0,S124&gt;0),"Long buildup (interpretation)",IF(AND(R124&lt;0,S124&gt;0),"Short buildup (interpretation)",IF(AND(R124&gt;0,S124&lt;0),"Short covering (interpretation)",IF(AND(R124&lt;0,S124&lt;0),"Long unwinding (interpretation)","Neutral")))))</f>
        <v>Short covering (interpretation)</v>
      </c>
      <c r="V124" s="52" t="str">
        <f aca="false">TEXT(B124,"yyyy-mm")</f>
        <v>2025-03</v>
      </c>
      <c r="W124" s="52" t="n">
        <f aca="false">1+COUNTIFS($B$2:$B$756,B124,$C$2:$C$756,"&lt;"&amp;C124)</f>
        <v>1</v>
      </c>
      <c r="X124" s="53" t="n">
        <f aca="false">IF(AND(ISNUMBER(P124),Q124&gt;0),P124*365/Q124,"")</f>
        <v>0.282979806621817</v>
      </c>
      <c r="Y124" s="42" t="n">
        <f aca="false">IF(AND(C125=C124,ISNUMBER(R125)),R125,"")</f>
        <v>-0.773875939397639</v>
      </c>
      <c r="Z124" s="52" t="n">
        <f aca="false">IF(AND(W124=1,Q124&gt;Basis_Analysis!$B$3,ISNUMBER(Y124)),1,0)</f>
        <v>0</v>
      </c>
      <c r="AA124" s="43" t="n">
        <f aca="false">IF(W124=1,IF(SUMIFS($L$2:$L$756,$B$2:$B$756,B124,$W$2:$W$756,2)&gt;0,SUMIFS($L$2:$L$756,$B$2:$B$756,B124,$W$2:$W$756,2),""),"")</f>
        <v>6784800</v>
      </c>
      <c r="AB124" s="54" t="n">
        <f aca="false">IF(AND(W124=1,ISNUMBER(AA124)),L124/(L124+AA124),"")</f>
        <v>0.631925004882495</v>
      </c>
    </row>
    <row r="125" customFormat="false" ht="15" hidden="false" customHeight="true" outlineLevel="0" collapsed="false">
      <c r="A125" s="1" t="s">
        <v>274</v>
      </c>
      <c r="B125" s="46" t="n">
        <v>45742</v>
      </c>
      <c r="C125" s="46" t="n">
        <v>45743</v>
      </c>
      <c r="D125" s="47" t="n">
        <v>23735</v>
      </c>
      <c r="E125" s="47" t="n">
        <v>23761.4</v>
      </c>
      <c r="F125" s="47" t="n">
        <v>23494.9</v>
      </c>
      <c r="G125" s="47" t="n">
        <v>23521.9</v>
      </c>
      <c r="H125" s="47" t="n">
        <v>23512.55</v>
      </c>
      <c r="I125" s="47" t="n">
        <v>23521.9</v>
      </c>
      <c r="J125" s="48" t="n">
        <v>110793</v>
      </c>
      <c r="K125" s="47" t="n">
        <v>1962212.16</v>
      </c>
      <c r="L125" s="48" t="n">
        <v>7067400</v>
      </c>
      <c r="M125" s="48" t="n">
        <v>-4581000</v>
      </c>
      <c r="N125" s="47" t="n">
        <v>23486.85</v>
      </c>
      <c r="O125" s="47" t="n">
        <f aca="false">IF(AND(ISNUMBER(G125),ISNUMBER(N125)),G125-N125,"")</f>
        <v>35.0500000000029</v>
      </c>
      <c r="P125" s="49" t="n">
        <f aca="false">IF(ISNUMBER(O125),O125/N125,"")</f>
        <v>0.00149232442835046</v>
      </c>
      <c r="Q125" s="50" t="n">
        <f aca="false">C125-B125</f>
        <v>1</v>
      </c>
      <c r="R125" s="51" t="n">
        <f aca="false">IF(AND(C125=C124,ISNUMBER(G125),ISNUMBER(G124)),(G125/G124-1)*100,"")</f>
        <v>-0.773875939397639</v>
      </c>
      <c r="S125" s="51" t="n">
        <f aca="false">IF(AND(C125=C124,ISNUMBER(L125),ISNUMBER(L124)),(L125/L124-1)*100,"")</f>
        <v>-39.3272895848357</v>
      </c>
      <c r="T125" s="51" t="n">
        <f aca="false">IF(AND(C125=C124,ISNUMBER(G125),ISNUMBER(G124)),G125-G124,"")</f>
        <v>-183.449999999997</v>
      </c>
      <c r="U125" s="1" t="str">
        <f aca="false">IF(OR(NOT(ISNUMBER(R125)),NOT(ISNUMBER(S125))),"Not classified",IF(AND(R125&gt;0,S125&gt;0),"Long buildup (interpretation)",IF(AND(R125&lt;0,S125&gt;0),"Short buildup (interpretation)",IF(AND(R125&gt;0,S125&lt;0),"Short covering (interpretation)",IF(AND(R125&lt;0,S125&lt;0),"Long unwinding (interpretation)","Neutral")))))</f>
        <v>Long unwinding (interpretation)</v>
      </c>
      <c r="V125" s="52" t="str">
        <f aca="false">TEXT(B125,"yyyy-mm")</f>
        <v>2025-03</v>
      </c>
      <c r="W125" s="52" t="n">
        <f aca="false">1+COUNTIFS($B$2:$B$756,B125,$C$2:$C$756,"&lt;"&amp;C125)</f>
        <v>1</v>
      </c>
      <c r="X125" s="53" t="n">
        <f aca="false">IF(AND(ISNUMBER(P125),Q125&gt;0),P125*365/Q125,"")</f>
        <v>0.544698416347917</v>
      </c>
      <c r="Y125" s="42" t="n">
        <f aca="false">IF(AND(C126=C125,ISNUMBER(R126)),R126,"")</f>
        <v>0.304822314523889</v>
      </c>
      <c r="Z125" s="52" t="n">
        <f aca="false">IF(AND(W125=1,Q125&gt;Basis_Analysis!$B$3,ISNUMBER(Y125)),1,0)</f>
        <v>0</v>
      </c>
      <c r="AA125" s="43" t="n">
        <f aca="false">IF(W125=1,IF(SUMIFS($L$2:$L$756,$B$2:$B$756,B125,$W$2:$W$756,2)&gt;0,SUMIFS($L$2:$L$756,$B$2:$B$756,B125,$W$2:$W$756,2),""),"")</f>
        <v>9984900</v>
      </c>
      <c r="AB125" s="54" t="n">
        <f aca="false">IF(AND(W125=1,ISNUMBER(AA125)),L125/(L125+AA125),"")</f>
        <v>0.414454355130979</v>
      </c>
    </row>
    <row r="126" customFormat="false" ht="15" hidden="false" customHeight="true" outlineLevel="0" collapsed="false">
      <c r="A126" s="1" t="s">
        <v>274</v>
      </c>
      <c r="B126" s="46" t="n">
        <v>45743</v>
      </c>
      <c r="C126" s="46" t="n">
        <v>45743</v>
      </c>
      <c r="D126" s="47" t="n">
        <v>23470</v>
      </c>
      <c r="E126" s="47" t="n">
        <v>23643.1</v>
      </c>
      <c r="F126" s="47" t="n">
        <v>23455.05</v>
      </c>
      <c r="G126" s="47" t="n">
        <v>23593.6</v>
      </c>
      <c r="H126" s="47" t="n">
        <v>23595</v>
      </c>
      <c r="I126" s="47" t="n">
        <v>23591.95</v>
      </c>
      <c r="J126" s="48" t="n">
        <v>72007</v>
      </c>
      <c r="K126" s="47" t="n">
        <v>1274038.31</v>
      </c>
      <c r="L126" s="48" t="n">
        <v>4421475</v>
      </c>
      <c r="M126" s="48" t="n">
        <v>-2645925</v>
      </c>
      <c r="N126" s="47" t="n">
        <v>23591.95</v>
      </c>
      <c r="O126" s="47" t="n">
        <f aca="false">IF(AND(ISNUMBER(G126),ISNUMBER(N126)),G126-N126,"")</f>
        <v>1.64999999999782</v>
      </c>
      <c r="P126" s="49" t="n">
        <f aca="false">IF(ISNUMBER(O126),O126/N126,"")</f>
        <v>6.99391105863575E-005</v>
      </c>
      <c r="Q126" s="50" t="n">
        <f aca="false">C126-B126</f>
        <v>0</v>
      </c>
      <c r="R126" s="51" t="n">
        <f aca="false">IF(AND(C126=C125,ISNUMBER(G126),ISNUMBER(G125)),(G126/G125-1)*100,"")</f>
        <v>0.304822314523889</v>
      </c>
      <c r="S126" s="51" t="n">
        <f aca="false">IF(AND(C126=C125,ISNUMBER(L126),ISNUMBER(L125)),(L126/L125-1)*100,"")</f>
        <v>-37.438449783513</v>
      </c>
      <c r="T126" s="51" t="n">
        <f aca="false">IF(AND(C126=C125,ISNUMBER(G126),ISNUMBER(G125)),G126-G125,"")</f>
        <v>71.6999999999971</v>
      </c>
      <c r="U126" s="1" t="str">
        <f aca="false">IF(OR(NOT(ISNUMBER(R126)),NOT(ISNUMBER(S126))),"Not classified",IF(AND(R126&gt;0,S126&gt;0),"Long buildup (interpretation)",IF(AND(R126&lt;0,S126&gt;0),"Short buildup (interpretation)",IF(AND(R126&gt;0,S126&lt;0),"Short covering (interpretation)",IF(AND(R126&lt;0,S126&lt;0),"Long unwinding (interpretation)","Neutral")))))</f>
        <v>Short covering (interpretation)</v>
      </c>
      <c r="V126" s="52" t="str">
        <f aca="false">TEXT(B126,"yyyy-mm")</f>
        <v>2025-03</v>
      </c>
      <c r="W126" s="52" t="n">
        <f aca="false">1+COUNTIFS($B$2:$B$756,B126,$C$2:$C$756,"&lt;"&amp;C126)</f>
        <v>1</v>
      </c>
      <c r="X126" s="53" t="str">
        <f aca="false">IF(AND(ISNUMBER(P126),Q126&gt;0),P126*365/Q126,"")</f>
        <v/>
      </c>
      <c r="Y126" s="42" t="str">
        <f aca="false">IF(AND(C127=C126,ISNUMBER(R127)),R127,"")</f>
        <v/>
      </c>
      <c r="Z126" s="52" t="n">
        <f aca="false">IF(AND(W126=1,Q126&gt;Basis_Analysis!$B$3,ISNUMBER(Y126)),1,0)</f>
        <v>0</v>
      </c>
      <c r="AA126" s="43" t="n">
        <f aca="false">IF(W126=1,IF(SUMIFS($L$2:$L$756,$B$2:$B$756,B126,$W$2:$W$756,2)&gt;0,SUMIFS($L$2:$L$756,$B$2:$B$756,B126,$W$2:$W$756,2),""),"")</f>
        <v>12423450</v>
      </c>
      <c r="AB126" s="54" t="n">
        <f aca="false">IF(AND(W126=1,ISNUMBER(AA126)),L126/(L126+AA126),"")</f>
        <v>0.262481133041554</v>
      </c>
    </row>
    <row r="127" customFormat="false" ht="15" hidden="false" customHeight="true" outlineLevel="0" collapsed="false">
      <c r="A127" s="1" t="s">
        <v>274</v>
      </c>
      <c r="B127" s="46" t="n">
        <v>45687</v>
      </c>
      <c r="C127" s="46" t="n">
        <v>45771</v>
      </c>
      <c r="D127" s="47"/>
      <c r="E127" s="47"/>
      <c r="F127" s="47"/>
      <c r="G127" s="47"/>
      <c r="H127" s="47"/>
      <c r="I127" s="47"/>
      <c r="J127" s="48"/>
      <c r="K127" s="47"/>
      <c r="L127" s="48"/>
      <c r="M127" s="48"/>
      <c r="N127" s="47"/>
      <c r="O127" s="47" t="str">
        <f aca="false">IF(AND(ISNUMBER(G127),ISNUMBER(N127)),G127-N127,"")</f>
        <v/>
      </c>
      <c r="P127" s="49" t="str">
        <f aca="false">IF(ISNUMBER(O127),O127/N127,"")</f>
        <v/>
      </c>
      <c r="Q127" s="50" t="n">
        <f aca="false">C127-B127</f>
        <v>84</v>
      </c>
      <c r="R127" s="51" t="str">
        <f aca="false">IF(AND(C127=C126,ISNUMBER(G127),ISNUMBER(G126)),(G127/G126-1)*100,"")</f>
        <v/>
      </c>
      <c r="S127" s="51" t="str">
        <f aca="false">IF(AND(C127=C126,ISNUMBER(L127),ISNUMBER(L126)),(L127/L126-1)*100,"")</f>
        <v/>
      </c>
      <c r="T127" s="51" t="str">
        <f aca="false">IF(AND(C127=C126,ISNUMBER(G127),ISNUMBER(G126)),G127-G126,"")</f>
        <v/>
      </c>
      <c r="U127" s="1" t="str">
        <f aca="false">IF(OR(NOT(ISNUMBER(R127)),NOT(ISNUMBER(S127))),"Not classified",IF(AND(R127&gt;0,S127&gt;0),"Long buildup (interpretation)",IF(AND(R127&lt;0,S127&gt;0),"Short buildup (interpretation)",IF(AND(R127&gt;0,S127&lt;0),"Short covering (interpretation)",IF(AND(R127&lt;0,S127&lt;0),"Long unwinding (interpretation)","Neutral")))))</f>
        <v>Not classified</v>
      </c>
      <c r="V127" s="52" t="str">
        <f aca="false">TEXT(B127,"yyyy-mm")</f>
        <v>2025-01</v>
      </c>
      <c r="W127" s="52" t="n">
        <f aca="false">1+COUNTIFS($B$2:$B$756,B127,$C$2:$C$756,"&lt;"&amp;C127)</f>
        <v>4</v>
      </c>
      <c r="X127" s="53" t="str">
        <f aca="false">IF(AND(ISNUMBER(P127),Q127&gt;0),P127*365/Q127,"")</f>
        <v/>
      </c>
      <c r="Y127" s="42" t="str">
        <f aca="false">IF(AND(C128=C127,ISNUMBER(R128)),R128,"")</f>
        <v/>
      </c>
      <c r="Z127" s="52" t="n">
        <f aca="false">IF(AND(W127=1,Q127&gt;Basis_Analysis!$B$3,ISNUMBER(Y127)),1,0)</f>
        <v>0</v>
      </c>
      <c r="AA127" s="43" t="str">
        <f aca="false">IF(W127=1,IF(SUMIFS($L$2:$L$756,$B$2:$B$756,B127,$W$2:$W$756,2)&gt;0,SUMIFS($L$2:$L$756,$B$2:$B$756,B127,$W$2:$W$756,2),""),"")</f>
        <v/>
      </c>
      <c r="AB127" s="54" t="str">
        <f aca="false">IF(AND(W127=1,ISNUMBER(AA127)),L127/(L127+AA127),"")</f>
        <v/>
      </c>
    </row>
    <row r="128" customFormat="false" ht="15" hidden="false" customHeight="true" outlineLevel="0" collapsed="false">
      <c r="A128" s="1" t="s">
        <v>274</v>
      </c>
      <c r="B128" s="46" t="n">
        <v>45688</v>
      </c>
      <c r="C128" s="46" t="n">
        <v>45771</v>
      </c>
      <c r="D128" s="47" t="n">
        <v>23705</v>
      </c>
      <c r="E128" s="47" t="n">
        <v>23920</v>
      </c>
      <c r="F128" s="47" t="n">
        <v>23700</v>
      </c>
      <c r="G128" s="47" t="n">
        <v>23899.4</v>
      </c>
      <c r="H128" s="47" t="n">
        <v>23912.9</v>
      </c>
      <c r="I128" s="47" t="n">
        <v>23899.4</v>
      </c>
      <c r="J128" s="48" t="n">
        <v>1273</v>
      </c>
      <c r="K128" s="47" t="n">
        <v>22756.97</v>
      </c>
      <c r="L128" s="48" t="n">
        <v>49125</v>
      </c>
      <c r="M128" s="48" t="n">
        <v>49125</v>
      </c>
      <c r="N128" s="47" t="n">
        <v>23508.4</v>
      </c>
      <c r="O128" s="47" t="n">
        <f aca="false">IF(AND(ISNUMBER(G128),ISNUMBER(N128)),G128-N128,"")</f>
        <v>391</v>
      </c>
      <c r="P128" s="49" t="n">
        <f aca="false">IF(ISNUMBER(O128),O128/N128,"")</f>
        <v>0.016632352690953</v>
      </c>
      <c r="Q128" s="50" t="n">
        <f aca="false">C128-B128</f>
        <v>83</v>
      </c>
      <c r="R128" s="51" t="str">
        <f aca="false">IF(AND(C128=C127,ISNUMBER(G128),ISNUMBER(G127)),(G128/G127-1)*100,"")</f>
        <v/>
      </c>
      <c r="S128" s="51" t="str">
        <f aca="false">IF(AND(C128=C127,ISNUMBER(L128),ISNUMBER(L127)),(L128/L127-1)*100,"")</f>
        <v/>
      </c>
      <c r="T128" s="51" t="str">
        <f aca="false">IF(AND(C128=C127,ISNUMBER(G128),ISNUMBER(G127)),G128-G127,"")</f>
        <v/>
      </c>
      <c r="U128" s="1" t="str">
        <f aca="false">IF(OR(NOT(ISNUMBER(R128)),NOT(ISNUMBER(S128))),"Not classified",IF(AND(R128&gt;0,S128&gt;0),"Long buildup (interpretation)",IF(AND(R128&lt;0,S128&gt;0),"Short buildup (interpretation)",IF(AND(R128&gt;0,S128&lt;0),"Short covering (interpretation)",IF(AND(R128&lt;0,S128&lt;0),"Long unwinding (interpretation)","Neutral")))))</f>
        <v>Not classified</v>
      </c>
      <c r="V128" s="52" t="str">
        <f aca="false">TEXT(B128,"yyyy-mm")</f>
        <v>2025-01</v>
      </c>
      <c r="W128" s="52" t="n">
        <f aca="false">1+COUNTIFS($B$2:$B$756,B128,$C$2:$C$756,"&lt;"&amp;C128)</f>
        <v>3</v>
      </c>
      <c r="X128" s="53" t="n">
        <f aca="false">IF(AND(ISNUMBER(P128),Q128&gt;0),P128*365/Q128,"")</f>
        <v>0.0731422738819018</v>
      </c>
      <c r="Y128" s="42" t="n">
        <f aca="false">IF(AND(C129=C128,ISNUMBER(R129)),R129,"")</f>
        <v>-0.252935220131056</v>
      </c>
      <c r="Z128" s="52" t="n">
        <f aca="false">IF(AND(W128=1,Q128&gt;Basis_Analysis!$B$3,ISNUMBER(Y128)),1,0)</f>
        <v>0</v>
      </c>
      <c r="AA128" s="43" t="str">
        <f aca="false">IF(W128=1,IF(SUMIFS($L$2:$L$756,$B$2:$B$756,B128,$W$2:$W$756,2)&gt;0,SUMIFS($L$2:$L$756,$B$2:$B$756,B128,$W$2:$W$756,2),""),"")</f>
        <v/>
      </c>
      <c r="AB128" s="54" t="str">
        <f aca="false">IF(AND(W128=1,ISNUMBER(AA128)),L128/(L128+AA128),"")</f>
        <v/>
      </c>
    </row>
    <row r="129" customFormat="false" ht="15" hidden="false" customHeight="true" outlineLevel="0" collapsed="false">
      <c r="A129" s="1" t="s">
        <v>274</v>
      </c>
      <c r="B129" s="46" t="n">
        <v>45689</v>
      </c>
      <c r="C129" s="46" t="n">
        <v>45771</v>
      </c>
      <c r="D129" s="47" t="n">
        <v>23892.3</v>
      </c>
      <c r="E129" s="47" t="n">
        <v>23988</v>
      </c>
      <c r="F129" s="47" t="n">
        <v>23714.1</v>
      </c>
      <c r="G129" s="47" t="n">
        <v>23838.95</v>
      </c>
      <c r="H129" s="47" t="n">
        <v>23850.9</v>
      </c>
      <c r="I129" s="47" t="n">
        <v>23838.95</v>
      </c>
      <c r="J129" s="48" t="n">
        <v>1789</v>
      </c>
      <c r="K129" s="47" t="n">
        <v>32005.27</v>
      </c>
      <c r="L129" s="48" t="n">
        <v>64500</v>
      </c>
      <c r="M129" s="48" t="n">
        <v>15375</v>
      </c>
      <c r="N129" s="47" t="n">
        <v>23482.15</v>
      </c>
      <c r="O129" s="47" t="n">
        <f aca="false">IF(AND(ISNUMBER(G129),ISNUMBER(N129)),G129-N129,"")</f>
        <v>356.799999999999</v>
      </c>
      <c r="P129" s="49" t="n">
        <f aca="false">IF(ISNUMBER(O129),O129/N129,"")</f>
        <v>0.0151945200929216</v>
      </c>
      <c r="Q129" s="50" t="n">
        <f aca="false">C129-B129</f>
        <v>82</v>
      </c>
      <c r="R129" s="51" t="n">
        <f aca="false">IF(AND(C129=C128,ISNUMBER(G129),ISNUMBER(G128)),(G129/G128-1)*100,"")</f>
        <v>-0.252935220131056</v>
      </c>
      <c r="S129" s="51" t="n">
        <f aca="false">IF(AND(C129=C128,ISNUMBER(L129),ISNUMBER(L128)),(L129/L128-1)*100,"")</f>
        <v>31.2977099236641</v>
      </c>
      <c r="T129" s="51" t="n">
        <f aca="false">IF(AND(C129=C128,ISNUMBER(G129),ISNUMBER(G128)),G129-G128,"")</f>
        <v>-60.4500000000007</v>
      </c>
      <c r="U129" s="1" t="str">
        <f aca="false">IF(OR(NOT(ISNUMBER(R129)),NOT(ISNUMBER(S129))),"Not classified",IF(AND(R129&gt;0,S129&gt;0),"Long buildup (interpretation)",IF(AND(R129&lt;0,S129&gt;0),"Short buildup (interpretation)",IF(AND(R129&gt;0,S129&lt;0),"Short covering (interpretation)",IF(AND(R129&lt;0,S129&lt;0),"Long unwinding (interpretation)","Neutral")))))</f>
        <v>Short buildup (interpretation)</v>
      </c>
      <c r="V129" s="52" t="str">
        <f aca="false">TEXT(B129,"yyyy-mm")</f>
        <v>2025-02</v>
      </c>
      <c r="W129" s="52" t="n">
        <f aca="false">1+COUNTIFS($B$2:$B$756,B129,$C$2:$C$756,"&lt;"&amp;C129)</f>
        <v>3</v>
      </c>
      <c r="X129" s="53" t="n">
        <f aca="false">IF(AND(ISNUMBER(P129),Q129&gt;0),P129*365/Q129,"")</f>
        <v>0.0676341443160535</v>
      </c>
      <c r="Y129" s="42" t="n">
        <f aca="false">IF(AND(C130=C129,ISNUMBER(R130)),R130,"")</f>
        <v>-0.494359021685109</v>
      </c>
      <c r="Z129" s="52" t="n">
        <f aca="false">IF(AND(W129=1,Q129&gt;Basis_Analysis!$B$3,ISNUMBER(Y129)),1,0)</f>
        <v>0</v>
      </c>
      <c r="AA129" s="43" t="str">
        <f aca="false">IF(W129=1,IF(SUMIFS($L$2:$L$756,$B$2:$B$756,B129,$W$2:$W$756,2)&gt;0,SUMIFS($L$2:$L$756,$B$2:$B$756,B129,$W$2:$W$756,2),""),"")</f>
        <v/>
      </c>
      <c r="AB129" s="54" t="str">
        <f aca="false">IF(AND(W129=1,ISNUMBER(AA129)),L129/(L129+AA129),"")</f>
        <v/>
      </c>
    </row>
    <row r="130" customFormat="false" ht="15" hidden="false" customHeight="true" outlineLevel="0" collapsed="false">
      <c r="A130" s="1" t="s">
        <v>274</v>
      </c>
      <c r="B130" s="46" t="n">
        <v>45691</v>
      </c>
      <c r="C130" s="46" t="n">
        <v>45771</v>
      </c>
      <c r="D130" s="47" t="n">
        <v>23750</v>
      </c>
      <c r="E130" s="47" t="n">
        <v>23750</v>
      </c>
      <c r="F130" s="47" t="n">
        <v>23590</v>
      </c>
      <c r="G130" s="47" t="n">
        <v>23721.1</v>
      </c>
      <c r="H130" s="47" t="n">
        <v>23718.05</v>
      </c>
      <c r="I130" s="47" t="n">
        <v>23721.1</v>
      </c>
      <c r="J130" s="48" t="n">
        <v>1247</v>
      </c>
      <c r="K130" s="47" t="n">
        <v>22133.46</v>
      </c>
      <c r="L130" s="48" t="n">
        <v>80625</v>
      </c>
      <c r="M130" s="48" t="n">
        <v>16125</v>
      </c>
      <c r="N130" s="47" t="n">
        <v>23361.05</v>
      </c>
      <c r="O130" s="47" t="n">
        <f aca="false">IF(AND(ISNUMBER(G130),ISNUMBER(N130)),G130-N130,"")</f>
        <v>360.049999999999</v>
      </c>
      <c r="P130" s="49" t="n">
        <f aca="false">IF(ISNUMBER(O130),O130/N130,"")</f>
        <v>0.015412406548507</v>
      </c>
      <c r="Q130" s="50" t="n">
        <f aca="false">C130-B130</f>
        <v>80</v>
      </c>
      <c r="R130" s="51" t="n">
        <f aca="false">IF(AND(C130=C129,ISNUMBER(G130),ISNUMBER(G129)),(G130/G129-1)*100,"")</f>
        <v>-0.494359021685109</v>
      </c>
      <c r="S130" s="51" t="n">
        <f aca="false">IF(AND(C130=C129,ISNUMBER(L130),ISNUMBER(L129)),(L130/L129-1)*100,"")</f>
        <v>25</v>
      </c>
      <c r="T130" s="51" t="n">
        <f aca="false">IF(AND(C130=C129,ISNUMBER(G130),ISNUMBER(G129)),G130-G129,"")</f>
        <v>-117.850000000002</v>
      </c>
      <c r="U130" s="1" t="str">
        <f aca="false">IF(OR(NOT(ISNUMBER(R130)),NOT(ISNUMBER(S130))),"Not classified",IF(AND(R130&gt;0,S130&gt;0),"Long buildup (interpretation)",IF(AND(R130&lt;0,S130&gt;0),"Short buildup (interpretation)",IF(AND(R130&gt;0,S130&lt;0),"Short covering (interpretation)",IF(AND(R130&lt;0,S130&lt;0),"Long unwinding (interpretation)","Neutral")))))</f>
        <v>Short buildup (interpretation)</v>
      </c>
      <c r="V130" s="52" t="str">
        <f aca="false">TEXT(B130,"yyyy-mm")</f>
        <v>2025-02</v>
      </c>
      <c r="W130" s="52" t="n">
        <f aca="false">1+COUNTIFS($B$2:$B$756,B130,$C$2:$C$756,"&lt;"&amp;C130)</f>
        <v>3</v>
      </c>
      <c r="X130" s="53" t="n">
        <f aca="false">IF(AND(ISNUMBER(P130),Q130&gt;0),P130*365/Q130,"")</f>
        <v>0.0703191048775632</v>
      </c>
      <c r="Y130" s="42" t="n">
        <f aca="false">IF(AND(C131=C130,ISNUMBER(R131)),R131,"")</f>
        <v>1.44723474037882</v>
      </c>
      <c r="Z130" s="52" t="n">
        <f aca="false">IF(AND(W130=1,Q130&gt;Basis_Analysis!$B$3,ISNUMBER(Y130)),1,0)</f>
        <v>0</v>
      </c>
      <c r="AA130" s="43" t="str">
        <f aca="false">IF(W130=1,IF(SUMIFS($L$2:$L$756,$B$2:$B$756,B130,$W$2:$W$756,2)&gt;0,SUMIFS($L$2:$L$756,$B$2:$B$756,B130,$W$2:$W$756,2),""),"")</f>
        <v/>
      </c>
      <c r="AB130" s="54" t="str">
        <f aca="false">IF(AND(W130=1,ISNUMBER(AA130)),L130/(L130+AA130),"")</f>
        <v/>
      </c>
    </row>
    <row r="131" customFormat="false" ht="15" hidden="false" customHeight="true" outlineLevel="0" collapsed="false">
      <c r="A131" s="1" t="s">
        <v>274</v>
      </c>
      <c r="B131" s="46" t="n">
        <v>45692</v>
      </c>
      <c r="C131" s="46" t="n">
        <v>45771</v>
      </c>
      <c r="D131" s="47" t="n">
        <v>23799.95</v>
      </c>
      <c r="E131" s="47" t="n">
        <v>24075</v>
      </c>
      <c r="F131" s="47" t="n">
        <v>23780.65</v>
      </c>
      <c r="G131" s="47" t="n">
        <v>24064.4</v>
      </c>
      <c r="H131" s="47" t="n">
        <v>24074.55</v>
      </c>
      <c r="I131" s="47" t="n">
        <v>24064.4</v>
      </c>
      <c r="J131" s="48" t="n">
        <v>2218</v>
      </c>
      <c r="K131" s="47" t="n">
        <v>39831.22</v>
      </c>
      <c r="L131" s="48" t="n">
        <v>103575</v>
      </c>
      <c r="M131" s="48" t="n">
        <v>22950</v>
      </c>
      <c r="N131" s="47"/>
      <c r="O131" s="47" t="str">
        <f aca="false">IF(AND(ISNUMBER(G131),ISNUMBER(N131)),G131-N131,"")</f>
        <v/>
      </c>
      <c r="P131" s="49" t="str">
        <f aca="false">IF(ISNUMBER(O131),O131/N131,"")</f>
        <v/>
      </c>
      <c r="Q131" s="50" t="n">
        <f aca="false">C131-B131</f>
        <v>79</v>
      </c>
      <c r="R131" s="51" t="n">
        <f aca="false">IF(AND(C131=C130,ISNUMBER(G131),ISNUMBER(G130)),(G131/G130-1)*100,"")</f>
        <v>1.44723474037882</v>
      </c>
      <c r="S131" s="51" t="n">
        <f aca="false">IF(AND(C131=C130,ISNUMBER(L131),ISNUMBER(L130)),(L131/L130-1)*100,"")</f>
        <v>28.4651162790698</v>
      </c>
      <c r="T131" s="51" t="n">
        <f aca="false">IF(AND(C131=C130,ISNUMBER(G131),ISNUMBER(G130)),G131-G130,"")</f>
        <v>343.300000000003</v>
      </c>
      <c r="U131" s="1" t="str">
        <f aca="false">IF(OR(NOT(ISNUMBER(R131)),NOT(ISNUMBER(S131))),"Not classified",IF(AND(R131&gt;0,S131&gt;0),"Long buildup (interpretation)",IF(AND(R131&lt;0,S131&gt;0),"Short buildup (interpretation)",IF(AND(R131&gt;0,S131&lt;0),"Short covering (interpretation)",IF(AND(R131&lt;0,S131&lt;0),"Long unwinding (interpretation)","Neutral")))))</f>
        <v>Long buildup (interpretation)</v>
      </c>
      <c r="V131" s="52" t="str">
        <f aca="false">TEXT(B131,"yyyy-mm")</f>
        <v>2025-02</v>
      </c>
      <c r="W131" s="52" t="n">
        <f aca="false">1+COUNTIFS($B$2:$B$756,B131,$C$2:$C$756,"&lt;"&amp;C131)</f>
        <v>3</v>
      </c>
      <c r="X131" s="53" t="str">
        <f aca="false">IF(AND(ISNUMBER(P131),Q131&gt;0),P131*365/Q131,"")</f>
        <v/>
      </c>
      <c r="Y131" s="42" t="n">
        <f aca="false">IF(AND(C132=C131,ISNUMBER(R132)),R132,"")</f>
        <v>-0.00976546267515976</v>
      </c>
      <c r="Z131" s="52" t="n">
        <f aca="false">IF(AND(W131=1,Q131&gt;Basis_Analysis!$B$3,ISNUMBER(Y131)),1,0)</f>
        <v>0</v>
      </c>
      <c r="AA131" s="43" t="str">
        <f aca="false">IF(W131=1,IF(SUMIFS($L$2:$L$756,$B$2:$B$756,B131,$W$2:$W$756,2)&gt;0,SUMIFS($L$2:$L$756,$B$2:$B$756,B131,$W$2:$W$756,2),""),"")</f>
        <v/>
      </c>
      <c r="AB131" s="54" t="str">
        <f aca="false">IF(AND(W131=1,ISNUMBER(AA131)),L131/(L131+AA131),"")</f>
        <v/>
      </c>
    </row>
    <row r="132" customFormat="false" ht="15" hidden="false" customHeight="true" outlineLevel="0" collapsed="false">
      <c r="A132" s="1" t="s">
        <v>274</v>
      </c>
      <c r="B132" s="46" t="n">
        <v>45693</v>
      </c>
      <c r="C132" s="46" t="n">
        <v>45771</v>
      </c>
      <c r="D132" s="47" t="n">
        <v>24111</v>
      </c>
      <c r="E132" s="47" t="n">
        <v>24130.2</v>
      </c>
      <c r="F132" s="47" t="n">
        <v>24041</v>
      </c>
      <c r="G132" s="47" t="n">
        <v>24062.05</v>
      </c>
      <c r="H132" s="47" t="n">
        <v>24041</v>
      </c>
      <c r="I132" s="47" t="n">
        <v>24062.05</v>
      </c>
      <c r="J132" s="48" t="n">
        <v>1057</v>
      </c>
      <c r="K132" s="47" t="n">
        <v>19105.77</v>
      </c>
      <c r="L132" s="48" t="n">
        <v>114450</v>
      </c>
      <c r="M132" s="48" t="n">
        <v>10875</v>
      </c>
      <c r="N132" s="47" t="n">
        <v>23696.3</v>
      </c>
      <c r="O132" s="47" t="n">
        <f aca="false">IF(AND(ISNUMBER(G132),ISNUMBER(N132)),G132-N132,"")</f>
        <v>365.75</v>
      </c>
      <c r="P132" s="49" t="n">
        <f aca="false">IF(ISNUMBER(O132),O132/N132,"")</f>
        <v>0.0154348991192718</v>
      </c>
      <c r="Q132" s="50" t="n">
        <f aca="false">C132-B132</f>
        <v>78</v>
      </c>
      <c r="R132" s="51" t="n">
        <f aca="false">IF(AND(C132=C131,ISNUMBER(G132),ISNUMBER(G131)),(G132/G131-1)*100,"")</f>
        <v>-0.00976546267515976</v>
      </c>
      <c r="S132" s="51" t="n">
        <f aca="false">IF(AND(C132=C131,ISNUMBER(L132),ISNUMBER(L131)),(L132/L131-1)*100,"")</f>
        <v>10.4996379435192</v>
      </c>
      <c r="T132" s="51" t="n">
        <f aca="false">IF(AND(C132=C131,ISNUMBER(G132),ISNUMBER(G131)),G132-G131,"")</f>
        <v>-2.35000000000218</v>
      </c>
      <c r="U132" s="1" t="str">
        <f aca="false">IF(OR(NOT(ISNUMBER(R132)),NOT(ISNUMBER(S132))),"Not classified",IF(AND(R132&gt;0,S132&gt;0),"Long buildup (interpretation)",IF(AND(R132&lt;0,S132&gt;0),"Short buildup (interpretation)",IF(AND(R132&gt;0,S132&lt;0),"Short covering (interpretation)",IF(AND(R132&lt;0,S132&lt;0),"Long unwinding (interpretation)","Neutral")))))</f>
        <v>Short buildup (interpretation)</v>
      </c>
      <c r="V132" s="52" t="str">
        <f aca="false">TEXT(B132,"yyyy-mm")</f>
        <v>2025-02</v>
      </c>
      <c r="W132" s="52" t="n">
        <f aca="false">1+COUNTIFS($B$2:$B$756,B132,$C$2:$C$756,"&lt;"&amp;C132)</f>
        <v>3</v>
      </c>
      <c r="X132" s="53" t="n">
        <f aca="false">IF(AND(ISNUMBER(P132),Q132&gt;0),P132*365/Q132,"")</f>
        <v>0.0722274125453103</v>
      </c>
      <c r="Y132" s="42" t="n">
        <f aca="false">IF(AND(C133=C132,ISNUMBER(R133)),R133,"")</f>
        <v>-0.355331320481833</v>
      </c>
      <c r="Z132" s="52" t="n">
        <f aca="false">IF(AND(W132=1,Q132&gt;Basis_Analysis!$B$3,ISNUMBER(Y132)),1,0)</f>
        <v>0</v>
      </c>
      <c r="AA132" s="43" t="str">
        <f aca="false">IF(W132=1,IF(SUMIFS($L$2:$L$756,$B$2:$B$756,B132,$W$2:$W$756,2)&gt;0,SUMIFS($L$2:$L$756,$B$2:$B$756,B132,$W$2:$W$756,2),""),"")</f>
        <v/>
      </c>
      <c r="AB132" s="54" t="str">
        <f aca="false">IF(AND(W132=1,ISNUMBER(AA132)),L132/(L132+AA132),"")</f>
        <v/>
      </c>
    </row>
    <row r="133" customFormat="false" ht="15" hidden="false" customHeight="true" outlineLevel="0" collapsed="false">
      <c r="A133" s="1" t="s">
        <v>274</v>
      </c>
      <c r="B133" s="46" t="n">
        <v>45694</v>
      </c>
      <c r="C133" s="46" t="n">
        <v>45771</v>
      </c>
      <c r="D133" s="47" t="n">
        <v>24041</v>
      </c>
      <c r="E133" s="47" t="n">
        <v>24104.3</v>
      </c>
      <c r="F133" s="47" t="n">
        <v>23955</v>
      </c>
      <c r="G133" s="47" t="n">
        <v>23976.55</v>
      </c>
      <c r="H133" s="47" t="n">
        <v>23990</v>
      </c>
      <c r="I133" s="47" t="n">
        <v>23976.55</v>
      </c>
      <c r="J133" s="48" t="n">
        <v>1022</v>
      </c>
      <c r="K133" s="47" t="n">
        <v>18391.77</v>
      </c>
      <c r="L133" s="48" t="n">
        <v>135675</v>
      </c>
      <c r="M133" s="48" t="n">
        <v>21225</v>
      </c>
      <c r="N133" s="47" t="n">
        <v>23603.35</v>
      </c>
      <c r="O133" s="47" t="n">
        <f aca="false">IF(AND(ISNUMBER(G133),ISNUMBER(N133)),G133-N133,"")</f>
        <v>373.200000000001</v>
      </c>
      <c r="P133" s="49" t="n">
        <f aca="false">IF(ISNUMBER(O133),O133/N133,"")</f>
        <v>0.0158113149192806</v>
      </c>
      <c r="Q133" s="50" t="n">
        <f aca="false">C133-B133</f>
        <v>77</v>
      </c>
      <c r="R133" s="51" t="n">
        <f aca="false">IF(AND(C133=C132,ISNUMBER(G133),ISNUMBER(G132)),(G133/G132-1)*100,"")</f>
        <v>-0.355331320481833</v>
      </c>
      <c r="S133" s="51" t="n">
        <f aca="false">IF(AND(C133=C132,ISNUMBER(L133),ISNUMBER(L132)),(L133/L132-1)*100,"")</f>
        <v>18.5452162516383</v>
      </c>
      <c r="T133" s="51" t="n">
        <f aca="false">IF(AND(C133=C132,ISNUMBER(G133),ISNUMBER(G132)),G133-G132,"")</f>
        <v>-85.5</v>
      </c>
      <c r="U133" s="1" t="str">
        <f aca="false">IF(OR(NOT(ISNUMBER(R133)),NOT(ISNUMBER(S133))),"Not classified",IF(AND(R133&gt;0,S133&gt;0),"Long buildup (interpretation)",IF(AND(R133&lt;0,S133&gt;0),"Short buildup (interpretation)",IF(AND(R133&gt;0,S133&lt;0),"Short covering (interpretation)",IF(AND(R133&lt;0,S133&lt;0),"Long unwinding (interpretation)","Neutral")))))</f>
        <v>Short buildup (interpretation)</v>
      </c>
      <c r="V133" s="52" t="str">
        <f aca="false">TEXT(B133,"yyyy-mm")</f>
        <v>2025-02</v>
      </c>
      <c r="W133" s="52" t="n">
        <f aca="false">1+COUNTIFS($B$2:$B$756,B133,$C$2:$C$756,"&lt;"&amp;C133)</f>
        <v>3</v>
      </c>
      <c r="X133" s="53" t="n">
        <f aca="false">IF(AND(ISNUMBER(P133),Q133&gt;0),P133*365/Q133,"")</f>
        <v>0.0749497395524338</v>
      </c>
      <c r="Y133" s="42" t="n">
        <f aca="false">IF(AND(C134=C133,ISNUMBER(R134)),R134,"")</f>
        <v>-0.304047079333758</v>
      </c>
      <c r="Z133" s="52" t="n">
        <f aca="false">IF(AND(W133=1,Q133&gt;Basis_Analysis!$B$3,ISNUMBER(Y133)),1,0)</f>
        <v>0</v>
      </c>
      <c r="AA133" s="43" t="str">
        <f aca="false">IF(W133=1,IF(SUMIFS($L$2:$L$756,$B$2:$B$756,B133,$W$2:$W$756,2)&gt;0,SUMIFS($L$2:$L$756,$B$2:$B$756,B133,$W$2:$W$756,2),""),"")</f>
        <v/>
      </c>
      <c r="AB133" s="54" t="str">
        <f aca="false">IF(AND(W133=1,ISNUMBER(AA133)),L133/(L133+AA133),"")</f>
        <v/>
      </c>
    </row>
    <row r="134" customFormat="false" ht="15" hidden="false" customHeight="true" outlineLevel="0" collapsed="false">
      <c r="A134" s="1" t="s">
        <v>274</v>
      </c>
      <c r="B134" s="46" t="n">
        <v>45695</v>
      </c>
      <c r="C134" s="46" t="n">
        <v>45771</v>
      </c>
      <c r="D134" s="47" t="n">
        <v>23980.35</v>
      </c>
      <c r="E134" s="47" t="n">
        <v>24075</v>
      </c>
      <c r="F134" s="47" t="n">
        <v>23818.15</v>
      </c>
      <c r="G134" s="47" t="n">
        <v>23903.65</v>
      </c>
      <c r="H134" s="47" t="n">
        <v>23901.95</v>
      </c>
      <c r="I134" s="47" t="n">
        <v>23903.65</v>
      </c>
      <c r="J134" s="48" t="n">
        <v>1476</v>
      </c>
      <c r="K134" s="47" t="n">
        <v>26478.9</v>
      </c>
      <c r="L134" s="48" t="n">
        <v>147900</v>
      </c>
      <c r="M134" s="48" t="n">
        <v>12225</v>
      </c>
      <c r="N134" s="47" t="n">
        <v>23559.95</v>
      </c>
      <c r="O134" s="47" t="n">
        <f aca="false">IF(AND(ISNUMBER(G134),ISNUMBER(N134)),G134-N134,"")</f>
        <v>343.700000000001</v>
      </c>
      <c r="P134" s="49" t="n">
        <f aca="false">IF(ISNUMBER(O134),O134/N134,"")</f>
        <v>0.0145883161891261</v>
      </c>
      <c r="Q134" s="50" t="n">
        <f aca="false">C134-B134</f>
        <v>76</v>
      </c>
      <c r="R134" s="51" t="n">
        <f aca="false">IF(AND(C134=C133,ISNUMBER(G134),ISNUMBER(G133)),(G134/G133-1)*100,"")</f>
        <v>-0.304047079333758</v>
      </c>
      <c r="S134" s="51" t="n">
        <f aca="false">IF(AND(C134=C133,ISNUMBER(L134),ISNUMBER(L133)),(L134/L133-1)*100,"")</f>
        <v>9.01050304035378</v>
      </c>
      <c r="T134" s="51" t="n">
        <f aca="false">IF(AND(C134=C133,ISNUMBER(G134),ISNUMBER(G133)),G134-G133,"")</f>
        <v>-72.8999999999978</v>
      </c>
      <c r="U134" s="1" t="str">
        <f aca="false">IF(OR(NOT(ISNUMBER(R134)),NOT(ISNUMBER(S134))),"Not classified",IF(AND(R134&gt;0,S134&gt;0),"Long buildup (interpretation)",IF(AND(R134&lt;0,S134&gt;0),"Short buildup (interpretation)",IF(AND(R134&gt;0,S134&lt;0),"Short covering (interpretation)",IF(AND(R134&lt;0,S134&lt;0),"Long unwinding (interpretation)","Neutral")))))</f>
        <v>Short buildup (interpretation)</v>
      </c>
      <c r="V134" s="52" t="str">
        <f aca="false">TEXT(B134,"yyyy-mm")</f>
        <v>2025-02</v>
      </c>
      <c r="W134" s="52" t="n">
        <f aca="false">1+COUNTIFS($B$2:$B$756,B134,$C$2:$C$756,"&lt;"&amp;C134)</f>
        <v>3</v>
      </c>
      <c r="X134" s="53" t="n">
        <f aca="false">IF(AND(ISNUMBER(P134),Q134&gt;0),P134*365/Q134,"")</f>
        <v>0.070062308013566</v>
      </c>
      <c r="Y134" s="42" t="n">
        <f aca="false">IF(AND(C135=C134,ISNUMBER(R135)),R135,"")</f>
        <v>-0.633166901289139</v>
      </c>
      <c r="Z134" s="52" t="n">
        <f aca="false">IF(AND(W134=1,Q134&gt;Basis_Analysis!$B$3,ISNUMBER(Y134)),1,0)</f>
        <v>0</v>
      </c>
      <c r="AA134" s="43" t="str">
        <f aca="false">IF(W134=1,IF(SUMIFS($L$2:$L$756,$B$2:$B$756,B134,$W$2:$W$756,2)&gt;0,SUMIFS($L$2:$L$756,$B$2:$B$756,B134,$W$2:$W$756,2),""),"")</f>
        <v/>
      </c>
      <c r="AB134" s="54" t="str">
        <f aca="false">IF(AND(W134=1,ISNUMBER(AA134)),L134/(L134+AA134),"")</f>
        <v/>
      </c>
    </row>
    <row r="135" customFormat="false" ht="15" hidden="false" customHeight="true" outlineLevel="0" collapsed="false">
      <c r="A135" s="1" t="s">
        <v>274</v>
      </c>
      <c r="B135" s="46" t="n">
        <v>45698</v>
      </c>
      <c r="C135" s="46" t="n">
        <v>45771</v>
      </c>
      <c r="D135" s="47" t="n">
        <v>23850</v>
      </c>
      <c r="E135" s="47" t="n">
        <v>23862.25</v>
      </c>
      <c r="F135" s="47" t="n">
        <v>23690</v>
      </c>
      <c r="G135" s="47" t="n">
        <v>23752.3</v>
      </c>
      <c r="H135" s="47" t="n">
        <v>23743.25</v>
      </c>
      <c r="I135" s="47" t="n">
        <v>23752.3</v>
      </c>
      <c r="J135" s="48" t="n">
        <v>1428</v>
      </c>
      <c r="K135" s="47" t="n">
        <v>25442.48</v>
      </c>
      <c r="L135" s="48" t="n">
        <v>176925</v>
      </c>
      <c r="M135" s="48" t="n">
        <v>29025</v>
      </c>
      <c r="N135" s="47" t="n">
        <v>23381.6</v>
      </c>
      <c r="O135" s="47" t="n">
        <f aca="false">IF(AND(ISNUMBER(G135),ISNUMBER(N135)),G135-N135,"")</f>
        <v>370.700000000001</v>
      </c>
      <c r="P135" s="49" t="n">
        <f aca="false">IF(ISNUMBER(O135),O135/N135,"")</f>
        <v>0.0158543470079037</v>
      </c>
      <c r="Q135" s="50" t="n">
        <f aca="false">C135-B135</f>
        <v>73</v>
      </c>
      <c r="R135" s="51" t="n">
        <f aca="false">IF(AND(C135=C134,ISNUMBER(G135),ISNUMBER(G134)),(G135/G134-1)*100,"")</f>
        <v>-0.633166901289139</v>
      </c>
      <c r="S135" s="51" t="n">
        <f aca="false">IF(AND(C135=C134,ISNUMBER(L135),ISNUMBER(L134)),(L135/L134-1)*100,"")</f>
        <v>19.6247464503043</v>
      </c>
      <c r="T135" s="51" t="n">
        <f aca="false">IF(AND(C135=C134,ISNUMBER(G135),ISNUMBER(G134)),G135-G134,"")</f>
        <v>-151.350000000002</v>
      </c>
      <c r="U135" s="1" t="str">
        <f aca="false">IF(OR(NOT(ISNUMBER(R135)),NOT(ISNUMBER(S135))),"Not classified",IF(AND(R135&gt;0,S135&gt;0),"Long buildup (interpretation)",IF(AND(R135&lt;0,S135&gt;0),"Short buildup (interpretation)",IF(AND(R135&gt;0,S135&lt;0),"Short covering (interpretation)",IF(AND(R135&lt;0,S135&lt;0),"Long unwinding (interpretation)","Neutral")))))</f>
        <v>Short buildup (interpretation)</v>
      </c>
      <c r="V135" s="52" t="str">
        <f aca="false">TEXT(B135,"yyyy-mm")</f>
        <v>2025-02</v>
      </c>
      <c r="W135" s="52" t="n">
        <f aca="false">1+COUNTIFS($B$2:$B$756,B135,$C$2:$C$756,"&lt;"&amp;C135)</f>
        <v>3</v>
      </c>
      <c r="X135" s="53" t="n">
        <f aca="false">IF(AND(ISNUMBER(P135),Q135&gt;0),P135*365/Q135,"")</f>
        <v>0.0792717350395184</v>
      </c>
      <c r="Y135" s="42" t="n">
        <f aca="false">IF(AND(C136=C135,ISNUMBER(R136)),R136,"")</f>
        <v>-1.31060991988144</v>
      </c>
      <c r="Z135" s="52" t="n">
        <f aca="false">IF(AND(W135=1,Q135&gt;Basis_Analysis!$B$3,ISNUMBER(Y135)),1,0)</f>
        <v>0</v>
      </c>
      <c r="AA135" s="43" t="str">
        <f aca="false">IF(W135=1,IF(SUMIFS($L$2:$L$756,$B$2:$B$756,B135,$W$2:$W$756,2)&gt;0,SUMIFS($L$2:$L$756,$B$2:$B$756,B135,$W$2:$W$756,2),""),"")</f>
        <v/>
      </c>
      <c r="AB135" s="54" t="str">
        <f aca="false">IF(AND(W135=1,ISNUMBER(AA135)),L135/(L135+AA135),"")</f>
        <v/>
      </c>
    </row>
    <row r="136" customFormat="false" ht="15" hidden="false" customHeight="true" outlineLevel="0" collapsed="false">
      <c r="A136" s="1" t="s">
        <v>274</v>
      </c>
      <c r="B136" s="46" t="n">
        <v>45699</v>
      </c>
      <c r="C136" s="46" t="n">
        <v>45771</v>
      </c>
      <c r="D136" s="47" t="n">
        <v>23739.85</v>
      </c>
      <c r="E136" s="47" t="n">
        <v>23739.85</v>
      </c>
      <c r="F136" s="47" t="n">
        <v>23350</v>
      </c>
      <c r="G136" s="47" t="n">
        <v>23441</v>
      </c>
      <c r="H136" s="47" t="n">
        <v>23423</v>
      </c>
      <c r="I136" s="47" t="n">
        <v>23441</v>
      </c>
      <c r="J136" s="48" t="n">
        <v>2562</v>
      </c>
      <c r="K136" s="47" t="n">
        <v>45201.04</v>
      </c>
      <c r="L136" s="48" t="n">
        <v>224550</v>
      </c>
      <c r="M136" s="48" t="n">
        <v>47625</v>
      </c>
      <c r="N136" s="47" t="n">
        <v>23071.8</v>
      </c>
      <c r="O136" s="47" t="n">
        <f aca="false">IF(AND(ISNUMBER(G136),ISNUMBER(N136)),G136-N136,"")</f>
        <v>369.200000000001</v>
      </c>
      <c r="P136" s="49" t="n">
        <f aca="false">IF(ISNUMBER(O136),O136/N136,"")</f>
        <v>0.0160022191593201</v>
      </c>
      <c r="Q136" s="50" t="n">
        <f aca="false">C136-B136</f>
        <v>72</v>
      </c>
      <c r="R136" s="51" t="n">
        <f aca="false">IF(AND(C136=C135,ISNUMBER(G136),ISNUMBER(G135)),(G136/G135-1)*100,"")</f>
        <v>-1.31060991988144</v>
      </c>
      <c r="S136" s="51" t="n">
        <f aca="false">IF(AND(C136=C135,ISNUMBER(L136),ISNUMBER(L135)),(L136/L135-1)*100,"")</f>
        <v>26.9181856718949</v>
      </c>
      <c r="T136" s="51" t="n">
        <f aca="false">IF(AND(C136=C135,ISNUMBER(G136),ISNUMBER(G135)),G136-G135,"")</f>
        <v>-311.299999999999</v>
      </c>
      <c r="U136" s="1" t="str">
        <f aca="false">IF(OR(NOT(ISNUMBER(R136)),NOT(ISNUMBER(S136))),"Not classified",IF(AND(R136&gt;0,S136&gt;0),"Long buildup (interpretation)",IF(AND(R136&lt;0,S136&gt;0),"Short buildup (interpretation)",IF(AND(R136&gt;0,S136&lt;0),"Short covering (interpretation)",IF(AND(R136&lt;0,S136&lt;0),"Long unwinding (interpretation)","Neutral")))))</f>
        <v>Short buildup (interpretation)</v>
      </c>
      <c r="V136" s="52" t="str">
        <f aca="false">TEXT(B136,"yyyy-mm")</f>
        <v>2025-02</v>
      </c>
      <c r="W136" s="52" t="n">
        <f aca="false">1+COUNTIFS($B$2:$B$756,B136,$C$2:$C$756,"&lt;"&amp;C136)</f>
        <v>3</v>
      </c>
      <c r="X136" s="53" t="n">
        <f aca="false">IF(AND(ISNUMBER(P136),Q136&gt;0),P136*365/Q136,"")</f>
        <v>0.0811223610159976</v>
      </c>
      <c r="Y136" s="42" t="n">
        <f aca="false">IF(AND(C137=C136,ISNUMBER(R137)),R137,"")</f>
        <v>-0.12755428522675</v>
      </c>
      <c r="Z136" s="52" t="n">
        <f aca="false">IF(AND(W136=1,Q136&gt;Basis_Analysis!$B$3,ISNUMBER(Y136)),1,0)</f>
        <v>0</v>
      </c>
      <c r="AA136" s="43" t="str">
        <f aca="false">IF(W136=1,IF(SUMIFS($L$2:$L$756,$B$2:$B$756,B136,$W$2:$W$756,2)&gt;0,SUMIFS($L$2:$L$756,$B$2:$B$756,B136,$W$2:$W$756,2),""),"")</f>
        <v/>
      </c>
      <c r="AB136" s="54" t="str">
        <f aca="false">IF(AND(W136=1,ISNUMBER(AA136)),L136/(L136+AA136),"")</f>
        <v/>
      </c>
    </row>
    <row r="137" customFormat="false" ht="15" hidden="false" customHeight="true" outlineLevel="0" collapsed="false">
      <c r="A137" s="1" t="s">
        <v>274</v>
      </c>
      <c r="B137" s="46" t="n">
        <v>45700</v>
      </c>
      <c r="C137" s="46" t="n">
        <v>45771</v>
      </c>
      <c r="D137" s="47" t="n">
        <v>23400</v>
      </c>
      <c r="E137" s="47" t="n">
        <v>23512</v>
      </c>
      <c r="F137" s="47" t="n">
        <v>23190.8</v>
      </c>
      <c r="G137" s="47" t="n">
        <v>23411.1</v>
      </c>
      <c r="H137" s="47" t="n">
        <v>23425</v>
      </c>
      <c r="I137" s="47" t="n">
        <v>23411.1</v>
      </c>
      <c r="J137" s="48" t="n">
        <v>3205</v>
      </c>
      <c r="K137" s="47" t="n">
        <v>56092.4</v>
      </c>
      <c r="L137" s="48" t="n">
        <v>260175</v>
      </c>
      <c r="M137" s="48" t="n">
        <v>35625</v>
      </c>
      <c r="N137" s="47" t="n">
        <v>23045.25</v>
      </c>
      <c r="O137" s="47" t="n">
        <f aca="false">IF(AND(ISNUMBER(G137),ISNUMBER(N137)),G137-N137,"")</f>
        <v>365.849999999999</v>
      </c>
      <c r="P137" s="49" t="n">
        <f aca="false">IF(ISNUMBER(O137),O137/N137,"")</f>
        <v>0.0158752888339245</v>
      </c>
      <c r="Q137" s="50" t="n">
        <f aca="false">C137-B137</f>
        <v>71</v>
      </c>
      <c r="R137" s="51" t="n">
        <f aca="false">IF(AND(C137=C136,ISNUMBER(G137),ISNUMBER(G136)),(G137/G136-1)*100,"")</f>
        <v>-0.12755428522675</v>
      </c>
      <c r="S137" s="51" t="n">
        <f aca="false">IF(AND(C137=C136,ISNUMBER(L137),ISNUMBER(L136)),(L137/L136-1)*100,"")</f>
        <v>15.8650634602538</v>
      </c>
      <c r="T137" s="51" t="n">
        <f aca="false">IF(AND(C137=C136,ISNUMBER(G137),ISNUMBER(G136)),G137-G136,"")</f>
        <v>-29.9000000000015</v>
      </c>
      <c r="U137" s="1" t="str">
        <f aca="false">IF(OR(NOT(ISNUMBER(R137)),NOT(ISNUMBER(S137))),"Not classified",IF(AND(R137&gt;0,S137&gt;0),"Long buildup (interpretation)",IF(AND(R137&lt;0,S137&gt;0),"Short buildup (interpretation)",IF(AND(R137&gt;0,S137&lt;0),"Short covering (interpretation)",IF(AND(R137&lt;0,S137&lt;0),"Long unwinding (interpretation)","Neutral")))))</f>
        <v>Short buildup (interpretation)</v>
      </c>
      <c r="V137" s="52" t="str">
        <f aca="false">TEXT(B137,"yyyy-mm")</f>
        <v>2025-02</v>
      </c>
      <c r="W137" s="52" t="n">
        <f aca="false">1+COUNTIFS($B$2:$B$756,B137,$C$2:$C$756,"&lt;"&amp;C137)</f>
        <v>3</v>
      </c>
      <c r="X137" s="53" t="n">
        <f aca="false">IF(AND(ISNUMBER(P137),Q137&gt;0),P137*365/Q137,"")</f>
        <v>0.0816124003434147</v>
      </c>
      <c r="Y137" s="42" t="n">
        <f aca="false">IF(AND(C138=C137,ISNUMBER(R138)),R138,"")</f>
        <v>-0.0841481177731751</v>
      </c>
      <c r="Z137" s="52" t="n">
        <f aca="false">IF(AND(W137=1,Q137&gt;Basis_Analysis!$B$3,ISNUMBER(Y137)),1,0)</f>
        <v>0</v>
      </c>
      <c r="AA137" s="43" t="str">
        <f aca="false">IF(W137=1,IF(SUMIFS($L$2:$L$756,$B$2:$B$756,B137,$W$2:$W$756,2)&gt;0,SUMIFS($L$2:$L$756,$B$2:$B$756,B137,$W$2:$W$756,2),""),"")</f>
        <v/>
      </c>
      <c r="AB137" s="54" t="str">
        <f aca="false">IF(AND(W137=1,ISNUMBER(AA137)),L137/(L137+AA137),"")</f>
        <v/>
      </c>
    </row>
    <row r="138" customFormat="false" ht="15" hidden="false" customHeight="true" outlineLevel="0" collapsed="false">
      <c r="A138" s="1" t="s">
        <v>274</v>
      </c>
      <c r="B138" s="46" t="n">
        <v>45701</v>
      </c>
      <c r="C138" s="46" t="n">
        <v>45771</v>
      </c>
      <c r="D138" s="47" t="n">
        <v>23326.8</v>
      </c>
      <c r="E138" s="47" t="n">
        <v>23583.3</v>
      </c>
      <c r="F138" s="47" t="n">
        <v>23326.8</v>
      </c>
      <c r="G138" s="47" t="n">
        <v>23391.4</v>
      </c>
      <c r="H138" s="47" t="n">
        <v>23385</v>
      </c>
      <c r="I138" s="47" t="n">
        <v>23391.4</v>
      </c>
      <c r="J138" s="48" t="n">
        <v>1808</v>
      </c>
      <c r="K138" s="47" t="n">
        <v>31825.93</v>
      </c>
      <c r="L138" s="48" t="n">
        <v>271275</v>
      </c>
      <c r="M138" s="48" t="n">
        <v>11100</v>
      </c>
      <c r="N138" s="47" t="n">
        <v>23031.4</v>
      </c>
      <c r="O138" s="47" t="n">
        <f aca="false">IF(AND(ISNUMBER(G138),ISNUMBER(N138)),G138-N138,"")</f>
        <v>360</v>
      </c>
      <c r="P138" s="49" t="n">
        <f aca="false">IF(ISNUMBER(O138),O138/N138,"")</f>
        <v>0.0156308344260444</v>
      </c>
      <c r="Q138" s="50" t="n">
        <f aca="false">C138-B138</f>
        <v>70</v>
      </c>
      <c r="R138" s="51" t="n">
        <f aca="false">IF(AND(C138=C137,ISNUMBER(G138),ISNUMBER(G137)),(G138/G137-1)*100,"")</f>
        <v>-0.0841481177731751</v>
      </c>
      <c r="S138" s="51" t="n">
        <f aca="false">IF(AND(C138=C137,ISNUMBER(L138),ISNUMBER(L137)),(L138/L137-1)*100,"")</f>
        <v>4.26635918132026</v>
      </c>
      <c r="T138" s="51" t="n">
        <f aca="false">IF(AND(C138=C137,ISNUMBER(G138),ISNUMBER(G137)),G138-G137,"")</f>
        <v>-19.6999999999971</v>
      </c>
      <c r="U138" s="1" t="str">
        <f aca="false">IF(OR(NOT(ISNUMBER(R138)),NOT(ISNUMBER(S138))),"Not classified",IF(AND(R138&gt;0,S138&gt;0),"Long buildup (interpretation)",IF(AND(R138&lt;0,S138&gt;0),"Short buildup (interpretation)",IF(AND(R138&gt;0,S138&lt;0),"Short covering (interpretation)",IF(AND(R138&lt;0,S138&lt;0),"Long unwinding (interpretation)","Neutral")))))</f>
        <v>Short buildup (interpretation)</v>
      </c>
      <c r="V138" s="52" t="str">
        <f aca="false">TEXT(B138,"yyyy-mm")</f>
        <v>2025-02</v>
      </c>
      <c r="W138" s="52" t="n">
        <f aca="false">1+COUNTIFS($B$2:$B$756,B138,$C$2:$C$756,"&lt;"&amp;C138)</f>
        <v>3</v>
      </c>
      <c r="X138" s="53" t="n">
        <f aca="false">IF(AND(ISNUMBER(P138),Q138&gt;0),P138*365/Q138,"")</f>
        <v>0.0815036366500889</v>
      </c>
      <c r="Y138" s="42" t="n">
        <f aca="false">IF(AND(C139=C138,ISNUMBER(R139)),R139,"")</f>
        <v>-0.485434817924546</v>
      </c>
      <c r="Z138" s="52" t="n">
        <f aca="false">IF(AND(W138=1,Q138&gt;Basis_Analysis!$B$3,ISNUMBER(Y138)),1,0)</f>
        <v>0</v>
      </c>
      <c r="AA138" s="43" t="str">
        <f aca="false">IF(W138=1,IF(SUMIFS($L$2:$L$756,$B$2:$B$756,B138,$W$2:$W$756,2)&gt;0,SUMIFS($L$2:$L$756,$B$2:$B$756,B138,$W$2:$W$756,2),""),"")</f>
        <v/>
      </c>
      <c r="AB138" s="54" t="str">
        <f aca="false">IF(AND(W138=1,ISNUMBER(AA138)),L138/(L138+AA138),"")</f>
        <v/>
      </c>
    </row>
    <row r="139" customFormat="false" ht="15" hidden="false" customHeight="true" outlineLevel="0" collapsed="false">
      <c r="A139" s="1" t="s">
        <v>274</v>
      </c>
      <c r="B139" s="46" t="n">
        <v>45702</v>
      </c>
      <c r="C139" s="46" t="n">
        <v>45771</v>
      </c>
      <c r="D139" s="47" t="n">
        <v>23450.25</v>
      </c>
      <c r="E139" s="47" t="n">
        <v>23482.25</v>
      </c>
      <c r="F139" s="47" t="n">
        <v>23130.05</v>
      </c>
      <c r="G139" s="47" t="n">
        <v>23277.85</v>
      </c>
      <c r="H139" s="47" t="n">
        <v>23254</v>
      </c>
      <c r="I139" s="47" t="n">
        <v>23277.85</v>
      </c>
      <c r="J139" s="48" t="n">
        <v>3254</v>
      </c>
      <c r="K139" s="47" t="n">
        <v>56773.81</v>
      </c>
      <c r="L139" s="48" t="n">
        <v>317925</v>
      </c>
      <c r="M139" s="48" t="n">
        <v>46650</v>
      </c>
      <c r="N139" s="47" t="n">
        <v>22929.25</v>
      </c>
      <c r="O139" s="47" t="n">
        <f aca="false">IF(AND(ISNUMBER(G139),ISNUMBER(N139)),G139-N139,"")</f>
        <v>348.599999999999</v>
      </c>
      <c r="P139" s="49" t="n">
        <f aca="false">IF(ISNUMBER(O139),O139/N139,"")</f>
        <v>0.0152032883762006</v>
      </c>
      <c r="Q139" s="50" t="n">
        <f aca="false">C139-B139</f>
        <v>69</v>
      </c>
      <c r="R139" s="51" t="n">
        <f aca="false">IF(AND(C139=C138,ISNUMBER(G139),ISNUMBER(G138)),(G139/G138-1)*100,"")</f>
        <v>-0.485434817924546</v>
      </c>
      <c r="S139" s="51" t="n">
        <f aca="false">IF(AND(C139=C138,ISNUMBER(L139),ISNUMBER(L138)),(L139/L138-1)*100,"")</f>
        <v>17.1965717445397</v>
      </c>
      <c r="T139" s="51" t="n">
        <f aca="false">IF(AND(C139=C138,ISNUMBER(G139),ISNUMBER(G138)),G139-G138,"")</f>
        <v>-113.550000000003</v>
      </c>
      <c r="U139" s="1" t="str">
        <f aca="false">IF(OR(NOT(ISNUMBER(R139)),NOT(ISNUMBER(S139))),"Not classified",IF(AND(R139&gt;0,S139&gt;0),"Long buildup (interpretation)",IF(AND(R139&lt;0,S139&gt;0),"Short buildup (interpretation)",IF(AND(R139&gt;0,S139&lt;0),"Short covering (interpretation)",IF(AND(R139&lt;0,S139&lt;0),"Long unwinding (interpretation)","Neutral")))))</f>
        <v>Short buildup (interpretation)</v>
      </c>
      <c r="V139" s="52" t="str">
        <f aca="false">TEXT(B139,"yyyy-mm")</f>
        <v>2025-02</v>
      </c>
      <c r="W139" s="52" t="n">
        <f aca="false">1+COUNTIFS($B$2:$B$756,B139,$C$2:$C$756,"&lt;"&amp;C139)</f>
        <v>3</v>
      </c>
      <c r="X139" s="53" t="n">
        <f aca="false">IF(AND(ISNUMBER(P139),Q139&gt;0),P139*365/Q139,"")</f>
        <v>0.0804231921349744</v>
      </c>
      <c r="Y139" s="42" t="n">
        <f aca="false">IF(AND(C140=C139,ISNUMBER(R140)),R140,"")</f>
        <v>0.114271721829984</v>
      </c>
      <c r="Z139" s="52" t="n">
        <f aca="false">IF(AND(W139=1,Q139&gt;Basis_Analysis!$B$3,ISNUMBER(Y139)),1,0)</f>
        <v>0</v>
      </c>
      <c r="AA139" s="43" t="str">
        <f aca="false">IF(W139=1,IF(SUMIFS($L$2:$L$756,$B$2:$B$756,B139,$W$2:$W$756,2)&gt;0,SUMIFS($L$2:$L$756,$B$2:$B$756,B139,$W$2:$W$756,2),""),"")</f>
        <v/>
      </c>
      <c r="AB139" s="54" t="str">
        <f aca="false">IF(AND(W139=1,ISNUMBER(AA139)),L139/(L139+AA139),"")</f>
        <v/>
      </c>
    </row>
    <row r="140" customFormat="false" ht="15" hidden="false" customHeight="true" outlineLevel="0" collapsed="false">
      <c r="A140" s="1" t="s">
        <v>274</v>
      </c>
      <c r="B140" s="46" t="n">
        <v>45705</v>
      </c>
      <c r="C140" s="46" t="n">
        <v>45771</v>
      </c>
      <c r="D140" s="47" t="n">
        <v>23186.05</v>
      </c>
      <c r="E140" s="47" t="n">
        <v>23325</v>
      </c>
      <c r="F140" s="47" t="n">
        <v>23116</v>
      </c>
      <c r="G140" s="47" t="n">
        <v>23304.45</v>
      </c>
      <c r="H140" s="47" t="n">
        <v>23319.35</v>
      </c>
      <c r="I140" s="47" t="n">
        <v>23304.45</v>
      </c>
      <c r="J140" s="48" t="n">
        <v>2629</v>
      </c>
      <c r="K140" s="47" t="n">
        <v>45773.86</v>
      </c>
      <c r="L140" s="48" t="n">
        <v>358425</v>
      </c>
      <c r="M140" s="48" t="n">
        <v>40500</v>
      </c>
      <c r="N140" s="47" t="n">
        <v>22959.5</v>
      </c>
      <c r="O140" s="47" t="n">
        <f aca="false">IF(AND(ISNUMBER(G140),ISNUMBER(N140)),G140-N140,"")</f>
        <v>344.950000000001</v>
      </c>
      <c r="P140" s="49" t="n">
        <f aca="false">IF(ISNUMBER(O140),O140/N140,"")</f>
        <v>0.0150242818876718</v>
      </c>
      <c r="Q140" s="50" t="n">
        <f aca="false">C140-B140</f>
        <v>66</v>
      </c>
      <c r="R140" s="51" t="n">
        <f aca="false">IF(AND(C140=C139,ISNUMBER(G140),ISNUMBER(G139)),(G140/G139-1)*100,"")</f>
        <v>0.114271721829984</v>
      </c>
      <c r="S140" s="51" t="n">
        <f aca="false">IF(AND(C140=C139,ISNUMBER(L140),ISNUMBER(L139)),(L140/L139-1)*100,"")</f>
        <v>12.7388535031847</v>
      </c>
      <c r="T140" s="51" t="n">
        <f aca="false">IF(AND(C140=C139,ISNUMBER(G140),ISNUMBER(G139)),G140-G139,"")</f>
        <v>26.6000000000022</v>
      </c>
      <c r="U140" s="1" t="str">
        <f aca="false">IF(OR(NOT(ISNUMBER(R140)),NOT(ISNUMBER(S140))),"Not classified",IF(AND(R140&gt;0,S140&gt;0),"Long buildup (interpretation)",IF(AND(R140&lt;0,S140&gt;0),"Short buildup (interpretation)",IF(AND(R140&gt;0,S140&lt;0),"Short covering (interpretation)",IF(AND(R140&lt;0,S140&lt;0),"Long unwinding (interpretation)","Neutral")))))</f>
        <v>Long buildup (interpretation)</v>
      </c>
      <c r="V140" s="52" t="str">
        <f aca="false">TEXT(B140,"yyyy-mm")</f>
        <v>2025-02</v>
      </c>
      <c r="W140" s="52" t="n">
        <f aca="false">1+COUNTIFS($B$2:$B$756,B140,$C$2:$C$756,"&lt;"&amp;C140)</f>
        <v>3</v>
      </c>
      <c r="X140" s="53" t="n">
        <f aca="false">IF(AND(ISNUMBER(P140),Q140&gt;0),P140*365/Q140,"")</f>
        <v>0.0830888316515183</v>
      </c>
      <c r="Y140" s="42" t="n">
        <f aca="false">IF(AND(C141=C140,ISNUMBER(R141)),R141,"")</f>
        <v>-0.228711683820038</v>
      </c>
      <c r="Z140" s="52" t="n">
        <f aca="false">IF(AND(W140=1,Q140&gt;Basis_Analysis!$B$3,ISNUMBER(Y140)),1,0)</f>
        <v>0</v>
      </c>
      <c r="AA140" s="43" t="str">
        <f aca="false">IF(W140=1,IF(SUMIFS($L$2:$L$756,$B$2:$B$756,B140,$W$2:$W$756,2)&gt;0,SUMIFS($L$2:$L$756,$B$2:$B$756,B140,$W$2:$W$756,2),""),"")</f>
        <v/>
      </c>
      <c r="AB140" s="54" t="str">
        <f aca="false">IF(AND(W140=1,ISNUMBER(AA140)),L140/(L140+AA140),"")</f>
        <v/>
      </c>
    </row>
    <row r="141" customFormat="false" ht="15" hidden="false" customHeight="true" outlineLevel="0" collapsed="false">
      <c r="A141" s="1" t="s">
        <v>274</v>
      </c>
      <c r="B141" s="46" t="n">
        <v>45706</v>
      </c>
      <c r="C141" s="46" t="n">
        <v>45771</v>
      </c>
      <c r="D141" s="47" t="n">
        <v>23362.85</v>
      </c>
      <c r="E141" s="47" t="n">
        <v>23362.85</v>
      </c>
      <c r="F141" s="47" t="n">
        <v>23121.85</v>
      </c>
      <c r="G141" s="47" t="n">
        <v>23251.15</v>
      </c>
      <c r="H141" s="47" t="n">
        <v>23235</v>
      </c>
      <c r="I141" s="47" t="n">
        <v>23251.15</v>
      </c>
      <c r="J141" s="48" t="n">
        <v>2166</v>
      </c>
      <c r="K141" s="47" t="n">
        <v>37714.22</v>
      </c>
      <c r="L141" s="48" t="n">
        <v>383025</v>
      </c>
      <c r="M141" s="48" t="n">
        <v>24600</v>
      </c>
      <c r="N141" s="47" t="n">
        <v>22945.3</v>
      </c>
      <c r="O141" s="47" t="n">
        <f aca="false">IF(AND(ISNUMBER(G141),ISNUMBER(N141)),G141-N141,"")</f>
        <v>305.850000000002</v>
      </c>
      <c r="P141" s="49" t="n">
        <f aca="false">IF(ISNUMBER(O141),O141/N141,"")</f>
        <v>0.0133295271798583</v>
      </c>
      <c r="Q141" s="50" t="n">
        <f aca="false">C141-B141</f>
        <v>65</v>
      </c>
      <c r="R141" s="51" t="n">
        <f aca="false">IF(AND(C141=C140,ISNUMBER(G141),ISNUMBER(G140)),(G141/G140-1)*100,"")</f>
        <v>-0.228711683820038</v>
      </c>
      <c r="S141" s="51" t="n">
        <f aca="false">IF(AND(C141=C140,ISNUMBER(L141),ISNUMBER(L140)),(L141/L140-1)*100,"")</f>
        <v>6.86336053567691</v>
      </c>
      <c r="T141" s="51" t="n">
        <f aca="false">IF(AND(C141=C140,ISNUMBER(G141),ISNUMBER(G140)),G141-G140,"")</f>
        <v>-53.2999999999993</v>
      </c>
      <c r="U141" s="1" t="str">
        <f aca="false">IF(OR(NOT(ISNUMBER(R141)),NOT(ISNUMBER(S141))),"Not classified",IF(AND(R141&gt;0,S141&gt;0),"Long buildup (interpretation)",IF(AND(R141&lt;0,S141&gt;0),"Short buildup (interpretation)",IF(AND(R141&gt;0,S141&lt;0),"Short covering (interpretation)",IF(AND(R141&lt;0,S141&lt;0),"Long unwinding (interpretation)","Neutral")))))</f>
        <v>Short buildup (interpretation)</v>
      </c>
      <c r="V141" s="52" t="str">
        <f aca="false">TEXT(B141,"yyyy-mm")</f>
        <v>2025-02</v>
      </c>
      <c r="W141" s="52" t="n">
        <f aca="false">1+COUNTIFS($B$2:$B$756,B141,$C$2:$C$756,"&lt;"&amp;C141)</f>
        <v>3</v>
      </c>
      <c r="X141" s="53" t="n">
        <f aca="false">IF(AND(ISNUMBER(P141),Q141&gt;0),P141*365/Q141,"")</f>
        <v>0.0748504218561273</v>
      </c>
      <c r="Y141" s="42" t="n">
        <f aca="false">IF(AND(C142=C141,ISNUMBER(R142)),R142,"")</f>
        <v>-0.0178485795326311</v>
      </c>
      <c r="Z141" s="52" t="n">
        <f aca="false">IF(AND(W141=1,Q141&gt;Basis_Analysis!$B$3,ISNUMBER(Y141)),1,0)</f>
        <v>0</v>
      </c>
      <c r="AA141" s="43" t="str">
        <f aca="false">IF(W141=1,IF(SUMIFS($L$2:$L$756,$B$2:$B$756,B141,$W$2:$W$756,2)&gt;0,SUMIFS($L$2:$L$756,$B$2:$B$756,B141,$W$2:$W$756,2),""),"")</f>
        <v/>
      </c>
      <c r="AB141" s="54" t="str">
        <f aca="false">IF(AND(W141=1,ISNUMBER(AA141)),L141/(L141+AA141),"")</f>
        <v/>
      </c>
    </row>
    <row r="142" customFormat="false" ht="15" hidden="false" customHeight="true" outlineLevel="0" collapsed="false">
      <c r="A142" s="1" t="s">
        <v>274</v>
      </c>
      <c r="B142" s="46" t="n">
        <v>45707</v>
      </c>
      <c r="C142" s="46" t="n">
        <v>45771</v>
      </c>
      <c r="D142" s="47" t="n">
        <v>23250</v>
      </c>
      <c r="E142" s="47" t="n">
        <v>23380.9</v>
      </c>
      <c r="F142" s="47" t="n">
        <v>23160</v>
      </c>
      <c r="G142" s="47" t="n">
        <v>23247</v>
      </c>
      <c r="H142" s="47" t="n">
        <v>23241</v>
      </c>
      <c r="I142" s="47" t="n">
        <v>23247</v>
      </c>
      <c r="J142" s="48" t="n">
        <v>2576</v>
      </c>
      <c r="K142" s="47" t="n">
        <v>44963.84</v>
      </c>
      <c r="L142" s="48" t="n">
        <v>427500</v>
      </c>
      <c r="M142" s="48" t="n">
        <v>44475</v>
      </c>
      <c r="N142" s="47" t="n">
        <v>22932.9</v>
      </c>
      <c r="O142" s="47" t="n">
        <f aca="false">IF(AND(ISNUMBER(G142),ISNUMBER(N142)),G142-N142,"")</f>
        <v>314.099999999999</v>
      </c>
      <c r="P142" s="49" t="n">
        <f aca="false">IF(ISNUMBER(O142),O142/N142,"")</f>
        <v>0.0136964797299948</v>
      </c>
      <c r="Q142" s="50" t="n">
        <f aca="false">C142-B142</f>
        <v>64</v>
      </c>
      <c r="R142" s="51" t="n">
        <f aca="false">IF(AND(C142=C141,ISNUMBER(G142),ISNUMBER(G141)),(G142/G141-1)*100,"")</f>
        <v>-0.0178485795326311</v>
      </c>
      <c r="S142" s="51" t="n">
        <f aca="false">IF(AND(C142=C141,ISNUMBER(L142),ISNUMBER(L141)),(L142/L141-1)*100,"")</f>
        <v>11.6115136087723</v>
      </c>
      <c r="T142" s="51" t="n">
        <f aca="false">IF(AND(C142=C141,ISNUMBER(G142),ISNUMBER(G141)),G142-G141,"")</f>
        <v>-4.15000000000146</v>
      </c>
      <c r="U142" s="1" t="str">
        <f aca="false">IF(OR(NOT(ISNUMBER(R142)),NOT(ISNUMBER(S142))),"Not classified",IF(AND(R142&gt;0,S142&gt;0),"Long buildup (interpretation)",IF(AND(R142&lt;0,S142&gt;0),"Short buildup (interpretation)",IF(AND(R142&gt;0,S142&lt;0),"Short covering (interpretation)",IF(AND(R142&lt;0,S142&lt;0),"Long unwinding (interpretation)","Neutral")))))</f>
        <v>Short buildup (interpretation)</v>
      </c>
      <c r="V142" s="52" t="str">
        <f aca="false">TEXT(B142,"yyyy-mm")</f>
        <v>2025-02</v>
      </c>
      <c r="W142" s="52" t="n">
        <f aca="false">1+COUNTIFS($B$2:$B$756,B142,$C$2:$C$756,"&lt;"&amp;C142)</f>
        <v>3</v>
      </c>
      <c r="X142" s="53" t="n">
        <f aca="false">IF(AND(ISNUMBER(P142),Q142&gt;0),P142*365/Q142,"")</f>
        <v>0.0781127359601268</v>
      </c>
      <c r="Y142" s="42" t="n">
        <f aca="false">IF(AND(C143=C142,ISNUMBER(R143)),R143,"")</f>
        <v>-0.0883985030326495</v>
      </c>
      <c r="Z142" s="52" t="n">
        <f aca="false">IF(AND(W142=1,Q142&gt;Basis_Analysis!$B$3,ISNUMBER(Y142)),1,0)</f>
        <v>0</v>
      </c>
      <c r="AA142" s="43" t="str">
        <f aca="false">IF(W142=1,IF(SUMIFS($L$2:$L$756,$B$2:$B$756,B142,$W$2:$W$756,2)&gt;0,SUMIFS($L$2:$L$756,$B$2:$B$756,B142,$W$2:$W$756,2),""),"")</f>
        <v/>
      </c>
      <c r="AB142" s="54" t="str">
        <f aca="false">IF(AND(W142=1,ISNUMBER(AA142)),L142/(L142+AA142),"")</f>
        <v/>
      </c>
    </row>
    <row r="143" customFormat="false" ht="15" hidden="false" customHeight="true" outlineLevel="0" collapsed="false">
      <c r="A143" s="1" t="s">
        <v>274</v>
      </c>
      <c r="B143" s="46" t="n">
        <v>45708</v>
      </c>
      <c r="C143" s="46" t="n">
        <v>45771</v>
      </c>
      <c r="D143" s="47" t="n">
        <v>23201</v>
      </c>
      <c r="E143" s="47" t="n">
        <v>23241.85</v>
      </c>
      <c r="F143" s="47" t="n">
        <v>23145</v>
      </c>
      <c r="G143" s="47" t="n">
        <v>23226.45</v>
      </c>
      <c r="H143" s="47" t="n">
        <v>23225</v>
      </c>
      <c r="I143" s="47" t="n">
        <v>23226.45</v>
      </c>
      <c r="J143" s="48" t="n">
        <v>1474</v>
      </c>
      <c r="K143" s="47" t="n">
        <v>25653.28</v>
      </c>
      <c r="L143" s="48" t="n">
        <v>452850</v>
      </c>
      <c r="M143" s="48" t="n">
        <v>25350</v>
      </c>
      <c r="N143" s="47" t="n">
        <v>22913.15</v>
      </c>
      <c r="O143" s="47" t="n">
        <f aca="false">IF(AND(ISNUMBER(G143),ISNUMBER(N143)),G143-N143,"")</f>
        <v>313.299999999999</v>
      </c>
      <c r="P143" s="49" t="n">
        <f aca="false">IF(ISNUMBER(O143),O143/N143,"")</f>
        <v>0.0136733709681995</v>
      </c>
      <c r="Q143" s="50" t="n">
        <f aca="false">C143-B143</f>
        <v>63</v>
      </c>
      <c r="R143" s="51" t="n">
        <f aca="false">IF(AND(C143=C142,ISNUMBER(G143),ISNUMBER(G142)),(G143/G142-1)*100,"")</f>
        <v>-0.0883985030326495</v>
      </c>
      <c r="S143" s="51" t="n">
        <f aca="false">IF(AND(C143=C142,ISNUMBER(L143),ISNUMBER(L142)),(L143/L142-1)*100,"")</f>
        <v>5.92982456140352</v>
      </c>
      <c r="T143" s="51" t="n">
        <f aca="false">IF(AND(C143=C142,ISNUMBER(G143),ISNUMBER(G142)),G143-G142,"")</f>
        <v>-20.5499999999993</v>
      </c>
      <c r="U143" s="1" t="str">
        <f aca="false">IF(OR(NOT(ISNUMBER(R143)),NOT(ISNUMBER(S143))),"Not classified",IF(AND(R143&gt;0,S143&gt;0),"Long buildup (interpretation)",IF(AND(R143&lt;0,S143&gt;0),"Short buildup (interpretation)",IF(AND(R143&gt;0,S143&lt;0),"Short covering (interpretation)",IF(AND(R143&lt;0,S143&lt;0),"Long unwinding (interpretation)","Neutral")))))</f>
        <v>Short buildup (interpretation)</v>
      </c>
      <c r="V143" s="52" t="str">
        <f aca="false">TEXT(B143,"yyyy-mm")</f>
        <v>2025-02</v>
      </c>
      <c r="W143" s="52" t="n">
        <f aca="false">1+COUNTIFS($B$2:$B$756,B143,$C$2:$C$756,"&lt;"&amp;C143)</f>
        <v>3</v>
      </c>
      <c r="X143" s="53" t="n">
        <f aca="false">IF(AND(ISNUMBER(P143),Q143&gt;0),P143*365/Q143,"")</f>
        <v>0.0792187365617905</v>
      </c>
      <c r="Y143" s="42" t="n">
        <f aca="false">IF(AND(C144=C143,ISNUMBER(R144)),R144,"")</f>
        <v>-0.522249418227927</v>
      </c>
      <c r="Z143" s="52" t="n">
        <f aca="false">IF(AND(W143=1,Q143&gt;Basis_Analysis!$B$3,ISNUMBER(Y143)),1,0)</f>
        <v>0</v>
      </c>
      <c r="AA143" s="43" t="str">
        <f aca="false">IF(W143=1,IF(SUMIFS($L$2:$L$756,$B$2:$B$756,B143,$W$2:$W$756,2)&gt;0,SUMIFS($L$2:$L$756,$B$2:$B$756,B143,$W$2:$W$756,2),""),"")</f>
        <v/>
      </c>
      <c r="AB143" s="54" t="str">
        <f aca="false">IF(AND(W143=1,ISNUMBER(AA143)),L143/(L143+AA143),"")</f>
        <v/>
      </c>
    </row>
    <row r="144" customFormat="false" ht="15" hidden="false" customHeight="true" outlineLevel="0" collapsed="false">
      <c r="A144" s="1" t="s">
        <v>274</v>
      </c>
      <c r="B144" s="46" t="n">
        <v>45709</v>
      </c>
      <c r="C144" s="46" t="n">
        <v>45771</v>
      </c>
      <c r="D144" s="47" t="n">
        <v>23210.6</v>
      </c>
      <c r="E144" s="47" t="n">
        <v>23223.45</v>
      </c>
      <c r="F144" s="47" t="n">
        <v>23053.05</v>
      </c>
      <c r="G144" s="47" t="n">
        <v>23105.15</v>
      </c>
      <c r="H144" s="47" t="n">
        <v>23085</v>
      </c>
      <c r="I144" s="47" t="n">
        <v>23105.15</v>
      </c>
      <c r="J144" s="48" t="n">
        <v>3062</v>
      </c>
      <c r="K144" s="47" t="n">
        <v>53096.76</v>
      </c>
      <c r="L144" s="48" t="n">
        <v>507225</v>
      </c>
      <c r="M144" s="48" t="n">
        <v>54375</v>
      </c>
      <c r="N144" s="47" t="n">
        <v>22795.9</v>
      </c>
      <c r="O144" s="47" t="n">
        <f aca="false">IF(AND(ISNUMBER(G144),ISNUMBER(N144)),G144-N144,"")</f>
        <v>309.25</v>
      </c>
      <c r="P144" s="49" t="n">
        <f aca="false">IF(ISNUMBER(O144),O144/N144,"")</f>
        <v>0.0135660359977013</v>
      </c>
      <c r="Q144" s="50" t="n">
        <f aca="false">C144-B144</f>
        <v>62</v>
      </c>
      <c r="R144" s="51" t="n">
        <f aca="false">IF(AND(C144=C143,ISNUMBER(G144),ISNUMBER(G143)),(G144/G143-1)*100,"")</f>
        <v>-0.522249418227927</v>
      </c>
      <c r="S144" s="51" t="n">
        <f aca="false">IF(AND(C144=C143,ISNUMBER(L144),ISNUMBER(L143)),(L144/L143-1)*100,"")</f>
        <v>12.0072871811858</v>
      </c>
      <c r="T144" s="51" t="n">
        <f aca="false">IF(AND(C144=C143,ISNUMBER(G144),ISNUMBER(G143)),G144-G143,"")</f>
        <v>-121.299999999999</v>
      </c>
      <c r="U144" s="1" t="str">
        <f aca="false">IF(OR(NOT(ISNUMBER(R144)),NOT(ISNUMBER(S144))),"Not classified",IF(AND(R144&gt;0,S144&gt;0),"Long buildup (interpretation)",IF(AND(R144&lt;0,S144&gt;0),"Short buildup (interpretation)",IF(AND(R144&gt;0,S144&lt;0),"Short covering (interpretation)",IF(AND(R144&lt;0,S144&lt;0),"Long unwinding (interpretation)","Neutral")))))</f>
        <v>Short buildup (interpretation)</v>
      </c>
      <c r="V144" s="52" t="str">
        <f aca="false">TEXT(B144,"yyyy-mm")</f>
        <v>2025-02</v>
      </c>
      <c r="W144" s="52" t="n">
        <f aca="false">1+COUNTIFS($B$2:$B$756,B144,$C$2:$C$756,"&lt;"&amp;C144)</f>
        <v>3</v>
      </c>
      <c r="X144" s="53" t="n">
        <f aca="false">IF(AND(ISNUMBER(P144),Q144&gt;0),P144*365/Q144,"")</f>
        <v>0.0798645667606611</v>
      </c>
      <c r="Y144" s="42" t="n">
        <f aca="false">IF(AND(C145=C144,ISNUMBER(R145)),R145,"")</f>
        <v>-0.909104680125439</v>
      </c>
      <c r="Z144" s="52" t="n">
        <f aca="false">IF(AND(W144=1,Q144&gt;Basis_Analysis!$B$3,ISNUMBER(Y144)),1,0)</f>
        <v>0</v>
      </c>
      <c r="AA144" s="43" t="str">
        <f aca="false">IF(W144=1,IF(SUMIFS($L$2:$L$756,$B$2:$B$756,B144,$W$2:$W$756,2)&gt;0,SUMIFS($L$2:$L$756,$B$2:$B$756,B144,$W$2:$W$756,2),""),"")</f>
        <v/>
      </c>
      <c r="AB144" s="54" t="str">
        <f aca="false">IF(AND(W144=1,ISNUMBER(AA144)),L144/(L144+AA144),"")</f>
        <v/>
      </c>
    </row>
    <row r="145" customFormat="false" ht="15" hidden="false" customHeight="true" outlineLevel="0" collapsed="false">
      <c r="A145" s="1" t="s">
        <v>274</v>
      </c>
      <c r="B145" s="46" t="n">
        <v>45712</v>
      </c>
      <c r="C145" s="46" t="n">
        <v>45771</v>
      </c>
      <c r="D145" s="47" t="n">
        <v>23005</v>
      </c>
      <c r="E145" s="47" t="n">
        <v>23005</v>
      </c>
      <c r="F145" s="47" t="n">
        <v>22860</v>
      </c>
      <c r="G145" s="47" t="n">
        <v>22895.1</v>
      </c>
      <c r="H145" s="47" t="n">
        <v>22886.1</v>
      </c>
      <c r="I145" s="47" t="n">
        <v>22895.1</v>
      </c>
      <c r="J145" s="48" t="n">
        <v>4112</v>
      </c>
      <c r="K145" s="47" t="n">
        <v>70669.19</v>
      </c>
      <c r="L145" s="48" t="n">
        <v>575100</v>
      </c>
      <c r="M145" s="48" t="n">
        <v>67875</v>
      </c>
      <c r="N145" s="47" t="n">
        <v>22553.35</v>
      </c>
      <c r="O145" s="47" t="n">
        <f aca="false">IF(AND(ISNUMBER(G145),ISNUMBER(N145)),G145-N145,"")</f>
        <v>341.75</v>
      </c>
      <c r="P145" s="49" t="n">
        <f aca="false">IF(ISNUMBER(O145),O145/N145,"")</f>
        <v>0.0151529595381617</v>
      </c>
      <c r="Q145" s="50" t="n">
        <f aca="false">C145-B145</f>
        <v>59</v>
      </c>
      <c r="R145" s="51" t="n">
        <f aca="false">IF(AND(C145=C144,ISNUMBER(G145),ISNUMBER(G144)),(G145/G144-1)*100,"")</f>
        <v>-0.909104680125439</v>
      </c>
      <c r="S145" s="51" t="n">
        <f aca="false">IF(AND(C145=C144,ISNUMBER(L145),ISNUMBER(L144)),(L145/L144-1)*100,"")</f>
        <v>13.3816353689191</v>
      </c>
      <c r="T145" s="51" t="n">
        <f aca="false">IF(AND(C145=C144,ISNUMBER(G145),ISNUMBER(G144)),G145-G144,"")</f>
        <v>-210.050000000003</v>
      </c>
      <c r="U145" s="1" t="str">
        <f aca="false">IF(OR(NOT(ISNUMBER(R145)),NOT(ISNUMBER(S145))),"Not classified",IF(AND(R145&gt;0,S145&gt;0),"Long buildup (interpretation)",IF(AND(R145&lt;0,S145&gt;0),"Short buildup (interpretation)",IF(AND(R145&gt;0,S145&lt;0),"Short covering (interpretation)",IF(AND(R145&lt;0,S145&lt;0),"Long unwinding (interpretation)","Neutral")))))</f>
        <v>Short buildup (interpretation)</v>
      </c>
      <c r="V145" s="52" t="str">
        <f aca="false">TEXT(B145,"yyyy-mm")</f>
        <v>2025-02</v>
      </c>
      <c r="W145" s="52" t="n">
        <f aca="false">1+COUNTIFS($B$2:$B$756,B145,$C$2:$C$756,"&lt;"&amp;C145)</f>
        <v>3</v>
      </c>
      <c r="X145" s="53" t="n">
        <f aca="false">IF(AND(ISNUMBER(P145),Q145&gt;0),P145*365/Q145,"")</f>
        <v>0.0937428852784582</v>
      </c>
      <c r="Y145" s="42" t="n">
        <f aca="false">IF(AND(C146=C145,ISNUMBER(R146)),R146,"")</f>
        <v>-0.123607234735812</v>
      </c>
      <c r="Z145" s="52" t="n">
        <f aca="false">IF(AND(W145=1,Q145&gt;Basis_Analysis!$B$3,ISNUMBER(Y145)),1,0)</f>
        <v>0</v>
      </c>
      <c r="AA145" s="43" t="str">
        <f aca="false">IF(W145=1,IF(SUMIFS($L$2:$L$756,$B$2:$B$756,B145,$W$2:$W$756,2)&gt;0,SUMIFS($L$2:$L$756,$B$2:$B$756,B145,$W$2:$W$756,2),""),"")</f>
        <v/>
      </c>
      <c r="AB145" s="54" t="str">
        <f aca="false">IF(AND(W145=1,ISNUMBER(AA145)),L145/(L145+AA145),"")</f>
        <v/>
      </c>
    </row>
    <row r="146" customFormat="false" ht="15" hidden="false" customHeight="true" outlineLevel="0" collapsed="false">
      <c r="A146" s="1" t="s">
        <v>274</v>
      </c>
      <c r="B146" s="46" t="n">
        <v>45713</v>
      </c>
      <c r="C146" s="46" t="n">
        <v>45771</v>
      </c>
      <c r="D146" s="47" t="n">
        <v>22875</v>
      </c>
      <c r="E146" s="47" t="n">
        <v>22925.9</v>
      </c>
      <c r="F146" s="47" t="n">
        <v>22844.2</v>
      </c>
      <c r="G146" s="47" t="n">
        <v>22866.8</v>
      </c>
      <c r="H146" s="47" t="n">
        <v>22858.25</v>
      </c>
      <c r="I146" s="47" t="n">
        <v>22866.8</v>
      </c>
      <c r="J146" s="48" t="n">
        <v>3397</v>
      </c>
      <c r="K146" s="47" t="n">
        <v>58295.82</v>
      </c>
      <c r="L146" s="48" t="n">
        <v>676725</v>
      </c>
      <c r="M146" s="48" t="n">
        <v>101625</v>
      </c>
      <c r="N146" s="47" t="n">
        <v>22547.55</v>
      </c>
      <c r="O146" s="47" t="n">
        <f aca="false">IF(AND(ISNUMBER(G146),ISNUMBER(N146)),G146-N146,"")</f>
        <v>319.25</v>
      </c>
      <c r="P146" s="49" t="n">
        <f aca="false">IF(ISNUMBER(O146),O146/N146,"")</f>
        <v>0.0141589662734976</v>
      </c>
      <c r="Q146" s="50" t="n">
        <f aca="false">C146-B146</f>
        <v>58</v>
      </c>
      <c r="R146" s="51" t="n">
        <f aca="false">IF(AND(C146=C145,ISNUMBER(G146),ISNUMBER(G145)),(G146/G145-1)*100,"")</f>
        <v>-0.123607234735812</v>
      </c>
      <c r="S146" s="51" t="n">
        <f aca="false">IF(AND(C146=C145,ISNUMBER(L146),ISNUMBER(L145)),(L146/L145-1)*100,"")</f>
        <v>17.6708398539384</v>
      </c>
      <c r="T146" s="51" t="n">
        <f aca="false">IF(AND(C146=C145,ISNUMBER(G146),ISNUMBER(G145)),G146-G145,"")</f>
        <v>-28.2999999999993</v>
      </c>
      <c r="U146" s="1" t="str">
        <f aca="false">IF(OR(NOT(ISNUMBER(R146)),NOT(ISNUMBER(S146))),"Not classified",IF(AND(R146&gt;0,S146&gt;0),"Long buildup (interpretation)",IF(AND(R146&lt;0,S146&gt;0),"Short buildup (interpretation)",IF(AND(R146&gt;0,S146&lt;0),"Short covering (interpretation)",IF(AND(R146&lt;0,S146&lt;0),"Long unwinding (interpretation)","Neutral")))))</f>
        <v>Short buildup (interpretation)</v>
      </c>
      <c r="V146" s="52" t="str">
        <f aca="false">TEXT(B146,"yyyy-mm")</f>
        <v>2025-02</v>
      </c>
      <c r="W146" s="52" t="n">
        <f aca="false">1+COUNTIFS($B$2:$B$756,B146,$C$2:$C$756,"&lt;"&amp;C146)</f>
        <v>3</v>
      </c>
      <c r="X146" s="53" t="n">
        <f aca="false">IF(AND(ISNUMBER(P146),Q146&gt;0),P146*365/Q146,"")</f>
        <v>0.0891038394797692</v>
      </c>
      <c r="Y146" s="42" t="n">
        <f aca="false">IF(AND(C147=C146,ISNUMBER(R147)),R147,"")</f>
        <v>-0.137098325957274</v>
      </c>
      <c r="Z146" s="52" t="n">
        <f aca="false">IF(AND(W146=1,Q146&gt;Basis_Analysis!$B$3,ISNUMBER(Y146)),1,0)</f>
        <v>0</v>
      </c>
      <c r="AA146" s="43" t="str">
        <f aca="false">IF(W146=1,IF(SUMIFS($L$2:$L$756,$B$2:$B$756,B146,$W$2:$W$756,2)&gt;0,SUMIFS($L$2:$L$756,$B$2:$B$756,B146,$W$2:$W$756,2),""),"")</f>
        <v/>
      </c>
      <c r="AB146" s="54" t="str">
        <f aca="false">IF(AND(W146=1,ISNUMBER(AA146)),L146/(L146+AA146),"")</f>
        <v/>
      </c>
    </row>
    <row r="147" customFormat="false" ht="15" hidden="false" customHeight="true" outlineLevel="0" collapsed="false">
      <c r="A147" s="1" t="s">
        <v>274</v>
      </c>
      <c r="B147" s="46" t="n">
        <v>45715</v>
      </c>
      <c r="C147" s="46" t="n">
        <v>45771</v>
      </c>
      <c r="D147" s="47" t="n">
        <v>22850</v>
      </c>
      <c r="E147" s="47" t="n">
        <v>22893.9</v>
      </c>
      <c r="F147" s="47" t="n">
        <v>22810.5</v>
      </c>
      <c r="G147" s="47" t="n">
        <v>22835.45</v>
      </c>
      <c r="H147" s="47" t="n">
        <v>22815</v>
      </c>
      <c r="I147" s="47" t="n">
        <v>22835.45</v>
      </c>
      <c r="J147" s="48" t="n">
        <v>6349</v>
      </c>
      <c r="K147" s="47" t="n">
        <v>108793.8</v>
      </c>
      <c r="L147" s="48" t="n">
        <v>882975</v>
      </c>
      <c r="M147" s="48" t="n">
        <v>206250</v>
      </c>
      <c r="N147" s="47" t="n">
        <v>22545.05</v>
      </c>
      <c r="O147" s="47" t="n">
        <f aca="false">IF(AND(ISNUMBER(G147),ISNUMBER(N147)),G147-N147,"")</f>
        <v>290.400000000001</v>
      </c>
      <c r="P147" s="49" t="n">
        <f aca="false">IF(ISNUMBER(O147),O147/N147,"")</f>
        <v>0.0128808762899174</v>
      </c>
      <c r="Q147" s="50" t="n">
        <f aca="false">C147-B147</f>
        <v>56</v>
      </c>
      <c r="R147" s="51" t="n">
        <f aca="false">IF(AND(C147=C146,ISNUMBER(G147),ISNUMBER(G146)),(G147/G146-1)*100,"")</f>
        <v>-0.137098325957274</v>
      </c>
      <c r="S147" s="51" t="n">
        <f aca="false">IF(AND(C147=C146,ISNUMBER(L147),ISNUMBER(L146)),(L147/L146-1)*100,"")</f>
        <v>30.4776681813144</v>
      </c>
      <c r="T147" s="51" t="n">
        <f aca="false">IF(AND(C147=C146,ISNUMBER(G147),ISNUMBER(G146)),G147-G146,"")</f>
        <v>-31.3499999999985</v>
      </c>
      <c r="U147" s="1" t="str">
        <f aca="false">IF(OR(NOT(ISNUMBER(R147)),NOT(ISNUMBER(S147))),"Not classified",IF(AND(R147&gt;0,S147&gt;0),"Long buildup (interpretation)",IF(AND(R147&lt;0,S147&gt;0),"Short buildup (interpretation)",IF(AND(R147&gt;0,S147&lt;0),"Short covering (interpretation)",IF(AND(R147&lt;0,S147&lt;0),"Long unwinding (interpretation)","Neutral")))))</f>
        <v>Short buildup (interpretation)</v>
      </c>
      <c r="V147" s="52" t="str">
        <f aca="false">TEXT(B147,"yyyy-mm")</f>
        <v>2025-02</v>
      </c>
      <c r="W147" s="52" t="n">
        <f aca="false">1+COUNTIFS($B$2:$B$756,B147,$C$2:$C$756,"&lt;"&amp;C147)</f>
        <v>3</v>
      </c>
      <c r="X147" s="53" t="n">
        <f aca="false">IF(AND(ISNUMBER(P147),Q147&gt;0),P147*365/Q147,"")</f>
        <v>0.0839557115324971</v>
      </c>
      <c r="Y147" s="42" t="n">
        <f aca="false">IF(AND(C148=C147,ISNUMBER(R148)),R148,"")</f>
        <v>-1.76917906150306</v>
      </c>
      <c r="Z147" s="52" t="n">
        <f aca="false">IF(AND(W147=1,Q147&gt;Basis_Analysis!$B$3,ISNUMBER(Y147)),1,0)</f>
        <v>0</v>
      </c>
      <c r="AA147" s="43" t="str">
        <f aca="false">IF(W147=1,IF(SUMIFS($L$2:$L$756,$B$2:$B$756,B147,$W$2:$W$756,2)&gt;0,SUMIFS($L$2:$L$756,$B$2:$B$756,B147,$W$2:$W$756,2),""),"")</f>
        <v/>
      </c>
      <c r="AB147" s="54" t="str">
        <f aca="false">IF(AND(W147=1,ISNUMBER(AA147)),L147/(L147+AA147),"")</f>
        <v/>
      </c>
    </row>
    <row r="148" customFormat="false" ht="15" hidden="false" customHeight="true" outlineLevel="0" collapsed="false">
      <c r="A148" s="1" t="s">
        <v>274</v>
      </c>
      <c r="B148" s="46" t="n">
        <v>45716</v>
      </c>
      <c r="C148" s="46" t="n">
        <v>45771</v>
      </c>
      <c r="D148" s="47" t="n">
        <v>22702</v>
      </c>
      <c r="E148" s="47" t="n">
        <v>22731.45</v>
      </c>
      <c r="F148" s="47" t="n">
        <v>22390</v>
      </c>
      <c r="G148" s="47" t="n">
        <v>22431.45</v>
      </c>
      <c r="H148" s="47" t="n">
        <v>22434.45</v>
      </c>
      <c r="I148" s="47" t="n">
        <v>22431.45</v>
      </c>
      <c r="J148" s="48" t="n">
        <v>9472</v>
      </c>
      <c r="K148" s="47" t="n">
        <v>159956.79</v>
      </c>
      <c r="L148" s="48" t="n">
        <v>991950</v>
      </c>
      <c r="M148" s="48" t="n">
        <v>108975</v>
      </c>
      <c r="N148" s="47" t="n">
        <v>22124.7</v>
      </c>
      <c r="O148" s="47" t="n">
        <f aca="false">IF(AND(ISNUMBER(G148),ISNUMBER(N148)),G148-N148,"")</f>
        <v>306.75</v>
      </c>
      <c r="P148" s="49" t="n">
        <f aca="false">IF(ISNUMBER(O148),O148/N148,"")</f>
        <v>0.0138645947741664</v>
      </c>
      <c r="Q148" s="50" t="n">
        <f aca="false">C148-B148</f>
        <v>55</v>
      </c>
      <c r="R148" s="51" t="n">
        <f aca="false">IF(AND(C148=C147,ISNUMBER(G148),ISNUMBER(G147)),(G148/G147-1)*100,"")</f>
        <v>-1.76917906150306</v>
      </c>
      <c r="S148" s="51" t="n">
        <f aca="false">IF(AND(C148=C147,ISNUMBER(L148),ISNUMBER(L147)),(L148/L147-1)*100,"")</f>
        <v>12.3417990316827</v>
      </c>
      <c r="T148" s="51" t="n">
        <f aca="false">IF(AND(C148=C147,ISNUMBER(G148),ISNUMBER(G147)),G148-G147,"")</f>
        <v>-404</v>
      </c>
      <c r="U148" s="1" t="str">
        <f aca="false">IF(OR(NOT(ISNUMBER(R148)),NOT(ISNUMBER(S148))),"Not classified",IF(AND(R148&gt;0,S148&gt;0),"Long buildup (interpretation)",IF(AND(R148&lt;0,S148&gt;0),"Short buildup (interpretation)",IF(AND(R148&gt;0,S148&lt;0),"Short covering (interpretation)",IF(AND(R148&lt;0,S148&lt;0),"Long unwinding (interpretation)","Neutral")))))</f>
        <v>Short buildup (interpretation)</v>
      </c>
      <c r="V148" s="52" t="str">
        <f aca="false">TEXT(B148,"yyyy-mm")</f>
        <v>2025-02</v>
      </c>
      <c r="W148" s="52" t="n">
        <f aca="false">1+COUNTIFS($B$2:$B$756,B148,$C$2:$C$756,"&lt;"&amp;C148)</f>
        <v>2</v>
      </c>
      <c r="X148" s="53" t="n">
        <f aca="false">IF(AND(ISNUMBER(P148),Q148&gt;0),P148*365/Q148,"")</f>
        <v>0.0920104925921954</v>
      </c>
      <c r="Y148" s="42" t="n">
        <f aca="false">IF(AND(C149=C148,ISNUMBER(R149)),R149,"")</f>
        <v>-0.109890354836628</v>
      </c>
      <c r="Z148" s="52" t="n">
        <f aca="false">IF(AND(W148=1,Q148&gt;Basis_Analysis!$B$3,ISNUMBER(Y148)),1,0)</f>
        <v>0</v>
      </c>
      <c r="AA148" s="43" t="str">
        <f aca="false">IF(W148=1,IF(SUMIFS($L$2:$L$756,$B$2:$B$756,B148,$W$2:$W$756,2)&gt;0,SUMIFS($L$2:$L$756,$B$2:$B$756,B148,$W$2:$W$756,2),""),"")</f>
        <v/>
      </c>
      <c r="AB148" s="54" t="str">
        <f aca="false">IF(AND(W148=1,ISNUMBER(AA148)),L148/(L148+AA148),"")</f>
        <v/>
      </c>
    </row>
    <row r="149" customFormat="false" ht="15" hidden="false" customHeight="true" outlineLevel="0" collapsed="false">
      <c r="A149" s="1" t="s">
        <v>274</v>
      </c>
      <c r="B149" s="46" t="n">
        <v>45719</v>
      </c>
      <c r="C149" s="46" t="n">
        <v>45771</v>
      </c>
      <c r="D149" s="47" t="n">
        <v>22498.9</v>
      </c>
      <c r="E149" s="47" t="n">
        <v>22523.15</v>
      </c>
      <c r="F149" s="47" t="n">
        <v>22291.2</v>
      </c>
      <c r="G149" s="47" t="n">
        <v>22406.8</v>
      </c>
      <c r="H149" s="47" t="n">
        <v>22413</v>
      </c>
      <c r="I149" s="47" t="n">
        <v>22406.8</v>
      </c>
      <c r="J149" s="48" t="n">
        <v>8768</v>
      </c>
      <c r="K149" s="47" t="n">
        <v>147192.22</v>
      </c>
      <c r="L149" s="48" t="n">
        <v>1123500</v>
      </c>
      <c r="M149" s="48" t="n">
        <v>131550</v>
      </c>
      <c r="N149" s="47" t="n">
        <v>22119.3</v>
      </c>
      <c r="O149" s="47" t="n">
        <f aca="false">IF(AND(ISNUMBER(G149),ISNUMBER(N149)),G149-N149,"")</f>
        <v>287.5</v>
      </c>
      <c r="P149" s="49" t="n">
        <f aca="false">IF(ISNUMBER(O149),O149/N149,"")</f>
        <v>0.0129976988421876</v>
      </c>
      <c r="Q149" s="50" t="n">
        <f aca="false">C149-B149</f>
        <v>52</v>
      </c>
      <c r="R149" s="51" t="n">
        <f aca="false">IF(AND(C149=C148,ISNUMBER(G149),ISNUMBER(G148)),(G149/G148-1)*100,"")</f>
        <v>-0.109890354836628</v>
      </c>
      <c r="S149" s="51" t="n">
        <f aca="false">IF(AND(C149=C148,ISNUMBER(L149),ISNUMBER(L148)),(L149/L148-1)*100,"")</f>
        <v>13.2617571450174</v>
      </c>
      <c r="T149" s="51" t="n">
        <f aca="false">IF(AND(C149=C148,ISNUMBER(G149),ISNUMBER(G148)),G149-G148,"")</f>
        <v>-24.6500000000015</v>
      </c>
      <c r="U149" s="1" t="str">
        <f aca="false">IF(OR(NOT(ISNUMBER(R149)),NOT(ISNUMBER(S149))),"Not classified",IF(AND(R149&gt;0,S149&gt;0),"Long buildup (interpretation)",IF(AND(R149&lt;0,S149&gt;0),"Short buildup (interpretation)",IF(AND(R149&gt;0,S149&lt;0),"Short covering (interpretation)",IF(AND(R149&lt;0,S149&lt;0),"Long unwinding (interpretation)","Neutral")))))</f>
        <v>Short buildup (interpretation)</v>
      </c>
      <c r="V149" s="52" t="str">
        <f aca="false">TEXT(B149,"yyyy-mm")</f>
        <v>2025-03</v>
      </c>
      <c r="W149" s="52" t="n">
        <f aca="false">1+COUNTIFS($B$2:$B$756,B149,$C$2:$C$756,"&lt;"&amp;C149)</f>
        <v>2</v>
      </c>
      <c r="X149" s="53" t="n">
        <f aca="false">IF(AND(ISNUMBER(P149),Q149&gt;0),P149*365/Q149,"")</f>
        <v>0.0912338476422783</v>
      </c>
      <c r="Y149" s="42" t="n">
        <f aca="false">IF(AND(C150=C149,ISNUMBER(R150)),R150,"")</f>
        <v>-0.321107877965621</v>
      </c>
      <c r="Z149" s="52" t="n">
        <f aca="false">IF(AND(W149=1,Q149&gt;Basis_Analysis!$B$3,ISNUMBER(Y149)),1,0)</f>
        <v>0</v>
      </c>
      <c r="AA149" s="43" t="str">
        <f aca="false">IF(W149=1,IF(SUMIFS($L$2:$L$756,$B$2:$B$756,B149,$W$2:$W$756,2)&gt;0,SUMIFS($L$2:$L$756,$B$2:$B$756,B149,$W$2:$W$756,2),""),"")</f>
        <v/>
      </c>
      <c r="AB149" s="54" t="str">
        <f aca="false">IF(AND(W149=1,ISNUMBER(AA149)),L149/(L149+AA149),"")</f>
        <v/>
      </c>
    </row>
    <row r="150" customFormat="false" ht="15" hidden="false" customHeight="true" outlineLevel="0" collapsed="false">
      <c r="A150" s="1" t="s">
        <v>274</v>
      </c>
      <c r="B150" s="46" t="n">
        <v>45720</v>
      </c>
      <c r="C150" s="46" t="n">
        <v>45771</v>
      </c>
      <c r="D150" s="47" t="n">
        <v>22265</v>
      </c>
      <c r="E150" s="47" t="n">
        <v>22383.75</v>
      </c>
      <c r="F150" s="47" t="n">
        <v>22245.6</v>
      </c>
      <c r="G150" s="47" t="n">
        <v>22334.85</v>
      </c>
      <c r="H150" s="47" t="n">
        <v>22330</v>
      </c>
      <c r="I150" s="47" t="n">
        <v>22334.85</v>
      </c>
      <c r="J150" s="48" t="n">
        <v>6137</v>
      </c>
      <c r="K150" s="47" t="n">
        <v>102741.94</v>
      </c>
      <c r="L150" s="48" t="n">
        <v>1217700</v>
      </c>
      <c r="M150" s="48" t="n">
        <v>94200</v>
      </c>
      <c r="N150" s="47" t="n">
        <v>22082.65</v>
      </c>
      <c r="O150" s="47" t="n">
        <f aca="false">IF(AND(ISNUMBER(G150),ISNUMBER(N150)),G150-N150,"")</f>
        <v>252.199999999997</v>
      </c>
      <c r="P150" s="49" t="n">
        <f aca="false">IF(ISNUMBER(O150),O150/N150,"")</f>
        <v>0.0114207307546874</v>
      </c>
      <c r="Q150" s="50" t="n">
        <f aca="false">C150-B150</f>
        <v>51</v>
      </c>
      <c r="R150" s="51" t="n">
        <f aca="false">IF(AND(C150=C149,ISNUMBER(G150),ISNUMBER(G149)),(G150/G149-1)*100,"")</f>
        <v>-0.321107877965621</v>
      </c>
      <c r="S150" s="51" t="n">
        <f aca="false">IF(AND(C150=C149,ISNUMBER(L150),ISNUMBER(L149)),(L150/L149-1)*100,"")</f>
        <v>8.3845126835781</v>
      </c>
      <c r="T150" s="51" t="n">
        <f aca="false">IF(AND(C150=C149,ISNUMBER(G150),ISNUMBER(G149)),G150-G149,"")</f>
        <v>-71.9500000000007</v>
      </c>
      <c r="U150" s="1" t="str">
        <f aca="false">IF(OR(NOT(ISNUMBER(R150)),NOT(ISNUMBER(S150))),"Not classified",IF(AND(R150&gt;0,S150&gt;0),"Long buildup (interpretation)",IF(AND(R150&lt;0,S150&gt;0),"Short buildup (interpretation)",IF(AND(R150&gt;0,S150&lt;0),"Short covering (interpretation)",IF(AND(R150&lt;0,S150&lt;0),"Long unwinding (interpretation)","Neutral")))))</f>
        <v>Short buildup (interpretation)</v>
      </c>
      <c r="V150" s="52" t="str">
        <f aca="false">TEXT(B150,"yyyy-mm")</f>
        <v>2025-03</v>
      </c>
      <c r="W150" s="52" t="n">
        <f aca="false">1+COUNTIFS($B$2:$B$756,B150,$C$2:$C$756,"&lt;"&amp;C150)</f>
        <v>2</v>
      </c>
      <c r="X150" s="53" t="n">
        <f aca="false">IF(AND(ISNUMBER(P150),Q150&gt;0),P150*365/Q150,"")</f>
        <v>0.0817366024600175</v>
      </c>
      <c r="Y150" s="42" t="n">
        <f aca="false">IF(AND(C151=C150,ISNUMBER(R151)),R151,"")</f>
        <v>1.14328056825992</v>
      </c>
      <c r="Z150" s="52" t="n">
        <f aca="false">IF(AND(W150=1,Q150&gt;Basis_Analysis!$B$3,ISNUMBER(Y150)),1,0)</f>
        <v>0</v>
      </c>
      <c r="AA150" s="43" t="str">
        <f aca="false">IF(W150=1,IF(SUMIFS($L$2:$L$756,$B$2:$B$756,B150,$W$2:$W$756,2)&gt;0,SUMIFS($L$2:$L$756,$B$2:$B$756,B150,$W$2:$W$756,2),""),"")</f>
        <v/>
      </c>
      <c r="AB150" s="54" t="str">
        <f aca="false">IF(AND(W150=1,ISNUMBER(AA150)),L150/(L150+AA150),"")</f>
        <v/>
      </c>
    </row>
    <row r="151" customFormat="false" ht="15" hidden="false" customHeight="true" outlineLevel="0" collapsed="false">
      <c r="A151" s="1" t="s">
        <v>274</v>
      </c>
      <c r="B151" s="46" t="n">
        <v>45721</v>
      </c>
      <c r="C151" s="46" t="n">
        <v>45771</v>
      </c>
      <c r="D151" s="47" t="n">
        <v>22329.9</v>
      </c>
      <c r="E151" s="47" t="n">
        <v>22643</v>
      </c>
      <c r="F151" s="47" t="n">
        <v>22321.65</v>
      </c>
      <c r="G151" s="47" t="n">
        <v>22590.2</v>
      </c>
      <c r="H151" s="47" t="n">
        <v>22594</v>
      </c>
      <c r="I151" s="47" t="n">
        <v>22590.2</v>
      </c>
      <c r="J151" s="48" t="n">
        <v>9349</v>
      </c>
      <c r="K151" s="47" t="n">
        <v>158079.75</v>
      </c>
      <c r="L151" s="48" t="n">
        <v>1429800</v>
      </c>
      <c r="M151" s="48" t="n">
        <v>212100</v>
      </c>
      <c r="N151" s="47" t="n">
        <v>22337.3</v>
      </c>
      <c r="O151" s="47" t="n">
        <f aca="false">IF(AND(ISNUMBER(G151),ISNUMBER(N151)),G151-N151,"")</f>
        <v>252.900000000001</v>
      </c>
      <c r="P151" s="49" t="n">
        <f aca="false">IF(ISNUMBER(O151),O151/N151,"")</f>
        <v>0.0113218696977702</v>
      </c>
      <c r="Q151" s="50" t="n">
        <f aca="false">C151-B151</f>
        <v>50</v>
      </c>
      <c r="R151" s="51" t="n">
        <f aca="false">IF(AND(C151=C150,ISNUMBER(G151),ISNUMBER(G150)),(G151/G150-1)*100,"")</f>
        <v>1.14328056825992</v>
      </c>
      <c r="S151" s="51" t="n">
        <f aca="false">IF(AND(C151=C150,ISNUMBER(L151),ISNUMBER(L150)),(L151/L150-1)*100,"")</f>
        <v>17.4180832717418</v>
      </c>
      <c r="T151" s="51" t="n">
        <f aca="false">IF(AND(C151=C150,ISNUMBER(G151),ISNUMBER(G150)),G151-G150,"")</f>
        <v>255.350000000002</v>
      </c>
      <c r="U151" s="1" t="str">
        <f aca="false">IF(OR(NOT(ISNUMBER(R151)),NOT(ISNUMBER(S151))),"Not classified",IF(AND(R151&gt;0,S151&gt;0),"Long buildup (interpretation)",IF(AND(R151&lt;0,S151&gt;0),"Short buildup (interpretation)",IF(AND(R151&gt;0,S151&lt;0),"Short covering (interpretation)",IF(AND(R151&lt;0,S151&lt;0),"Long unwinding (interpretation)","Neutral")))))</f>
        <v>Long buildup (interpretation)</v>
      </c>
      <c r="V151" s="52" t="str">
        <f aca="false">TEXT(B151,"yyyy-mm")</f>
        <v>2025-03</v>
      </c>
      <c r="W151" s="52" t="n">
        <f aca="false">1+COUNTIFS($B$2:$B$756,B151,$C$2:$C$756,"&lt;"&amp;C151)</f>
        <v>2</v>
      </c>
      <c r="X151" s="53" t="n">
        <f aca="false">IF(AND(ISNUMBER(P151),Q151&gt;0),P151*365/Q151,"")</f>
        <v>0.0826496487937222</v>
      </c>
      <c r="Y151" s="42" t="n">
        <f aca="false">IF(AND(C152=C151,ISNUMBER(R152)),R152,"")</f>
        <v>0.768696160281879</v>
      </c>
      <c r="Z151" s="52" t="n">
        <f aca="false">IF(AND(W151=1,Q151&gt;Basis_Analysis!$B$3,ISNUMBER(Y151)),1,0)</f>
        <v>0</v>
      </c>
      <c r="AA151" s="43" t="str">
        <f aca="false">IF(W151=1,IF(SUMIFS($L$2:$L$756,$B$2:$B$756,B151,$W$2:$W$756,2)&gt;0,SUMIFS($L$2:$L$756,$B$2:$B$756,B151,$W$2:$W$756,2),""),"")</f>
        <v/>
      </c>
      <c r="AB151" s="54" t="str">
        <f aca="false">IF(AND(W151=1,ISNUMBER(AA151)),L151/(L151+AA151),"")</f>
        <v/>
      </c>
    </row>
    <row r="152" customFormat="false" ht="15" hidden="false" customHeight="true" outlineLevel="0" collapsed="false">
      <c r="A152" s="1" t="s">
        <v>274</v>
      </c>
      <c r="B152" s="46" t="n">
        <v>45722</v>
      </c>
      <c r="C152" s="46" t="n">
        <v>45771</v>
      </c>
      <c r="D152" s="47" t="n">
        <v>22660</v>
      </c>
      <c r="E152" s="47" t="n">
        <v>22780</v>
      </c>
      <c r="F152" s="47" t="n">
        <v>22503.05</v>
      </c>
      <c r="G152" s="47" t="n">
        <v>22763.85</v>
      </c>
      <c r="H152" s="47" t="n">
        <v>22763</v>
      </c>
      <c r="I152" s="47" t="n">
        <v>22763.85</v>
      </c>
      <c r="J152" s="48" t="n">
        <v>7578</v>
      </c>
      <c r="K152" s="47" t="n">
        <v>128887.24</v>
      </c>
      <c r="L152" s="48" t="n">
        <v>1409925</v>
      </c>
      <c r="M152" s="48" t="n">
        <v>-19875</v>
      </c>
      <c r="N152" s="47" t="n">
        <v>22544.7</v>
      </c>
      <c r="O152" s="47" t="n">
        <f aca="false">IF(AND(ISNUMBER(G152),ISNUMBER(N152)),G152-N152,"")</f>
        <v>219.149999999998</v>
      </c>
      <c r="P152" s="49" t="n">
        <f aca="false">IF(ISNUMBER(O152),O152/N152,"")</f>
        <v>0.00972068823271092</v>
      </c>
      <c r="Q152" s="50" t="n">
        <f aca="false">C152-B152</f>
        <v>49</v>
      </c>
      <c r="R152" s="51" t="n">
        <f aca="false">IF(AND(C152=C151,ISNUMBER(G152),ISNUMBER(G151)),(G152/G151-1)*100,"")</f>
        <v>0.768696160281879</v>
      </c>
      <c r="S152" s="51" t="n">
        <f aca="false">IF(AND(C152=C151,ISNUMBER(L152),ISNUMBER(L151)),(L152/L151-1)*100,"")</f>
        <v>-1.39005455308435</v>
      </c>
      <c r="T152" s="51" t="n">
        <f aca="false">IF(AND(C152=C151,ISNUMBER(G152),ISNUMBER(G151)),G152-G151,"")</f>
        <v>173.649999999998</v>
      </c>
      <c r="U152" s="1" t="str">
        <f aca="false">IF(OR(NOT(ISNUMBER(R152)),NOT(ISNUMBER(S152))),"Not classified",IF(AND(R152&gt;0,S152&gt;0),"Long buildup (interpretation)",IF(AND(R152&lt;0,S152&gt;0),"Short buildup (interpretation)",IF(AND(R152&gt;0,S152&lt;0),"Short covering (interpretation)",IF(AND(R152&lt;0,S152&lt;0),"Long unwinding (interpretation)","Neutral")))))</f>
        <v>Short covering (interpretation)</v>
      </c>
      <c r="V152" s="52" t="str">
        <f aca="false">TEXT(B152,"yyyy-mm")</f>
        <v>2025-03</v>
      </c>
      <c r="W152" s="52" t="n">
        <f aca="false">1+COUNTIFS($B$2:$B$756,B152,$C$2:$C$756,"&lt;"&amp;C152)</f>
        <v>2</v>
      </c>
      <c r="X152" s="53" t="n">
        <f aca="false">IF(AND(ISNUMBER(P152),Q152&gt;0),P152*365/Q152,"")</f>
        <v>0.0724092082640711</v>
      </c>
      <c r="Y152" s="42" t="n">
        <f aca="false">IF(AND(C153=C152,ISNUMBER(R153)),R153,"")</f>
        <v>0.146943509116437</v>
      </c>
      <c r="Z152" s="52" t="n">
        <f aca="false">IF(AND(W152=1,Q152&gt;Basis_Analysis!$B$3,ISNUMBER(Y152)),1,0)</f>
        <v>0</v>
      </c>
      <c r="AA152" s="43" t="str">
        <f aca="false">IF(W152=1,IF(SUMIFS($L$2:$L$756,$B$2:$B$756,B152,$W$2:$W$756,2)&gt;0,SUMIFS($L$2:$L$756,$B$2:$B$756,B152,$W$2:$W$756,2),""),"")</f>
        <v/>
      </c>
      <c r="AB152" s="54" t="str">
        <f aca="false">IF(AND(W152=1,ISNUMBER(AA152)),L152/(L152+AA152),"")</f>
        <v/>
      </c>
    </row>
    <row r="153" customFormat="false" ht="15" hidden="false" customHeight="true" outlineLevel="0" collapsed="false">
      <c r="A153" s="1" t="s">
        <v>274</v>
      </c>
      <c r="B153" s="46" t="n">
        <v>45723</v>
      </c>
      <c r="C153" s="46" t="n">
        <v>45771</v>
      </c>
      <c r="D153" s="47" t="n">
        <v>22699.95</v>
      </c>
      <c r="E153" s="47" t="n">
        <v>22880</v>
      </c>
      <c r="F153" s="47" t="n">
        <v>22699.95</v>
      </c>
      <c r="G153" s="47" t="n">
        <v>22797.3</v>
      </c>
      <c r="H153" s="47" t="n">
        <v>22787.7</v>
      </c>
      <c r="I153" s="47" t="n">
        <v>22797.3</v>
      </c>
      <c r="J153" s="48" t="n">
        <v>6120</v>
      </c>
      <c r="K153" s="47" t="n">
        <v>104647.07</v>
      </c>
      <c r="L153" s="48" t="n">
        <v>1467000</v>
      </c>
      <c r="M153" s="48" t="n">
        <v>57075</v>
      </c>
      <c r="N153" s="47" t="n">
        <v>22552.5</v>
      </c>
      <c r="O153" s="47" t="n">
        <f aca="false">IF(AND(ISNUMBER(G153),ISNUMBER(N153)),G153-N153,"")</f>
        <v>244.799999999999</v>
      </c>
      <c r="P153" s="49" t="n">
        <f aca="false">IF(ISNUMBER(O153),O153/N153,"")</f>
        <v>0.0108546724309943</v>
      </c>
      <c r="Q153" s="50" t="n">
        <f aca="false">C153-B153</f>
        <v>48</v>
      </c>
      <c r="R153" s="51" t="n">
        <f aca="false">IF(AND(C153=C152,ISNUMBER(G153),ISNUMBER(G152)),(G153/G152-1)*100,"")</f>
        <v>0.146943509116437</v>
      </c>
      <c r="S153" s="51" t="n">
        <f aca="false">IF(AND(C153=C152,ISNUMBER(L153),ISNUMBER(L152)),(L153/L152-1)*100,"")</f>
        <v>4.04808766423745</v>
      </c>
      <c r="T153" s="51" t="n">
        <f aca="false">IF(AND(C153=C152,ISNUMBER(G153),ISNUMBER(G152)),G153-G152,"")</f>
        <v>33.4500000000007</v>
      </c>
      <c r="U153" s="1" t="str">
        <f aca="false">IF(OR(NOT(ISNUMBER(R153)),NOT(ISNUMBER(S153))),"Not classified",IF(AND(R153&gt;0,S153&gt;0),"Long buildup (interpretation)",IF(AND(R153&lt;0,S153&gt;0),"Short buildup (interpretation)",IF(AND(R153&gt;0,S153&lt;0),"Short covering (interpretation)",IF(AND(R153&lt;0,S153&lt;0),"Long unwinding (interpretation)","Neutral")))))</f>
        <v>Long buildup (interpretation)</v>
      </c>
      <c r="V153" s="52" t="str">
        <f aca="false">TEXT(B153,"yyyy-mm")</f>
        <v>2025-03</v>
      </c>
      <c r="W153" s="52" t="n">
        <f aca="false">1+COUNTIFS($B$2:$B$756,B153,$C$2:$C$756,"&lt;"&amp;C153)</f>
        <v>2</v>
      </c>
      <c r="X153" s="53" t="n">
        <f aca="false">IF(AND(ISNUMBER(P153),Q153&gt;0),P153*365/Q153,"")</f>
        <v>0.0825407382773526</v>
      </c>
      <c r="Y153" s="42" t="n">
        <f aca="false">IF(AND(C154=C153,ISNUMBER(R154)),R154,"")</f>
        <v>-0.59217538919083</v>
      </c>
      <c r="Z153" s="52" t="n">
        <f aca="false">IF(AND(W153=1,Q153&gt;Basis_Analysis!$B$3,ISNUMBER(Y153)),1,0)</f>
        <v>0</v>
      </c>
      <c r="AA153" s="43" t="str">
        <f aca="false">IF(W153=1,IF(SUMIFS($L$2:$L$756,$B$2:$B$756,B153,$W$2:$W$756,2)&gt;0,SUMIFS($L$2:$L$756,$B$2:$B$756,B153,$W$2:$W$756,2),""),"")</f>
        <v/>
      </c>
      <c r="AB153" s="54" t="str">
        <f aca="false">IF(AND(W153=1,ISNUMBER(AA153)),L153/(L153+AA153),"")</f>
        <v/>
      </c>
    </row>
    <row r="154" customFormat="false" ht="15" hidden="false" customHeight="true" outlineLevel="0" collapsed="false">
      <c r="A154" s="1" t="s">
        <v>274</v>
      </c>
      <c r="B154" s="46" t="n">
        <v>45726</v>
      </c>
      <c r="C154" s="46" t="n">
        <v>45771</v>
      </c>
      <c r="D154" s="47" t="n">
        <v>22762</v>
      </c>
      <c r="E154" s="47" t="n">
        <v>22869.95</v>
      </c>
      <c r="F154" s="47" t="n">
        <v>22641.4</v>
      </c>
      <c r="G154" s="47" t="n">
        <v>22662.3</v>
      </c>
      <c r="H154" s="47" t="n">
        <v>22650</v>
      </c>
      <c r="I154" s="47" t="n">
        <v>22662.3</v>
      </c>
      <c r="J154" s="48" t="n">
        <v>6360</v>
      </c>
      <c r="K154" s="47" t="n">
        <v>108501.51</v>
      </c>
      <c r="L154" s="48" t="n">
        <v>1496550</v>
      </c>
      <c r="M154" s="48" t="n">
        <v>29550</v>
      </c>
      <c r="N154" s="47" t="n">
        <v>22460.3</v>
      </c>
      <c r="O154" s="47" t="n">
        <f aca="false">IF(AND(ISNUMBER(G154),ISNUMBER(N154)),G154-N154,"")</f>
        <v>202</v>
      </c>
      <c r="P154" s="49" t="n">
        <f aca="false">IF(ISNUMBER(O154),O154/N154,"")</f>
        <v>0.0089936465674991</v>
      </c>
      <c r="Q154" s="50" t="n">
        <f aca="false">C154-B154</f>
        <v>45</v>
      </c>
      <c r="R154" s="51" t="n">
        <f aca="false">IF(AND(C154=C153,ISNUMBER(G154),ISNUMBER(G153)),(G154/G153-1)*100,"")</f>
        <v>-0.59217538919083</v>
      </c>
      <c r="S154" s="51" t="n">
        <f aca="false">IF(AND(C154=C153,ISNUMBER(L154),ISNUMBER(L153)),(L154/L153-1)*100,"")</f>
        <v>2.01431492842536</v>
      </c>
      <c r="T154" s="51" t="n">
        <f aca="false">IF(AND(C154=C153,ISNUMBER(G154),ISNUMBER(G153)),G154-G153,"")</f>
        <v>-135</v>
      </c>
      <c r="U154" s="1" t="str">
        <f aca="false">IF(OR(NOT(ISNUMBER(R154)),NOT(ISNUMBER(S154))),"Not classified",IF(AND(R154&gt;0,S154&gt;0),"Long buildup (interpretation)",IF(AND(R154&lt;0,S154&gt;0),"Short buildup (interpretation)",IF(AND(R154&gt;0,S154&lt;0),"Short covering (interpretation)",IF(AND(R154&lt;0,S154&lt;0),"Long unwinding (interpretation)","Neutral")))))</f>
        <v>Short buildup (interpretation)</v>
      </c>
      <c r="V154" s="52" t="str">
        <f aca="false">TEXT(B154,"yyyy-mm")</f>
        <v>2025-03</v>
      </c>
      <c r="W154" s="52" t="n">
        <f aca="false">1+COUNTIFS($B$2:$B$756,B154,$C$2:$C$756,"&lt;"&amp;C154)</f>
        <v>2</v>
      </c>
      <c r="X154" s="53" t="n">
        <f aca="false">IF(AND(ISNUMBER(P154),Q154&gt;0),P154*365/Q154,"")</f>
        <v>0.0729484666030482</v>
      </c>
      <c r="Y154" s="42" t="n">
        <f aca="false">IF(AND(C155=C154,ISNUMBER(R155)),R155,"")</f>
        <v>0.198347034502233</v>
      </c>
      <c r="Z154" s="52" t="n">
        <f aca="false">IF(AND(W154=1,Q154&gt;Basis_Analysis!$B$3,ISNUMBER(Y154)),1,0)</f>
        <v>0</v>
      </c>
      <c r="AA154" s="43" t="str">
        <f aca="false">IF(W154=1,IF(SUMIFS($L$2:$L$756,$B$2:$B$756,B154,$W$2:$W$756,2)&gt;0,SUMIFS($L$2:$L$756,$B$2:$B$756,B154,$W$2:$W$756,2),""),"")</f>
        <v/>
      </c>
      <c r="AB154" s="54" t="str">
        <f aca="false">IF(AND(W154=1,ISNUMBER(AA154)),L154/(L154+AA154),"")</f>
        <v/>
      </c>
    </row>
    <row r="155" customFormat="false" ht="15" hidden="false" customHeight="true" outlineLevel="0" collapsed="false">
      <c r="A155" s="1" t="s">
        <v>274</v>
      </c>
      <c r="B155" s="46" t="n">
        <v>45727</v>
      </c>
      <c r="C155" s="46" t="n">
        <v>45771</v>
      </c>
      <c r="D155" s="47" t="n">
        <v>22525</v>
      </c>
      <c r="E155" s="47" t="n">
        <v>22734.85</v>
      </c>
      <c r="F155" s="47" t="n">
        <v>22511</v>
      </c>
      <c r="G155" s="47" t="n">
        <v>22707.25</v>
      </c>
      <c r="H155" s="47" t="n">
        <v>22732</v>
      </c>
      <c r="I155" s="47" t="n">
        <v>22707.25</v>
      </c>
      <c r="J155" s="48" t="n">
        <v>6622</v>
      </c>
      <c r="K155" s="47" t="n">
        <v>112300.22</v>
      </c>
      <c r="L155" s="48" t="n">
        <v>1580475</v>
      </c>
      <c r="M155" s="48" t="n">
        <v>83925</v>
      </c>
      <c r="N155" s="47" t="n">
        <v>22497.9</v>
      </c>
      <c r="O155" s="47" t="n">
        <f aca="false">IF(AND(ISNUMBER(G155),ISNUMBER(N155)),G155-N155,"")</f>
        <v>209.349999999999</v>
      </c>
      <c r="P155" s="49" t="n">
        <f aca="false">IF(ISNUMBER(O155),O155/N155,"")</f>
        <v>0.00930531294031881</v>
      </c>
      <c r="Q155" s="50" t="n">
        <f aca="false">C155-B155</f>
        <v>44</v>
      </c>
      <c r="R155" s="51" t="n">
        <f aca="false">IF(AND(C155=C154,ISNUMBER(G155),ISNUMBER(G154)),(G155/G154-1)*100,"")</f>
        <v>0.198347034502233</v>
      </c>
      <c r="S155" s="51" t="n">
        <f aca="false">IF(AND(C155=C154,ISNUMBER(L155),ISNUMBER(L154)),(L155/L154-1)*100,"")</f>
        <v>5.60789816578129</v>
      </c>
      <c r="T155" s="51" t="n">
        <f aca="false">IF(AND(C155=C154,ISNUMBER(G155),ISNUMBER(G154)),G155-G154,"")</f>
        <v>44.9500000000007</v>
      </c>
      <c r="U155" s="1" t="str">
        <f aca="false">IF(OR(NOT(ISNUMBER(R155)),NOT(ISNUMBER(S155))),"Not classified",IF(AND(R155&gt;0,S155&gt;0),"Long buildup (interpretation)",IF(AND(R155&lt;0,S155&gt;0),"Short buildup (interpretation)",IF(AND(R155&gt;0,S155&lt;0),"Short covering (interpretation)",IF(AND(R155&lt;0,S155&lt;0),"Long unwinding (interpretation)","Neutral")))))</f>
        <v>Long buildup (interpretation)</v>
      </c>
      <c r="V155" s="52" t="str">
        <f aca="false">TEXT(B155,"yyyy-mm")</f>
        <v>2025-03</v>
      </c>
      <c r="W155" s="52" t="n">
        <f aca="false">1+COUNTIFS($B$2:$B$756,B155,$C$2:$C$756,"&lt;"&amp;C155)</f>
        <v>2</v>
      </c>
      <c r="X155" s="53" t="n">
        <f aca="false">IF(AND(ISNUMBER(P155),Q155&gt;0),P155*365/Q155,"")</f>
        <v>0.0771918005276447</v>
      </c>
      <c r="Y155" s="42" t="n">
        <f aca="false">IF(AND(C156=C155,ISNUMBER(R156)),R156,"")</f>
        <v>-0.149952107806972</v>
      </c>
      <c r="Z155" s="52" t="n">
        <f aca="false">IF(AND(W155=1,Q155&gt;Basis_Analysis!$B$3,ISNUMBER(Y155)),1,0)</f>
        <v>0</v>
      </c>
      <c r="AA155" s="43" t="str">
        <f aca="false">IF(W155=1,IF(SUMIFS($L$2:$L$756,$B$2:$B$756,B155,$W$2:$W$756,2)&gt;0,SUMIFS($L$2:$L$756,$B$2:$B$756,B155,$W$2:$W$756,2),""),"")</f>
        <v/>
      </c>
      <c r="AB155" s="54" t="str">
        <f aca="false">IF(AND(W155=1,ISNUMBER(AA155)),L155/(L155+AA155),"")</f>
        <v/>
      </c>
    </row>
    <row r="156" customFormat="false" ht="15" hidden="false" customHeight="true" outlineLevel="0" collapsed="false">
      <c r="A156" s="1" t="s">
        <v>274</v>
      </c>
      <c r="B156" s="46" t="n">
        <v>45728</v>
      </c>
      <c r="C156" s="46" t="n">
        <v>45771</v>
      </c>
      <c r="D156" s="47" t="n">
        <v>22732</v>
      </c>
      <c r="E156" s="47" t="n">
        <v>22758.85</v>
      </c>
      <c r="F156" s="47" t="n">
        <v>22527.05</v>
      </c>
      <c r="G156" s="47" t="n">
        <v>22673.2</v>
      </c>
      <c r="H156" s="47" t="n">
        <v>22670</v>
      </c>
      <c r="I156" s="47" t="n">
        <v>22673.2</v>
      </c>
      <c r="J156" s="48" t="n">
        <v>6972</v>
      </c>
      <c r="K156" s="47" t="n">
        <v>118333.67</v>
      </c>
      <c r="L156" s="48" t="n">
        <v>1668975</v>
      </c>
      <c r="M156" s="48" t="n">
        <v>88500</v>
      </c>
      <c r="N156" s="47" t="n">
        <v>22470.5</v>
      </c>
      <c r="O156" s="47" t="n">
        <f aca="false">IF(AND(ISNUMBER(G156),ISNUMBER(N156)),G156-N156,"")</f>
        <v>202.700000000001</v>
      </c>
      <c r="P156" s="49" t="n">
        <f aca="false">IF(ISNUMBER(O156),O156/N156,"")</f>
        <v>0.00902071604993217</v>
      </c>
      <c r="Q156" s="50" t="n">
        <f aca="false">C156-B156</f>
        <v>43</v>
      </c>
      <c r="R156" s="51" t="n">
        <f aca="false">IF(AND(C156=C155,ISNUMBER(G156),ISNUMBER(G155)),(G156/G155-1)*100,"")</f>
        <v>-0.149952107806972</v>
      </c>
      <c r="S156" s="51" t="n">
        <f aca="false">IF(AND(C156=C155,ISNUMBER(L156),ISNUMBER(L155)),(L156/L155-1)*100,"")</f>
        <v>5.59958240402412</v>
      </c>
      <c r="T156" s="51" t="n">
        <f aca="false">IF(AND(C156=C155,ISNUMBER(G156),ISNUMBER(G155)),G156-G155,"")</f>
        <v>-34.0499999999993</v>
      </c>
      <c r="U156" s="1" t="str">
        <f aca="false">IF(OR(NOT(ISNUMBER(R156)),NOT(ISNUMBER(S156))),"Not classified",IF(AND(R156&gt;0,S156&gt;0),"Long buildup (interpretation)",IF(AND(R156&lt;0,S156&gt;0),"Short buildup (interpretation)",IF(AND(R156&gt;0,S156&lt;0),"Short covering (interpretation)",IF(AND(R156&lt;0,S156&lt;0),"Long unwinding (interpretation)","Neutral")))))</f>
        <v>Short buildup (interpretation)</v>
      </c>
      <c r="V156" s="52" t="str">
        <f aca="false">TEXT(B156,"yyyy-mm")</f>
        <v>2025-03</v>
      </c>
      <c r="W156" s="52" t="n">
        <f aca="false">1+COUNTIFS($B$2:$B$756,B156,$C$2:$C$756,"&lt;"&amp;C156)</f>
        <v>2</v>
      </c>
      <c r="X156" s="53" t="n">
        <f aca="false">IF(AND(ISNUMBER(P156),Q156&gt;0),P156*365/Q156,"")</f>
        <v>0.0765711943773312</v>
      </c>
      <c r="Y156" s="42" t="n">
        <f aca="false">IF(AND(C157=C156,ISNUMBER(R157)),R157,"")</f>
        <v>-0.362101511917168</v>
      </c>
      <c r="Z156" s="52" t="n">
        <f aca="false">IF(AND(W156=1,Q156&gt;Basis_Analysis!$B$3,ISNUMBER(Y156)),1,0)</f>
        <v>0</v>
      </c>
      <c r="AA156" s="43" t="str">
        <f aca="false">IF(W156=1,IF(SUMIFS($L$2:$L$756,$B$2:$B$756,B156,$W$2:$W$756,2)&gt;0,SUMIFS($L$2:$L$756,$B$2:$B$756,B156,$W$2:$W$756,2),""),"")</f>
        <v/>
      </c>
      <c r="AB156" s="54" t="str">
        <f aca="false">IF(AND(W156=1,ISNUMBER(AA156)),L156/(L156+AA156),"")</f>
        <v/>
      </c>
    </row>
    <row r="157" customFormat="false" ht="15" hidden="false" customHeight="true" outlineLevel="0" collapsed="false">
      <c r="A157" s="1" t="s">
        <v>274</v>
      </c>
      <c r="B157" s="46" t="n">
        <v>45729</v>
      </c>
      <c r="C157" s="46" t="n">
        <v>45771</v>
      </c>
      <c r="D157" s="47" t="n">
        <v>22700</v>
      </c>
      <c r="E157" s="47" t="n">
        <v>22749</v>
      </c>
      <c r="F157" s="47" t="n">
        <v>22576.85</v>
      </c>
      <c r="G157" s="47" t="n">
        <v>22591.1</v>
      </c>
      <c r="H157" s="47" t="n">
        <v>22587</v>
      </c>
      <c r="I157" s="47" t="n">
        <v>22591.1</v>
      </c>
      <c r="J157" s="48" t="n">
        <v>5379</v>
      </c>
      <c r="K157" s="47" t="n">
        <v>91354.05</v>
      </c>
      <c r="L157" s="48" t="n">
        <v>1700400</v>
      </c>
      <c r="M157" s="48" t="n">
        <v>31425</v>
      </c>
      <c r="N157" s="47" t="n">
        <v>22397.2</v>
      </c>
      <c r="O157" s="47" t="n">
        <f aca="false">IF(AND(ISNUMBER(G157),ISNUMBER(N157)),G157-N157,"")</f>
        <v>193.899999999998</v>
      </c>
      <c r="P157" s="49" t="n">
        <f aca="false">IF(ISNUMBER(O157),O157/N157,"")</f>
        <v>0.00865733216652072</v>
      </c>
      <c r="Q157" s="50" t="n">
        <f aca="false">C157-B157</f>
        <v>42</v>
      </c>
      <c r="R157" s="51" t="n">
        <f aca="false">IF(AND(C157=C156,ISNUMBER(G157),ISNUMBER(G156)),(G157/G156-1)*100,"")</f>
        <v>-0.362101511917168</v>
      </c>
      <c r="S157" s="51" t="n">
        <f aca="false">IF(AND(C157=C156,ISNUMBER(L157),ISNUMBER(L156)),(L157/L156-1)*100,"")</f>
        <v>1.88289219431088</v>
      </c>
      <c r="T157" s="51" t="n">
        <f aca="false">IF(AND(C157=C156,ISNUMBER(G157),ISNUMBER(G156)),G157-G156,"")</f>
        <v>-82.1000000000022</v>
      </c>
      <c r="U157" s="1" t="str">
        <f aca="false">IF(OR(NOT(ISNUMBER(R157)),NOT(ISNUMBER(S157))),"Not classified",IF(AND(R157&gt;0,S157&gt;0),"Long buildup (interpretation)",IF(AND(R157&lt;0,S157&gt;0),"Short buildup (interpretation)",IF(AND(R157&gt;0,S157&lt;0),"Short covering (interpretation)",IF(AND(R157&lt;0,S157&lt;0),"Long unwinding (interpretation)","Neutral")))))</f>
        <v>Short buildup (interpretation)</v>
      </c>
      <c r="V157" s="52" t="str">
        <f aca="false">TEXT(B157,"yyyy-mm")</f>
        <v>2025-03</v>
      </c>
      <c r="W157" s="52" t="n">
        <f aca="false">1+COUNTIFS($B$2:$B$756,B157,$C$2:$C$756,"&lt;"&amp;C157)</f>
        <v>2</v>
      </c>
      <c r="X157" s="53" t="n">
        <f aca="false">IF(AND(ISNUMBER(P157),Q157&gt;0),P157*365/Q157,"")</f>
        <v>0.075236339066192</v>
      </c>
      <c r="Y157" s="42" t="n">
        <f aca="false">IF(AND(C158=C157,ISNUMBER(R158)),R158,"")</f>
        <v>0.609974724559681</v>
      </c>
      <c r="Z157" s="52" t="n">
        <f aca="false">IF(AND(W157=1,Q157&gt;Basis_Analysis!$B$3,ISNUMBER(Y157)),1,0)</f>
        <v>0</v>
      </c>
      <c r="AA157" s="43" t="str">
        <f aca="false">IF(W157=1,IF(SUMIFS($L$2:$L$756,$B$2:$B$756,B157,$W$2:$W$756,2)&gt;0,SUMIFS($L$2:$L$756,$B$2:$B$756,B157,$W$2:$W$756,2),""),"")</f>
        <v/>
      </c>
      <c r="AB157" s="54" t="str">
        <f aca="false">IF(AND(W157=1,ISNUMBER(AA157)),L157/(L157+AA157),"")</f>
        <v/>
      </c>
    </row>
    <row r="158" customFormat="false" ht="15" hidden="false" customHeight="true" outlineLevel="0" collapsed="false">
      <c r="A158" s="1" t="s">
        <v>274</v>
      </c>
      <c r="B158" s="46" t="n">
        <v>45733</v>
      </c>
      <c r="C158" s="46" t="n">
        <v>45771</v>
      </c>
      <c r="D158" s="47" t="n">
        <v>22587</v>
      </c>
      <c r="E158" s="47" t="n">
        <v>22812.15</v>
      </c>
      <c r="F158" s="47" t="n">
        <v>22587</v>
      </c>
      <c r="G158" s="47" t="n">
        <v>22728.9</v>
      </c>
      <c r="H158" s="47" t="n">
        <v>22734.05</v>
      </c>
      <c r="I158" s="47" t="n">
        <v>22728.9</v>
      </c>
      <c r="J158" s="48" t="n">
        <v>7281</v>
      </c>
      <c r="K158" s="47" t="n">
        <v>124097.55</v>
      </c>
      <c r="L158" s="48" t="n">
        <v>1783950</v>
      </c>
      <c r="M158" s="48" t="n">
        <v>83550</v>
      </c>
      <c r="N158" s="47" t="n">
        <v>22508.75</v>
      </c>
      <c r="O158" s="47" t="n">
        <f aca="false">IF(AND(ISNUMBER(G158),ISNUMBER(N158)),G158-N158,"")</f>
        <v>220.150000000001</v>
      </c>
      <c r="P158" s="49" t="n">
        <f aca="false">IF(ISNUMBER(O158),O158/N158,"")</f>
        <v>0.00978064086188711</v>
      </c>
      <c r="Q158" s="50" t="n">
        <f aca="false">C158-B158</f>
        <v>38</v>
      </c>
      <c r="R158" s="51" t="n">
        <f aca="false">IF(AND(C158=C157,ISNUMBER(G158),ISNUMBER(G157)),(G158/G157-1)*100,"")</f>
        <v>0.609974724559681</v>
      </c>
      <c r="S158" s="51" t="n">
        <f aca="false">IF(AND(C158=C157,ISNUMBER(L158),ISNUMBER(L157)),(L158/L157-1)*100,"")</f>
        <v>4.91354975299929</v>
      </c>
      <c r="T158" s="51" t="n">
        <f aca="false">IF(AND(C158=C157,ISNUMBER(G158),ISNUMBER(G157)),G158-G157,"")</f>
        <v>137.800000000003</v>
      </c>
      <c r="U158" s="1" t="str">
        <f aca="false">IF(OR(NOT(ISNUMBER(R158)),NOT(ISNUMBER(S158))),"Not classified",IF(AND(R158&gt;0,S158&gt;0),"Long buildup (interpretation)",IF(AND(R158&lt;0,S158&gt;0),"Short buildup (interpretation)",IF(AND(R158&gt;0,S158&lt;0),"Short covering (interpretation)",IF(AND(R158&lt;0,S158&lt;0),"Long unwinding (interpretation)","Neutral")))))</f>
        <v>Long buildup (interpretation)</v>
      </c>
      <c r="V158" s="52" t="str">
        <f aca="false">TEXT(B158,"yyyy-mm")</f>
        <v>2025-03</v>
      </c>
      <c r="W158" s="52" t="n">
        <f aca="false">1+COUNTIFS($B$2:$B$756,B158,$C$2:$C$756,"&lt;"&amp;C158)</f>
        <v>2</v>
      </c>
      <c r="X158" s="53" t="n">
        <f aca="false">IF(AND(ISNUMBER(P158),Q158&gt;0),P158*365/Q158,"")</f>
        <v>0.0939456293312841</v>
      </c>
      <c r="Y158" s="42" t="n">
        <f aca="false">IF(AND(C159=C158,ISNUMBER(R159)),R159,"")</f>
        <v>1.33178464421946</v>
      </c>
      <c r="Z158" s="52" t="n">
        <f aca="false">IF(AND(W158=1,Q158&gt;Basis_Analysis!$B$3,ISNUMBER(Y158)),1,0)</f>
        <v>0</v>
      </c>
      <c r="AA158" s="43" t="str">
        <f aca="false">IF(W158=1,IF(SUMIFS($L$2:$L$756,$B$2:$B$756,B158,$W$2:$W$756,2)&gt;0,SUMIFS($L$2:$L$756,$B$2:$B$756,B158,$W$2:$W$756,2),""),"")</f>
        <v/>
      </c>
      <c r="AB158" s="54" t="str">
        <f aca="false">IF(AND(W158=1,ISNUMBER(AA158)),L158/(L158+AA158),"")</f>
        <v/>
      </c>
    </row>
    <row r="159" customFormat="false" ht="15" hidden="false" customHeight="true" outlineLevel="0" collapsed="false">
      <c r="A159" s="1" t="s">
        <v>274</v>
      </c>
      <c r="B159" s="46" t="n">
        <v>45734</v>
      </c>
      <c r="C159" s="46" t="n">
        <v>45771</v>
      </c>
      <c r="D159" s="47" t="n">
        <v>22830</v>
      </c>
      <c r="E159" s="47" t="n">
        <v>23052.5</v>
      </c>
      <c r="F159" s="47" t="n">
        <v>22815.15</v>
      </c>
      <c r="G159" s="47" t="n">
        <v>23031.6</v>
      </c>
      <c r="H159" s="47" t="n">
        <v>23049</v>
      </c>
      <c r="I159" s="47" t="n">
        <v>23031.6</v>
      </c>
      <c r="J159" s="48" t="n">
        <v>15163</v>
      </c>
      <c r="K159" s="47" t="n">
        <v>260919.21</v>
      </c>
      <c r="L159" s="48" t="n">
        <v>2025075</v>
      </c>
      <c r="M159" s="48" t="n">
        <v>241125</v>
      </c>
      <c r="N159" s="47" t="n">
        <v>22834.3</v>
      </c>
      <c r="O159" s="47" t="n">
        <f aca="false">IF(AND(ISNUMBER(G159),ISNUMBER(N159)),G159-N159,"")</f>
        <v>197.299999999999</v>
      </c>
      <c r="P159" s="49" t="n">
        <f aca="false">IF(ISNUMBER(O159),O159/N159,"")</f>
        <v>0.00864051010979094</v>
      </c>
      <c r="Q159" s="50" t="n">
        <f aca="false">C159-B159</f>
        <v>37</v>
      </c>
      <c r="R159" s="51" t="n">
        <f aca="false">IF(AND(C159=C158,ISNUMBER(G159),ISNUMBER(G158)),(G159/G158-1)*100,"")</f>
        <v>1.33178464421946</v>
      </c>
      <c r="S159" s="51" t="n">
        <f aca="false">IF(AND(C159=C158,ISNUMBER(L159),ISNUMBER(L158)),(L159/L158-1)*100,"")</f>
        <v>13.516354157908</v>
      </c>
      <c r="T159" s="51" t="n">
        <f aca="false">IF(AND(C159=C158,ISNUMBER(G159),ISNUMBER(G158)),G159-G158,"")</f>
        <v>302.699999999997</v>
      </c>
      <c r="U159" s="1" t="str">
        <f aca="false">IF(OR(NOT(ISNUMBER(R159)),NOT(ISNUMBER(S159))),"Not classified",IF(AND(R159&gt;0,S159&gt;0),"Long buildup (interpretation)",IF(AND(R159&lt;0,S159&gt;0),"Short buildup (interpretation)",IF(AND(R159&gt;0,S159&lt;0),"Short covering (interpretation)",IF(AND(R159&lt;0,S159&lt;0),"Long unwinding (interpretation)","Neutral")))))</f>
        <v>Long buildup (interpretation)</v>
      </c>
      <c r="V159" s="52" t="str">
        <f aca="false">TEXT(B159,"yyyy-mm")</f>
        <v>2025-03</v>
      </c>
      <c r="W159" s="52" t="n">
        <f aca="false">1+COUNTIFS($B$2:$B$756,B159,$C$2:$C$756,"&lt;"&amp;C159)</f>
        <v>2</v>
      </c>
      <c r="X159" s="53" t="n">
        <f aca="false">IF(AND(ISNUMBER(P159),Q159&gt;0),P159*365/Q159,"")</f>
        <v>0.0852374645965863</v>
      </c>
      <c r="Y159" s="42" t="n">
        <f aca="false">IF(AND(C160=C159,ISNUMBER(R160)),R160,"")</f>
        <v>0.398799909689296</v>
      </c>
      <c r="Z159" s="52" t="n">
        <f aca="false">IF(AND(W159=1,Q159&gt;Basis_Analysis!$B$3,ISNUMBER(Y159)),1,0)</f>
        <v>0</v>
      </c>
      <c r="AA159" s="43" t="str">
        <f aca="false">IF(W159=1,IF(SUMIFS($L$2:$L$756,$B$2:$B$756,B159,$W$2:$W$756,2)&gt;0,SUMIFS($L$2:$L$756,$B$2:$B$756,B159,$W$2:$W$756,2),""),"")</f>
        <v/>
      </c>
      <c r="AB159" s="54" t="str">
        <f aca="false">IF(AND(W159=1,ISNUMBER(AA159)),L159/(L159+AA159),"")</f>
        <v/>
      </c>
    </row>
    <row r="160" customFormat="false" ht="15" hidden="false" customHeight="true" outlineLevel="0" collapsed="false">
      <c r="A160" s="1" t="s">
        <v>274</v>
      </c>
      <c r="B160" s="46" t="n">
        <v>45735</v>
      </c>
      <c r="C160" s="46" t="n">
        <v>45771</v>
      </c>
      <c r="D160" s="47" t="n">
        <v>23067.95</v>
      </c>
      <c r="E160" s="47" t="n">
        <v>23140.95</v>
      </c>
      <c r="F160" s="47" t="n">
        <v>23016.65</v>
      </c>
      <c r="G160" s="47" t="n">
        <v>23123.45</v>
      </c>
      <c r="H160" s="47" t="n">
        <v>23123</v>
      </c>
      <c r="I160" s="47" t="n">
        <v>23123.45</v>
      </c>
      <c r="J160" s="48" t="n">
        <v>15478</v>
      </c>
      <c r="K160" s="47" t="n">
        <v>268106.27</v>
      </c>
      <c r="L160" s="48" t="n">
        <v>2344050</v>
      </c>
      <c r="M160" s="48" t="n">
        <v>318975</v>
      </c>
      <c r="N160" s="47" t="n">
        <v>22907.6</v>
      </c>
      <c r="O160" s="47" t="n">
        <f aca="false">IF(AND(ISNUMBER(G160),ISNUMBER(N160)),G160-N160,"")</f>
        <v>215.850000000002</v>
      </c>
      <c r="P160" s="49" t="n">
        <f aca="false">IF(ISNUMBER(O160),O160/N160,"")</f>
        <v>0.00942263702875911</v>
      </c>
      <c r="Q160" s="50" t="n">
        <f aca="false">C160-B160</f>
        <v>36</v>
      </c>
      <c r="R160" s="51" t="n">
        <f aca="false">IF(AND(C160=C159,ISNUMBER(G160),ISNUMBER(G159)),(G160/G159-1)*100,"")</f>
        <v>0.398799909689296</v>
      </c>
      <c r="S160" s="51" t="n">
        <f aca="false">IF(AND(C160=C159,ISNUMBER(L160),ISNUMBER(L159)),(L160/L159-1)*100,"")</f>
        <v>15.7512684715381</v>
      </c>
      <c r="T160" s="51" t="n">
        <f aca="false">IF(AND(C160=C159,ISNUMBER(G160),ISNUMBER(G159)),G160-G159,"")</f>
        <v>91.8500000000022</v>
      </c>
      <c r="U160" s="1" t="str">
        <f aca="false">IF(OR(NOT(ISNUMBER(R160)),NOT(ISNUMBER(S160))),"Not classified",IF(AND(R160&gt;0,S160&gt;0),"Long buildup (interpretation)",IF(AND(R160&lt;0,S160&gt;0),"Short buildup (interpretation)",IF(AND(R160&gt;0,S160&lt;0),"Short covering (interpretation)",IF(AND(R160&lt;0,S160&lt;0),"Long unwinding (interpretation)","Neutral")))))</f>
        <v>Long buildup (interpretation)</v>
      </c>
      <c r="V160" s="52" t="str">
        <f aca="false">TEXT(B160,"yyyy-mm")</f>
        <v>2025-03</v>
      </c>
      <c r="W160" s="52" t="n">
        <f aca="false">1+COUNTIFS($B$2:$B$756,B160,$C$2:$C$756,"&lt;"&amp;C160)</f>
        <v>2</v>
      </c>
      <c r="X160" s="53" t="n">
        <f aca="false">IF(AND(ISNUMBER(P160),Q160&gt;0),P160*365/Q160,"")</f>
        <v>0.0955350698749188</v>
      </c>
      <c r="Y160" s="42" t="n">
        <f aca="false">IF(AND(C161=C160,ISNUMBER(R161)),R161,"")</f>
        <v>0.964605195159018</v>
      </c>
      <c r="Z160" s="52" t="n">
        <f aca="false">IF(AND(W160=1,Q160&gt;Basis_Analysis!$B$3,ISNUMBER(Y160)),1,0)</f>
        <v>0</v>
      </c>
      <c r="AA160" s="43" t="str">
        <f aca="false">IF(W160=1,IF(SUMIFS($L$2:$L$756,$B$2:$B$756,B160,$W$2:$W$756,2)&gt;0,SUMIFS($L$2:$L$756,$B$2:$B$756,B160,$W$2:$W$756,2),""),"")</f>
        <v/>
      </c>
      <c r="AB160" s="54" t="str">
        <f aca="false">IF(AND(W160=1,ISNUMBER(AA160)),L160/(L160+AA160),"")</f>
        <v/>
      </c>
    </row>
    <row r="161" customFormat="false" ht="15" hidden="false" customHeight="true" outlineLevel="0" collapsed="false">
      <c r="A161" s="1" t="s">
        <v>274</v>
      </c>
      <c r="B161" s="46" t="n">
        <v>45736</v>
      </c>
      <c r="C161" s="46" t="n">
        <v>45771</v>
      </c>
      <c r="D161" s="47" t="n">
        <v>23208.75</v>
      </c>
      <c r="E161" s="47" t="n">
        <v>23375</v>
      </c>
      <c r="F161" s="47" t="n">
        <v>23170</v>
      </c>
      <c r="G161" s="47" t="n">
        <v>23346.5</v>
      </c>
      <c r="H161" s="47" t="n">
        <v>23333.5</v>
      </c>
      <c r="I161" s="47" t="n">
        <v>23346.5</v>
      </c>
      <c r="J161" s="48" t="n">
        <v>22446</v>
      </c>
      <c r="K161" s="47" t="n">
        <v>392036.75</v>
      </c>
      <c r="L161" s="48" t="n">
        <v>2676525</v>
      </c>
      <c r="M161" s="48" t="n">
        <v>332475</v>
      </c>
      <c r="N161" s="47" t="n">
        <v>23190.65</v>
      </c>
      <c r="O161" s="47" t="n">
        <f aca="false">IF(AND(ISNUMBER(G161),ISNUMBER(N161)),G161-N161,"")</f>
        <v>155.849999999999</v>
      </c>
      <c r="P161" s="49" t="n">
        <f aca="false">IF(ISNUMBER(O161),O161/N161,"")</f>
        <v>0.00672038084314146</v>
      </c>
      <c r="Q161" s="50" t="n">
        <f aca="false">C161-B161</f>
        <v>35</v>
      </c>
      <c r="R161" s="51" t="n">
        <f aca="false">IF(AND(C161=C160,ISNUMBER(G161),ISNUMBER(G160)),(G161/G160-1)*100,"")</f>
        <v>0.964605195159018</v>
      </c>
      <c r="S161" s="51" t="n">
        <f aca="false">IF(AND(C161=C160,ISNUMBER(L161),ISNUMBER(L160)),(L161/L160-1)*100,"")</f>
        <v>14.1837844755871</v>
      </c>
      <c r="T161" s="51" t="n">
        <f aca="false">IF(AND(C161=C160,ISNUMBER(G161),ISNUMBER(G160)),G161-G160,"")</f>
        <v>223.049999999999</v>
      </c>
      <c r="U161" s="1" t="str">
        <f aca="false">IF(OR(NOT(ISNUMBER(R161)),NOT(ISNUMBER(S161))),"Not classified",IF(AND(R161&gt;0,S161&gt;0),"Long buildup (interpretation)",IF(AND(R161&lt;0,S161&gt;0),"Short buildup (interpretation)",IF(AND(R161&gt;0,S161&lt;0),"Short covering (interpretation)",IF(AND(R161&lt;0,S161&lt;0),"Long unwinding (interpretation)","Neutral")))))</f>
        <v>Long buildup (interpretation)</v>
      </c>
      <c r="V161" s="52" t="str">
        <f aca="false">TEXT(B161,"yyyy-mm")</f>
        <v>2025-03</v>
      </c>
      <c r="W161" s="52" t="n">
        <f aca="false">1+COUNTIFS($B$2:$B$756,B161,$C$2:$C$756,"&lt;"&amp;C161)</f>
        <v>2</v>
      </c>
      <c r="X161" s="53" t="n">
        <f aca="false">IF(AND(ISNUMBER(P161),Q161&gt;0),P161*365/Q161,"")</f>
        <v>0.0700839716499038</v>
      </c>
      <c r="Y161" s="42" t="n">
        <f aca="false">IF(AND(C162=C161,ISNUMBER(R162)),R162,"")</f>
        <v>0.775276808086867</v>
      </c>
      <c r="Z161" s="52" t="n">
        <f aca="false">IF(AND(W161=1,Q161&gt;Basis_Analysis!$B$3,ISNUMBER(Y161)),1,0)</f>
        <v>0</v>
      </c>
      <c r="AA161" s="43" t="str">
        <f aca="false">IF(W161=1,IF(SUMIFS($L$2:$L$756,$B$2:$B$756,B161,$W$2:$W$756,2)&gt;0,SUMIFS($L$2:$L$756,$B$2:$B$756,B161,$W$2:$W$756,2),""),"")</f>
        <v/>
      </c>
      <c r="AB161" s="54" t="str">
        <f aca="false">IF(AND(W161=1,ISNUMBER(AA161)),L161/(L161+AA161),"")</f>
        <v/>
      </c>
    </row>
    <row r="162" customFormat="false" ht="15" hidden="false" customHeight="true" outlineLevel="0" collapsed="false">
      <c r="A162" s="1" t="s">
        <v>274</v>
      </c>
      <c r="B162" s="46" t="n">
        <v>45737</v>
      </c>
      <c r="C162" s="46" t="n">
        <v>45771</v>
      </c>
      <c r="D162" s="47" t="n">
        <v>23330.05</v>
      </c>
      <c r="E162" s="47" t="n">
        <v>23574</v>
      </c>
      <c r="F162" s="47" t="n">
        <v>23315.75</v>
      </c>
      <c r="G162" s="47" t="n">
        <v>23527.5</v>
      </c>
      <c r="H162" s="47" t="n">
        <v>23534.35</v>
      </c>
      <c r="I162" s="47" t="n">
        <v>23527.5</v>
      </c>
      <c r="J162" s="48" t="n">
        <v>26091</v>
      </c>
      <c r="K162" s="47" t="n">
        <v>459495.09</v>
      </c>
      <c r="L162" s="48" t="n">
        <v>3040350</v>
      </c>
      <c r="M162" s="48" t="n">
        <v>363825</v>
      </c>
      <c r="N162" s="47" t="n">
        <v>23350.4</v>
      </c>
      <c r="O162" s="47" t="n">
        <f aca="false">IF(AND(ISNUMBER(G162),ISNUMBER(N162)),G162-N162,"")</f>
        <v>177.099999999999</v>
      </c>
      <c r="P162" s="49" t="n">
        <f aca="false">IF(ISNUMBER(O162),O162/N162,"")</f>
        <v>0.00758445251473202</v>
      </c>
      <c r="Q162" s="50" t="n">
        <f aca="false">C162-B162</f>
        <v>34</v>
      </c>
      <c r="R162" s="51" t="n">
        <f aca="false">IF(AND(C162=C161,ISNUMBER(G162),ISNUMBER(G161)),(G162/G161-1)*100,"")</f>
        <v>0.775276808086867</v>
      </c>
      <c r="S162" s="51" t="n">
        <f aca="false">IF(AND(C162=C161,ISNUMBER(L162),ISNUMBER(L161)),(L162/L161-1)*100,"")</f>
        <v>13.5931851934878</v>
      </c>
      <c r="T162" s="51" t="n">
        <f aca="false">IF(AND(C162=C161,ISNUMBER(G162),ISNUMBER(G161)),G162-G161,"")</f>
        <v>181</v>
      </c>
      <c r="U162" s="1" t="str">
        <f aca="false">IF(OR(NOT(ISNUMBER(R162)),NOT(ISNUMBER(S162))),"Not classified",IF(AND(R162&gt;0,S162&gt;0),"Long buildup (interpretation)",IF(AND(R162&lt;0,S162&gt;0),"Short buildup (interpretation)",IF(AND(R162&gt;0,S162&lt;0),"Short covering (interpretation)",IF(AND(R162&lt;0,S162&lt;0),"Long unwinding (interpretation)","Neutral")))))</f>
        <v>Long buildup (interpretation)</v>
      </c>
      <c r="V162" s="52" t="str">
        <f aca="false">TEXT(B162,"yyyy-mm")</f>
        <v>2025-03</v>
      </c>
      <c r="W162" s="52" t="n">
        <f aca="false">1+COUNTIFS($B$2:$B$756,B162,$C$2:$C$756,"&lt;"&amp;C162)</f>
        <v>2</v>
      </c>
      <c r="X162" s="53" t="n">
        <f aca="false">IF(AND(ISNUMBER(P162),Q162&gt;0),P162*365/Q162,"")</f>
        <v>0.0814213284669761</v>
      </c>
      <c r="Y162" s="42" t="n">
        <f aca="false">IF(AND(C163=C162,ISNUMBER(R163)),R163,"")</f>
        <v>1.34587185208799</v>
      </c>
      <c r="Z162" s="52" t="n">
        <f aca="false">IF(AND(W162=1,Q162&gt;Basis_Analysis!$B$3,ISNUMBER(Y162)),1,0)</f>
        <v>0</v>
      </c>
      <c r="AA162" s="43" t="str">
        <f aca="false">IF(W162=1,IF(SUMIFS($L$2:$L$756,$B$2:$B$756,B162,$W$2:$W$756,2)&gt;0,SUMIFS($L$2:$L$756,$B$2:$B$756,B162,$W$2:$W$756,2),""),"")</f>
        <v/>
      </c>
      <c r="AB162" s="54" t="str">
        <f aca="false">IF(AND(W162=1,ISNUMBER(AA162)),L162/(L162+AA162),"")</f>
        <v/>
      </c>
    </row>
    <row r="163" customFormat="false" ht="15" hidden="false" customHeight="true" outlineLevel="0" collapsed="false">
      <c r="A163" s="1" t="s">
        <v>274</v>
      </c>
      <c r="B163" s="46" t="n">
        <v>45740</v>
      </c>
      <c r="C163" s="46" t="n">
        <v>45771</v>
      </c>
      <c r="D163" s="47" t="n">
        <v>23599.95</v>
      </c>
      <c r="E163" s="47" t="n">
        <v>23875.9</v>
      </c>
      <c r="F163" s="47" t="n">
        <v>23588</v>
      </c>
      <c r="G163" s="47" t="n">
        <v>23844.15</v>
      </c>
      <c r="H163" s="47" t="n">
        <v>23868.05</v>
      </c>
      <c r="I163" s="47" t="n">
        <v>23844.15</v>
      </c>
      <c r="J163" s="48" t="n">
        <v>49390</v>
      </c>
      <c r="K163" s="47" t="n">
        <v>880642.47</v>
      </c>
      <c r="L163" s="48" t="n">
        <v>4772325</v>
      </c>
      <c r="M163" s="48" t="n">
        <v>1731975</v>
      </c>
      <c r="N163" s="47" t="n">
        <v>23658.35</v>
      </c>
      <c r="O163" s="47" t="n">
        <f aca="false">IF(AND(ISNUMBER(G163),ISNUMBER(N163)),G163-N163,"")</f>
        <v>185.800000000003</v>
      </c>
      <c r="P163" s="49" t="n">
        <f aca="false">IF(ISNUMBER(O163),O163/N163,"")</f>
        <v>0.00785346399896878</v>
      </c>
      <c r="Q163" s="50" t="n">
        <f aca="false">C163-B163</f>
        <v>31</v>
      </c>
      <c r="R163" s="51" t="n">
        <f aca="false">IF(AND(C163=C162,ISNUMBER(G163),ISNUMBER(G162)),(G163/G162-1)*100,"")</f>
        <v>1.34587185208799</v>
      </c>
      <c r="S163" s="51" t="n">
        <f aca="false">IF(AND(C163=C162,ISNUMBER(L163),ISNUMBER(L162)),(L163/L162-1)*100,"")</f>
        <v>56.9663032216686</v>
      </c>
      <c r="T163" s="51" t="n">
        <f aca="false">IF(AND(C163=C162,ISNUMBER(G163),ISNUMBER(G162)),G163-G162,"")</f>
        <v>316.650000000001</v>
      </c>
      <c r="U163" s="1" t="str">
        <f aca="false">IF(OR(NOT(ISNUMBER(R163)),NOT(ISNUMBER(S163))),"Not classified",IF(AND(R163&gt;0,S163&gt;0),"Long buildup (interpretation)",IF(AND(R163&lt;0,S163&gt;0),"Short buildup (interpretation)",IF(AND(R163&gt;0,S163&lt;0),"Short covering (interpretation)",IF(AND(R163&lt;0,S163&lt;0),"Long unwinding (interpretation)","Neutral")))))</f>
        <v>Long buildup (interpretation)</v>
      </c>
      <c r="V163" s="52" t="str">
        <f aca="false">TEXT(B163,"yyyy-mm")</f>
        <v>2025-03</v>
      </c>
      <c r="W163" s="52" t="n">
        <f aca="false">1+COUNTIFS($B$2:$B$756,B163,$C$2:$C$756,"&lt;"&amp;C163)</f>
        <v>2</v>
      </c>
      <c r="X163" s="53" t="n">
        <f aca="false">IF(AND(ISNUMBER(P163),Q163&gt;0),P163*365/Q163,"")</f>
        <v>0.0924682051491485</v>
      </c>
      <c r="Y163" s="42" t="n">
        <f aca="false">IF(AND(C164=C163,ISNUMBER(R164)),R164,"")</f>
        <v>0.0729738740948838</v>
      </c>
      <c r="Z163" s="52" t="n">
        <f aca="false">IF(AND(W163=1,Q163&gt;Basis_Analysis!$B$3,ISNUMBER(Y163)),1,0)</f>
        <v>0</v>
      </c>
      <c r="AA163" s="43" t="str">
        <f aca="false">IF(W163=1,IF(SUMIFS($L$2:$L$756,$B$2:$B$756,B163,$W$2:$W$756,2)&gt;0,SUMIFS($L$2:$L$756,$B$2:$B$756,B163,$W$2:$W$756,2),""),"")</f>
        <v/>
      </c>
      <c r="AB163" s="54" t="str">
        <f aca="false">IF(AND(W163=1,ISNUMBER(AA163)),L163/(L163+AA163),"")</f>
        <v/>
      </c>
    </row>
    <row r="164" customFormat="false" ht="15" hidden="false" customHeight="true" outlineLevel="0" collapsed="false">
      <c r="A164" s="1" t="s">
        <v>274</v>
      </c>
      <c r="B164" s="46" t="n">
        <v>45741</v>
      </c>
      <c r="C164" s="46" t="n">
        <v>45771</v>
      </c>
      <c r="D164" s="47" t="n">
        <v>23968</v>
      </c>
      <c r="E164" s="47" t="n">
        <v>24035</v>
      </c>
      <c r="F164" s="47" t="n">
        <v>23810.4</v>
      </c>
      <c r="G164" s="47" t="n">
        <v>23861.55</v>
      </c>
      <c r="H164" s="47" t="n">
        <v>23820</v>
      </c>
      <c r="I164" s="47" t="n">
        <v>23861.55</v>
      </c>
      <c r="J164" s="48" t="n">
        <v>64807</v>
      </c>
      <c r="K164" s="47" t="n">
        <v>1161548.78</v>
      </c>
      <c r="L164" s="48" t="n">
        <v>6784800</v>
      </c>
      <c r="M164" s="48" t="n">
        <v>2012475</v>
      </c>
      <c r="N164" s="47" t="n">
        <v>23668.65</v>
      </c>
      <c r="O164" s="47" t="n">
        <f aca="false">IF(AND(ISNUMBER(G164),ISNUMBER(N164)),G164-N164,"")</f>
        <v>192.899999999998</v>
      </c>
      <c r="P164" s="49" t="n">
        <f aca="false">IF(ISNUMBER(O164),O164/N164,"")</f>
        <v>0.00815002123061509</v>
      </c>
      <c r="Q164" s="50" t="n">
        <f aca="false">C164-B164</f>
        <v>30</v>
      </c>
      <c r="R164" s="51" t="n">
        <f aca="false">IF(AND(C164=C163,ISNUMBER(G164),ISNUMBER(G163)),(G164/G163-1)*100,"")</f>
        <v>0.0729738740948838</v>
      </c>
      <c r="S164" s="51" t="n">
        <f aca="false">IF(AND(C164=C163,ISNUMBER(L164),ISNUMBER(L163)),(L164/L163-1)*100,"")</f>
        <v>42.1696971601892</v>
      </c>
      <c r="T164" s="51" t="n">
        <f aca="false">IF(AND(C164=C163,ISNUMBER(G164),ISNUMBER(G163)),G164-G163,"")</f>
        <v>17.3999999999978</v>
      </c>
      <c r="U164" s="1" t="str">
        <f aca="false">IF(OR(NOT(ISNUMBER(R164)),NOT(ISNUMBER(S164))),"Not classified",IF(AND(R164&gt;0,S164&gt;0),"Long buildup (interpretation)",IF(AND(R164&lt;0,S164&gt;0),"Short buildup (interpretation)",IF(AND(R164&gt;0,S164&lt;0),"Short covering (interpretation)",IF(AND(R164&lt;0,S164&lt;0),"Long unwinding (interpretation)","Neutral")))))</f>
        <v>Long buildup (interpretation)</v>
      </c>
      <c r="V164" s="52" t="str">
        <f aca="false">TEXT(B164,"yyyy-mm")</f>
        <v>2025-03</v>
      </c>
      <c r="W164" s="52" t="n">
        <f aca="false">1+COUNTIFS($B$2:$B$756,B164,$C$2:$C$756,"&lt;"&amp;C164)</f>
        <v>2</v>
      </c>
      <c r="X164" s="53" t="n">
        <f aca="false">IF(AND(ISNUMBER(P164),Q164&gt;0),P164*365/Q164,"")</f>
        <v>0.0991585916391502</v>
      </c>
      <c r="Y164" s="42" t="n">
        <f aca="false">IF(AND(C165=C164,ISNUMBER(R165)),R165,"")</f>
        <v>-0.75477075043322</v>
      </c>
      <c r="Z164" s="52" t="n">
        <f aca="false">IF(AND(W164=1,Q164&gt;Basis_Analysis!$B$3,ISNUMBER(Y164)),1,0)</f>
        <v>0</v>
      </c>
      <c r="AA164" s="43" t="str">
        <f aca="false">IF(W164=1,IF(SUMIFS($L$2:$L$756,$B$2:$B$756,B164,$W$2:$W$756,2)&gt;0,SUMIFS($L$2:$L$756,$B$2:$B$756,B164,$W$2:$W$756,2),""),"")</f>
        <v/>
      </c>
      <c r="AB164" s="54" t="str">
        <f aca="false">IF(AND(W164=1,ISNUMBER(AA164)),L164/(L164+AA164),"")</f>
        <v/>
      </c>
    </row>
    <row r="165" customFormat="false" ht="15" hidden="false" customHeight="true" outlineLevel="0" collapsed="false">
      <c r="A165" s="1" t="s">
        <v>274</v>
      </c>
      <c r="B165" s="46" t="n">
        <v>45742</v>
      </c>
      <c r="C165" s="46" t="n">
        <v>45771</v>
      </c>
      <c r="D165" s="47" t="n">
        <v>23852.1</v>
      </c>
      <c r="E165" s="47" t="n">
        <v>23913</v>
      </c>
      <c r="F165" s="47" t="n">
        <v>23656.5</v>
      </c>
      <c r="G165" s="47" t="n">
        <v>23681.45</v>
      </c>
      <c r="H165" s="47" t="n">
        <v>23672.55</v>
      </c>
      <c r="I165" s="47" t="n">
        <v>23681.45</v>
      </c>
      <c r="J165" s="48" t="n">
        <v>94432</v>
      </c>
      <c r="K165" s="47" t="n">
        <v>1683359.13</v>
      </c>
      <c r="L165" s="48" t="n">
        <v>9984900</v>
      </c>
      <c r="M165" s="48" t="n">
        <v>3200100</v>
      </c>
      <c r="N165" s="47" t="n">
        <v>23486.85</v>
      </c>
      <c r="O165" s="47" t="n">
        <f aca="false">IF(AND(ISNUMBER(G165),ISNUMBER(N165)),G165-N165,"")</f>
        <v>194.600000000002</v>
      </c>
      <c r="P165" s="49" t="n">
        <f aca="false">IF(ISNUMBER(O165),O165/N165,"")</f>
        <v>0.00828548741104074</v>
      </c>
      <c r="Q165" s="50" t="n">
        <f aca="false">C165-B165</f>
        <v>29</v>
      </c>
      <c r="R165" s="51" t="n">
        <f aca="false">IF(AND(C165=C164,ISNUMBER(G165),ISNUMBER(G164)),(G165/G164-1)*100,"")</f>
        <v>-0.75477075043322</v>
      </c>
      <c r="S165" s="51" t="n">
        <f aca="false">IF(AND(C165=C164,ISNUMBER(L165),ISNUMBER(L164)),(L165/L164-1)*100,"")</f>
        <v>47.1657233816767</v>
      </c>
      <c r="T165" s="51" t="n">
        <f aca="false">IF(AND(C165=C164,ISNUMBER(G165),ISNUMBER(G164)),G165-G164,"")</f>
        <v>-180.099999999999</v>
      </c>
      <c r="U165" s="1" t="str">
        <f aca="false">IF(OR(NOT(ISNUMBER(R165)),NOT(ISNUMBER(S165))),"Not classified",IF(AND(R165&gt;0,S165&gt;0),"Long buildup (interpretation)",IF(AND(R165&lt;0,S165&gt;0),"Short buildup (interpretation)",IF(AND(R165&gt;0,S165&lt;0),"Short covering (interpretation)",IF(AND(R165&lt;0,S165&lt;0),"Long unwinding (interpretation)","Neutral")))))</f>
        <v>Short buildup (interpretation)</v>
      </c>
      <c r="V165" s="52" t="str">
        <f aca="false">TEXT(B165,"yyyy-mm")</f>
        <v>2025-03</v>
      </c>
      <c r="W165" s="52" t="n">
        <f aca="false">1+COUNTIFS($B$2:$B$756,B165,$C$2:$C$756,"&lt;"&amp;C165)</f>
        <v>2</v>
      </c>
      <c r="X165" s="53" t="n">
        <f aca="false">IF(AND(ISNUMBER(P165),Q165&gt;0),P165*365/Q165,"")</f>
        <v>0.104282858794133</v>
      </c>
      <c r="Y165" s="42" t="n">
        <f aca="false">IF(AND(C166=C165,ISNUMBER(R166)),R166,"")</f>
        <v>0.406225125572979</v>
      </c>
      <c r="Z165" s="52" t="n">
        <f aca="false">IF(AND(W165=1,Q165&gt;Basis_Analysis!$B$3,ISNUMBER(Y165)),1,0)</f>
        <v>0</v>
      </c>
      <c r="AA165" s="43" t="str">
        <f aca="false">IF(W165=1,IF(SUMIFS($L$2:$L$756,$B$2:$B$756,B165,$W$2:$W$756,2)&gt;0,SUMIFS($L$2:$L$756,$B$2:$B$756,B165,$W$2:$W$756,2),""),"")</f>
        <v/>
      </c>
      <c r="AB165" s="54" t="str">
        <f aca="false">IF(AND(W165=1,ISNUMBER(AA165)),L165/(L165+AA165),"")</f>
        <v/>
      </c>
    </row>
    <row r="166" customFormat="false" ht="15" hidden="false" customHeight="true" outlineLevel="0" collapsed="false">
      <c r="A166" s="1" t="s">
        <v>274</v>
      </c>
      <c r="B166" s="46" t="n">
        <v>45743</v>
      </c>
      <c r="C166" s="46" t="n">
        <v>45771</v>
      </c>
      <c r="D166" s="47" t="n">
        <v>23650</v>
      </c>
      <c r="E166" s="47" t="n">
        <v>23812.3</v>
      </c>
      <c r="F166" s="47" t="n">
        <v>23575.1</v>
      </c>
      <c r="G166" s="47" t="n">
        <v>23777.65</v>
      </c>
      <c r="H166" s="47" t="n">
        <v>23810</v>
      </c>
      <c r="I166" s="47" t="n">
        <v>23777.65</v>
      </c>
      <c r="J166" s="48" t="n">
        <v>83340</v>
      </c>
      <c r="K166" s="47" t="n">
        <v>1484613.57</v>
      </c>
      <c r="L166" s="48" t="n">
        <v>12423450</v>
      </c>
      <c r="M166" s="48" t="n">
        <v>2438550</v>
      </c>
      <c r="N166" s="47" t="n">
        <v>23591.95</v>
      </c>
      <c r="O166" s="47" t="n">
        <f aca="false">IF(AND(ISNUMBER(G166),ISNUMBER(N166)),G166-N166,"")</f>
        <v>185.700000000001</v>
      </c>
      <c r="P166" s="49" t="n">
        <f aca="false">IF(ISNUMBER(O166),O166/N166,"")</f>
        <v>0.00787132899145686</v>
      </c>
      <c r="Q166" s="50" t="n">
        <f aca="false">C166-B166</f>
        <v>28</v>
      </c>
      <c r="R166" s="51" t="n">
        <f aca="false">IF(AND(C166=C165,ISNUMBER(G166),ISNUMBER(G165)),(G166/G165-1)*100,"")</f>
        <v>0.406225125572979</v>
      </c>
      <c r="S166" s="51" t="n">
        <f aca="false">IF(AND(C166=C165,ISNUMBER(L166),ISNUMBER(L165)),(L166/L165-1)*100,"")</f>
        <v>24.4223777904636</v>
      </c>
      <c r="T166" s="51" t="n">
        <f aca="false">IF(AND(C166=C165,ISNUMBER(G166),ISNUMBER(G165)),G166-G165,"")</f>
        <v>96.2000000000007</v>
      </c>
      <c r="U166" s="1" t="str">
        <f aca="false">IF(OR(NOT(ISNUMBER(R166)),NOT(ISNUMBER(S166))),"Not classified",IF(AND(R166&gt;0,S166&gt;0),"Long buildup (interpretation)",IF(AND(R166&lt;0,S166&gt;0),"Short buildup (interpretation)",IF(AND(R166&gt;0,S166&lt;0),"Short covering (interpretation)",IF(AND(R166&lt;0,S166&lt;0),"Long unwinding (interpretation)","Neutral")))))</f>
        <v>Long buildup (interpretation)</v>
      </c>
      <c r="V166" s="52" t="str">
        <f aca="false">TEXT(B166,"yyyy-mm")</f>
        <v>2025-03</v>
      </c>
      <c r="W166" s="52" t="n">
        <f aca="false">1+COUNTIFS($B$2:$B$756,B166,$C$2:$C$756,"&lt;"&amp;C166)</f>
        <v>2</v>
      </c>
      <c r="X166" s="53" t="n">
        <f aca="false">IF(AND(ISNUMBER(P166),Q166&gt;0),P166*365/Q166,"")</f>
        <v>0.102608395781491</v>
      </c>
      <c r="Y166" s="42" t="n">
        <f aca="false">IF(AND(C167=C166,ISNUMBER(R167)),R167,"")</f>
        <v>-0.588788210777769</v>
      </c>
      <c r="Z166" s="52" t="n">
        <f aca="false">IF(AND(W166=1,Q166&gt;Basis_Analysis!$B$3,ISNUMBER(Y166)),1,0)</f>
        <v>0</v>
      </c>
      <c r="AA166" s="43" t="str">
        <f aca="false">IF(W166=1,IF(SUMIFS($L$2:$L$756,$B$2:$B$756,B166,$W$2:$W$756,2)&gt;0,SUMIFS($L$2:$L$756,$B$2:$B$756,B166,$W$2:$W$756,2),""),"")</f>
        <v/>
      </c>
      <c r="AB166" s="54" t="str">
        <f aca="false">IF(AND(W166=1,ISNUMBER(AA166)),L166/(L166+AA166),"")</f>
        <v/>
      </c>
    </row>
    <row r="167" customFormat="false" ht="15" hidden="false" customHeight="true" outlineLevel="0" collapsed="false">
      <c r="A167" s="1" t="s">
        <v>274</v>
      </c>
      <c r="B167" s="46" t="n">
        <v>45744</v>
      </c>
      <c r="C167" s="46" t="n">
        <v>45771</v>
      </c>
      <c r="D167" s="47" t="n">
        <v>23775.05</v>
      </c>
      <c r="E167" s="47" t="n">
        <v>23801.6</v>
      </c>
      <c r="F167" s="47" t="n">
        <v>23560</v>
      </c>
      <c r="G167" s="47" t="n">
        <v>23637.65</v>
      </c>
      <c r="H167" s="47" t="n">
        <v>23643</v>
      </c>
      <c r="I167" s="47" t="n">
        <v>23637.65</v>
      </c>
      <c r="J167" s="48" t="n">
        <v>97506</v>
      </c>
      <c r="K167" s="47" t="n">
        <v>1731152.87</v>
      </c>
      <c r="L167" s="48" t="n">
        <v>12560100</v>
      </c>
      <c r="M167" s="48" t="n">
        <v>136650</v>
      </c>
      <c r="N167" s="47"/>
      <c r="O167" s="47" t="str">
        <f aca="false">IF(AND(ISNUMBER(G167),ISNUMBER(N167)),G167-N167,"")</f>
        <v/>
      </c>
      <c r="P167" s="49" t="str">
        <f aca="false">IF(ISNUMBER(O167),O167/N167,"")</f>
        <v/>
      </c>
      <c r="Q167" s="50" t="n">
        <f aca="false">C167-B167</f>
        <v>27</v>
      </c>
      <c r="R167" s="51" t="n">
        <f aca="false">IF(AND(C167=C166,ISNUMBER(G167),ISNUMBER(G166)),(G167/G166-1)*100,"")</f>
        <v>-0.588788210777769</v>
      </c>
      <c r="S167" s="51" t="n">
        <f aca="false">IF(AND(C167=C166,ISNUMBER(L167),ISNUMBER(L166)),(L167/L166-1)*100,"")</f>
        <v>1.09993600811369</v>
      </c>
      <c r="T167" s="51" t="n">
        <f aca="false">IF(AND(C167=C166,ISNUMBER(G167),ISNUMBER(G166)),G167-G166,"")</f>
        <v>-140</v>
      </c>
      <c r="U167" s="1" t="str">
        <f aca="false">IF(OR(NOT(ISNUMBER(R167)),NOT(ISNUMBER(S167))),"Not classified",IF(AND(R167&gt;0,S167&gt;0),"Long buildup (interpretation)",IF(AND(R167&lt;0,S167&gt;0),"Short buildup (interpretation)",IF(AND(R167&gt;0,S167&lt;0),"Short covering (interpretation)",IF(AND(R167&lt;0,S167&lt;0),"Long unwinding (interpretation)","Neutral")))))</f>
        <v>Short buildup (interpretation)</v>
      </c>
      <c r="V167" s="52" t="str">
        <f aca="false">TEXT(B167,"yyyy-mm")</f>
        <v>2025-03</v>
      </c>
      <c r="W167" s="52" t="n">
        <f aca="false">1+COUNTIFS($B$2:$B$756,B167,$C$2:$C$756,"&lt;"&amp;C167)</f>
        <v>1</v>
      </c>
      <c r="X167" s="53" t="str">
        <f aca="false">IF(AND(ISNUMBER(P167),Q167&gt;0),P167*365/Q167,"")</f>
        <v/>
      </c>
      <c r="Y167" s="42" t="n">
        <f aca="false">IF(AND(C168=C167,ISNUMBER(R168)),R168,"")</f>
        <v>-1.33790795616315</v>
      </c>
      <c r="Z167" s="52" t="n">
        <f aca="false">IF(AND(W167=1,Q167&gt;Basis_Analysis!$B$3,ISNUMBER(Y167)),1,0)</f>
        <v>1</v>
      </c>
      <c r="AA167" s="43" t="n">
        <f aca="false">IF(W167=1,IF(SUMIFS($L$2:$L$756,$B$2:$B$756,B167,$W$2:$W$756,2)&gt;0,SUMIFS($L$2:$L$756,$B$2:$B$756,B167,$W$2:$W$756,2),""),"")</f>
        <v>1693200</v>
      </c>
      <c r="AB167" s="54" t="n">
        <f aca="false">IF(AND(W167=1,ISNUMBER(AA167)),L167/(L167+AA167),"")</f>
        <v>0.881206457451959</v>
      </c>
    </row>
    <row r="168" customFormat="false" ht="15" hidden="false" customHeight="true" outlineLevel="0" collapsed="false">
      <c r="A168" s="1" t="s">
        <v>274</v>
      </c>
      <c r="B168" s="46" t="n">
        <v>45748</v>
      </c>
      <c r="C168" s="46" t="n">
        <v>45771</v>
      </c>
      <c r="D168" s="47" t="n">
        <v>23530</v>
      </c>
      <c r="E168" s="47" t="n">
        <v>23668</v>
      </c>
      <c r="F168" s="47" t="n">
        <v>23290</v>
      </c>
      <c r="G168" s="47" t="n">
        <v>23321.4</v>
      </c>
      <c r="H168" s="47" t="n">
        <v>23308.55</v>
      </c>
      <c r="I168" s="47" t="n">
        <v>23321.4</v>
      </c>
      <c r="J168" s="48" t="n">
        <v>122621</v>
      </c>
      <c r="K168" s="47" t="n">
        <v>2155245.22</v>
      </c>
      <c r="L168" s="48" t="n">
        <v>12808425</v>
      </c>
      <c r="M168" s="48" t="n">
        <v>248325</v>
      </c>
      <c r="N168" s="47" t="n">
        <v>23165.7</v>
      </c>
      <c r="O168" s="47" t="n">
        <f aca="false">IF(AND(ISNUMBER(G168),ISNUMBER(N168)),G168-N168,"")</f>
        <v>155.700000000001</v>
      </c>
      <c r="P168" s="49" t="n">
        <f aca="false">IF(ISNUMBER(O168),O168/N168,"")</f>
        <v>0.00672114375995548</v>
      </c>
      <c r="Q168" s="50" t="n">
        <f aca="false">C168-B168</f>
        <v>23</v>
      </c>
      <c r="R168" s="51" t="n">
        <f aca="false">IF(AND(C168=C167,ISNUMBER(G168),ISNUMBER(G167)),(G168/G167-1)*100,"")</f>
        <v>-1.33790795616315</v>
      </c>
      <c r="S168" s="51" t="n">
        <f aca="false">IF(AND(C168=C167,ISNUMBER(L168),ISNUMBER(L167)),(L168/L167-1)*100,"")</f>
        <v>1.97709413141616</v>
      </c>
      <c r="T168" s="51" t="n">
        <f aca="false">IF(AND(C168=C167,ISNUMBER(G168),ISNUMBER(G167)),G168-G167,"")</f>
        <v>-316.25</v>
      </c>
      <c r="U168" s="1" t="str">
        <f aca="false">IF(OR(NOT(ISNUMBER(R168)),NOT(ISNUMBER(S168))),"Not classified",IF(AND(R168&gt;0,S168&gt;0),"Long buildup (interpretation)",IF(AND(R168&lt;0,S168&gt;0),"Short buildup (interpretation)",IF(AND(R168&gt;0,S168&lt;0),"Short covering (interpretation)",IF(AND(R168&lt;0,S168&lt;0),"Long unwinding (interpretation)","Neutral")))))</f>
        <v>Short buildup (interpretation)</v>
      </c>
      <c r="V168" s="52" t="str">
        <f aca="false">TEXT(B168,"yyyy-mm")</f>
        <v>2025-04</v>
      </c>
      <c r="W168" s="52" t="n">
        <f aca="false">1+COUNTIFS($B$2:$B$756,B168,$C$2:$C$756,"&lt;"&amp;C168)</f>
        <v>1</v>
      </c>
      <c r="X168" s="53" t="n">
        <f aca="false">IF(AND(ISNUMBER(P168),Q168&gt;0),P168*365/Q168,"")</f>
        <v>0.106661629234076</v>
      </c>
      <c r="Y168" s="42" t="n">
        <f aca="false">IF(AND(C169=C168,ISNUMBER(R169)),R169,"")</f>
        <v>0.504043496531081</v>
      </c>
      <c r="Z168" s="52" t="n">
        <f aca="false">IF(AND(W168=1,Q168&gt;Basis_Analysis!$B$3,ISNUMBER(Y168)),1,0)</f>
        <v>1</v>
      </c>
      <c r="AA168" s="43" t="n">
        <f aca="false">IF(W168=1,IF(SUMIFS($L$2:$L$756,$B$2:$B$756,B168,$W$2:$W$756,2)&gt;0,SUMIFS($L$2:$L$756,$B$2:$B$756,B168,$W$2:$W$756,2),""),"")</f>
        <v>1450875</v>
      </c>
      <c r="AB168" s="54" t="n">
        <f aca="false">IF(AND(W168=1,ISNUMBER(AA168)),L168/(L168+AA168),"")</f>
        <v>0.898250615387852</v>
      </c>
    </row>
    <row r="169" customFormat="false" ht="15" hidden="false" customHeight="true" outlineLevel="0" collapsed="false">
      <c r="A169" s="1" t="s">
        <v>274</v>
      </c>
      <c r="B169" s="46" t="n">
        <v>45749</v>
      </c>
      <c r="C169" s="46" t="n">
        <v>45771</v>
      </c>
      <c r="D169" s="47" t="n">
        <v>23326.95</v>
      </c>
      <c r="E169" s="47" t="n">
        <v>23459.6</v>
      </c>
      <c r="F169" s="47" t="n">
        <v>23300</v>
      </c>
      <c r="G169" s="47" t="n">
        <v>23438.95</v>
      </c>
      <c r="H169" s="47" t="n">
        <v>23435</v>
      </c>
      <c r="I169" s="47" t="n">
        <v>23438.95</v>
      </c>
      <c r="J169" s="48" t="n">
        <v>64204</v>
      </c>
      <c r="K169" s="47" t="n">
        <v>1126529.19</v>
      </c>
      <c r="L169" s="48" t="n">
        <v>12604950</v>
      </c>
      <c r="M169" s="48" t="n">
        <v>-203475</v>
      </c>
      <c r="N169" s="47" t="n">
        <v>23332.35</v>
      </c>
      <c r="O169" s="47" t="n">
        <f aca="false">IF(AND(ISNUMBER(G169),ISNUMBER(N169)),G169-N169,"")</f>
        <v>106.600000000002</v>
      </c>
      <c r="P169" s="49" t="n">
        <f aca="false">IF(ISNUMBER(O169),O169/N169,"")</f>
        <v>0.0045687639693388</v>
      </c>
      <c r="Q169" s="50" t="n">
        <f aca="false">C169-B169</f>
        <v>22</v>
      </c>
      <c r="R169" s="51" t="n">
        <f aca="false">IF(AND(C169=C168,ISNUMBER(G169),ISNUMBER(G168)),(G169/G168-1)*100,"")</f>
        <v>0.504043496531081</v>
      </c>
      <c r="S169" s="51" t="n">
        <f aca="false">IF(AND(C169=C168,ISNUMBER(L169),ISNUMBER(L168)),(L169/L168-1)*100,"")</f>
        <v>-1.58860281416333</v>
      </c>
      <c r="T169" s="51" t="n">
        <f aca="false">IF(AND(C169=C168,ISNUMBER(G169),ISNUMBER(G168)),G169-G168,"")</f>
        <v>117.549999999999</v>
      </c>
      <c r="U169" s="1" t="str">
        <f aca="false">IF(OR(NOT(ISNUMBER(R169)),NOT(ISNUMBER(S169))),"Not classified",IF(AND(R169&gt;0,S169&gt;0),"Long buildup (interpretation)",IF(AND(R169&lt;0,S169&gt;0),"Short buildup (interpretation)",IF(AND(R169&gt;0,S169&lt;0),"Short covering (interpretation)",IF(AND(R169&lt;0,S169&lt;0),"Long unwinding (interpretation)","Neutral")))))</f>
        <v>Short covering (interpretation)</v>
      </c>
      <c r="V169" s="52" t="str">
        <f aca="false">TEXT(B169,"yyyy-mm")</f>
        <v>2025-04</v>
      </c>
      <c r="W169" s="52" t="n">
        <f aca="false">1+COUNTIFS($B$2:$B$756,B169,$C$2:$C$756,"&lt;"&amp;C169)</f>
        <v>1</v>
      </c>
      <c r="X169" s="53" t="n">
        <f aca="false">IF(AND(ISNUMBER(P169),Q169&gt;0),P169*365/Q169,"")</f>
        <v>0.075799947673121</v>
      </c>
      <c r="Y169" s="42" t="n">
        <f aca="false">IF(AND(C170=C169,ISNUMBER(R170)),R170,"")</f>
        <v>-0.482103507196352</v>
      </c>
      <c r="Z169" s="52" t="n">
        <f aca="false">IF(AND(W169=1,Q169&gt;Basis_Analysis!$B$3,ISNUMBER(Y169)),1,0)</f>
        <v>1</v>
      </c>
      <c r="AA169" s="43" t="n">
        <f aca="false">IF(W169=1,IF(SUMIFS($L$2:$L$756,$B$2:$B$756,B169,$W$2:$W$756,2)&gt;0,SUMIFS($L$2:$L$756,$B$2:$B$756,B169,$W$2:$W$756,2),""),"")</f>
        <v>1473975</v>
      </c>
      <c r="AB169" s="54" t="n">
        <f aca="false">IF(AND(W169=1,ISNUMBER(AA169)),L169/(L169+AA169),"")</f>
        <v>0.895306282262318</v>
      </c>
    </row>
    <row r="170" customFormat="false" ht="15" hidden="false" customHeight="true" outlineLevel="0" collapsed="false">
      <c r="A170" s="1" t="s">
        <v>274</v>
      </c>
      <c r="B170" s="46" t="n">
        <v>45750</v>
      </c>
      <c r="C170" s="46" t="n">
        <v>45771</v>
      </c>
      <c r="D170" s="47" t="n">
        <v>23215</v>
      </c>
      <c r="E170" s="47" t="n">
        <v>23411.1</v>
      </c>
      <c r="F170" s="47" t="n">
        <v>23215</v>
      </c>
      <c r="G170" s="47" t="n">
        <v>23325.95</v>
      </c>
      <c r="H170" s="47" t="n">
        <v>23325.9</v>
      </c>
      <c r="I170" s="47" t="n">
        <v>23325.95</v>
      </c>
      <c r="J170" s="48" t="n">
        <v>68519</v>
      </c>
      <c r="K170" s="47" t="n">
        <v>1199671.42</v>
      </c>
      <c r="L170" s="48" t="n">
        <v>13032300</v>
      </c>
      <c r="M170" s="48" t="n">
        <v>427350</v>
      </c>
      <c r="N170" s="47" t="n">
        <v>23250.1</v>
      </c>
      <c r="O170" s="47" t="n">
        <f aca="false">IF(AND(ISNUMBER(G170),ISNUMBER(N170)),G170-N170,"")</f>
        <v>75.8500000000022</v>
      </c>
      <c r="P170" s="49" t="n">
        <f aca="false">IF(ISNUMBER(O170),O170/N170,"")</f>
        <v>0.00326235155977833</v>
      </c>
      <c r="Q170" s="50" t="n">
        <f aca="false">C170-B170</f>
        <v>21</v>
      </c>
      <c r="R170" s="51" t="n">
        <f aca="false">IF(AND(C170=C169,ISNUMBER(G170),ISNUMBER(G169)),(G170/G169-1)*100,"")</f>
        <v>-0.482103507196352</v>
      </c>
      <c r="S170" s="51" t="n">
        <f aca="false">IF(AND(C170=C169,ISNUMBER(L170),ISNUMBER(L169)),(L170/L169-1)*100,"")</f>
        <v>3.39033474944368</v>
      </c>
      <c r="T170" s="51" t="n">
        <f aca="false">IF(AND(C170=C169,ISNUMBER(G170),ISNUMBER(G169)),G170-G169,"")</f>
        <v>-113</v>
      </c>
      <c r="U170" s="1" t="str">
        <f aca="false">IF(OR(NOT(ISNUMBER(R170)),NOT(ISNUMBER(S170))),"Not classified",IF(AND(R170&gt;0,S170&gt;0),"Long buildup (interpretation)",IF(AND(R170&lt;0,S170&gt;0),"Short buildup (interpretation)",IF(AND(R170&gt;0,S170&lt;0),"Short covering (interpretation)",IF(AND(R170&lt;0,S170&lt;0),"Long unwinding (interpretation)","Neutral")))))</f>
        <v>Short buildup (interpretation)</v>
      </c>
      <c r="V170" s="52" t="str">
        <f aca="false">TEXT(B170,"yyyy-mm")</f>
        <v>2025-04</v>
      </c>
      <c r="W170" s="52" t="n">
        <f aca="false">1+COUNTIFS($B$2:$B$756,B170,$C$2:$C$756,"&lt;"&amp;C170)</f>
        <v>1</v>
      </c>
      <c r="X170" s="53" t="n">
        <f aca="false">IF(AND(ISNUMBER(P170),Q170&gt;0),P170*365/Q170,"")</f>
        <v>0.0567027771104329</v>
      </c>
      <c r="Y170" s="42" t="n">
        <f aca="false">IF(AND(C171=C170,ISNUMBER(R171)),R171,"")</f>
        <v>-1.57678465400123</v>
      </c>
      <c r="Z170" s="52" t="n">
        <f aca="false">IF(AND(W170=1,Q170&gt;Basis_Analysis!$B$3,ISNUMBER(Y170)),1,0)</f>
        <v>1</v>
      </c>
      <c r="AA170" s="43" t="n">
        <f aca="false">IF(W170=1,IF(SUMIFS($L$2:$L$756,$B$2:$B$756,B170,$W$2:$W$756,2)&gt;0,SUMIFS($L$2:$L$756,$B$2:$B$756,B170,$W$2:$W$756,2),""),"")</f>
        <v>1470375</v>
      </c>
      <c r="AB170" s="54" t="n">
        <f aca="false">IF(AND(W170=1,ISNUMBER(AA170)),L170/(L170+AA170),"")</f>
        <v>0.898613531641576</v>
      </c>
    </row>
    <row r="171" customFormat="false" ht="15" hidden="false" customHeight="true" outlineLevel="0" collapsed="false">
      <c r="A171" s="1" t="s">
        <v>274</v>
      </c>
      <c r="B171" s="46" t="n">
        <v>45751</v>
      </c>
      <c r="C171" s="46" t="n">
        <v>45771</v>
      </c>
      <c r="D171" s="47" t="n">
        <v>23229.7</v>
      </c>
      <c r="E171" s="47" t="n">
        <v>23250</v>
      </c>
      <c r="F171" s="47" t="n">
        <v>22920.05</v>
      </c>
      <c r="G171" s="47" t="n">
        <v>22958.15</v>
      </c>
      <c r="H171" s="47" t="n">
        <v>22967.5</v>
      </c>
      <c r="I171" s="47" t="n">
        <v>22958.15</v>
      </c>
      <c r="J171" s="48" t="n">
        <v>108118</v>
      </c>
      <c r="K171" s="47" t="n">
        <v>1869311.37</v>
      </c>
      <c r="L171" s="48" t="n">
        <v>13654275</v>
      </c>
      <c r="M171" s="48" t="n">
        <v>621975</v>
      </c>
      <c r="N171" s="47" t="n">
        <v>22904.45</v>
      </c>
      <c r="O171" s="47" t="n">
        <f aca="false">IF(AND(ISNUMBER(G171),ISNUMBER(N171)),G171-N171,"")</f>
        <v>53.7000000000007</v>
      </c>
      <c r="P171" s="49" t="n">
        <f aca="false">IF(ISNUMBER(O171),O171/N171,"")</f>
        <v>0.00234452257094149</v>
      </c>
      <c r="Q171" s="50" t="n">
        <f aca="false">C171-B171</f>
        <v>20</v>
      </c>
      <c r="R171" s="51" t="n">
        <f aca="false">IF(AND(C171=C170,ISNUMBER(G171),ISNUMBER(G170)),(G171/G170-1)*100,"")</f>
        <v>-1.57678465400123</v>
      </c>
      <c r="S171" s="51" t="n">
        <f aca="false">IF(AND(C171=C170,ISNUMBER(L171),ISNUMBER(L170)),(L171/L170-1)*100,"")</f>
        <v>4.77256508828066</v>
      </c>
      <c r="T171" s="51" t="n">
        <f aca="false">IF(AND(C171=C170,ISNUMBER(G171),ISNUMBER(G170)),G171-G170,"")</f>
        <v>-367.799999999999</v>
      </c>
      <c r="U171" s="1" t="str">
        <f aca="false">IF(OR(NOT(ISNUMBER(R171)),NOT(ISNUMBER(S171))),"Not classified",IF(AND(R171&gt;0,S171&gt;0),"Long buildup (interpretation)",IF(AND(R171&lt;0,S171&gt;0),"Short buildup (interpretation)",IF(AND(R171&gt;0,S171&lt;0),"Short covering (interpretation)",IF(AND(R171&lt;0,S171&lt;0),"Long unwinding (interpretation)","Neutral")))))</f>
        <v>Short buildup (interpretation)</v>
      </c>
      <c r="V171" s="52" t="str">
        <f aca="false">TEXT(B171,"yyyy-mm")</f>
        <v>2025-04</v>
      </c>
      <c r="W171" s="52" t="n">
        <f aca="false">1+COUNTIFS($B$2:$B$756,B171,$C$2:$C$756,"&lt;"&amp;C171)</f>
        <v>1</v>
      </c>
      <c r="X171" s="53" t="n">
        <f aca="false">IF(AND(ISNUMBER(P171),Q171&gt;0),P171*365/Q171,"")</f>
        <v>0.0427875369196821</v>
      </c>
      <c r="Y171" s="42" t="n">
        <f aca="false">IF(AND(C172=C171,ISNUMBER(R172)),R172,"")</f>
        <v>-3.02441616593673</v>
      </c>
      <c r="Z171" s="52" t="n">
        <f aca="false">IF(AND(W171=1,Q171&gt;Basis_Analysis!$B$3,ISNUMBER(Y171)),1,0)</f>
        <v>1</v>
      </c>
      <c r="AA171" s="43" t="n">
        <f aca="false">IF(W171=1,IF(SUMIFS($L$2:$L$756,$B$2:$B$756,B171,$W$2:$W$756,2)&gt;0,SUMIFS($L$2:$L$756,$B$2:$B$756,B171,$W$2:$W$756,2),""),"")</f>
        <v>1478550</v>
      </c>
      <c r="AB171" s="54" t="n">
        <f aca="false">IF(AND(W171=1,ISNUMBER(AA171)),L171/(L171+AA171),"")</f>
        <v>0.90229517621462</v>
      </c>
    </row>
    <row r="172" customFormat="false" ht="15" hidden="false" customHeight="true" outlineLevel="0" collapsed="false">
      <c r="A172" s="1" t="s">
        <v>274</v>
      </c>
      <c r="B172" s="46" t="n">
        <v>45754</v>
      </c>
      <c r="C172" s="46" t="n">
        <v>45771</v>
      </c>
      <c r="D172" s="47" t="n">
        <v>22201.5</v>
      </c>
      <c r="E172" s="47" t="n">
        <v>22347</v>
      </c>
      <c r="F172" s="47" t="n">
        <v>21860</v>
      </c>
      <c r="G172" s="47" t="n">
        <v>22263.8</v>
      </c>
      <c r="H172" s="47" t="n">
        <v>22320</v>
      </c>
      <c r="I172" s="47" t="n">
        <v>22263.8</v>
      </c>
      <c r="J172" s="48" t="n">
        <v>262265</v>
      </c>
      <c r="K172" s="47" t="n">
        <v>4346378.12</v>
      </c>
      <c r="L172" s="48" t="n">
        <v>13875975</v>
      </c>
      <c r="M172" s="48" t="n">
        <v>221700</v>
      </c>
      <c r="N172" s="47"/>
      <c r="O172" s="47" t="str">
        <f aca="false">IF(AND(ISNUMBER(G172),ISNUMBER(N172)),G172-N172,"")</f>
        <v/>
      </c>
      <c r="P172" s="49" t="str">
        <f aca="false">IF(ISNUMBER(O172),O172/N172,"")</f>
        <v/>
      </c>
      <c r="Q172" s="50" t="n">
        <f aca="false">C172-B172</f>
        <v>17</v>
      </c>
      <c r="R172" s="51" t="n">
        <f aca="false">IF(AND(C172=C171,ISNUMBER(G172),ISNUMBER(G171)),(G172/G171-1)*100,"")</f>
        <v>-3.02441616593673</v>
      </c>
      <c r="S172" s="51" t="n">
        <f aca="false">IF(AND(C172=C171,ISNUMBER(L172),ISNUMBER(L171)),(L172/L171-1)*100,"")</f>
        <v>1.6236673129844</v>
      </c>
      <c r="T172" s="51" t="n">
        <f aca="false">IF(AND(C172=C171,ISNUMBER(G172),ISNUMBER(G171)),G172-G171,"")</f>
        <v>-694.350000000002</v>
      </c>
      <c r="U172" s="1" t="str">
        <f aca="false">IF(OR(NOT(ISNUMBER(R172)),NOT(ISNUMBER(S172))),"Not classified",IF(AND(R172&gt;0,S172&gt;0),"Long buildup (interpretation)",IF(AND(R172&lt;0,S172&gt;0),"Short buildup (interpretation)",IF(AND(R172&gt;0,S172&lt;0),"Short covering (interpretation)",IF(AND(R172&lt;0,S172&lt;0),"Long unwinding (interpretation)","Neutral")))))</f>
        <v>Short buildup (interpretation)</v>
      </c>
      <c r="V172" s="52" t="str">
        <f aca="false">TEXT(B172,"yyyy-mm")</f>
        <v>2025-04</v>
      </c>
      <c r="W172" s="52" t="n">
        <f aca="false">1+COUNTIFS($B$2:$B$756,B172,$C$2:$C$756,"&lt;"&amp;C172)</f>
        <v>1</v>
      </c>
      <c r="X172" s="53" t="str">
        <f aca="false">IF(AND(ISNUMBER(P172),Q172&gt;0),P172*365/Q172,"")</f>
        <v/>
      </c>
      <c r="Y172" s="42" t="n">
        <f aca="false">IF(AND(C173=C172,ISNUMBER(R173)),R173,"")</f>
        <v>1.64639459571143</v>
      </c>
      <c r="Z172" s="52" t="n">
        <f aca="false">IF(AND(W172=1,Q172&gt;Basis_Analysis!$B$3,ISNUMBER(Y172)),1,0)</f>
        <v>1</v>
      </c>
      <c r="AA172" s="43" t="n">
        <f aca="false">IF(W172=1,IF(SUMIFS($L$2:$L$756,$B$2:$B$756,B172,$W$2:$W$756,2)&gt;0,SUMIFS($L$2:$L$756,$B$2:$B$756,B172,$W$2:$W$756,2),""),"")</f>
        <v>1586775</v>
      </c>
      <c r="AB172" s="54" t="n">
        <f aca="false">IF(AND(W172=1,ISNUMBER(AA172)),L172/(L172+AA172),"")</f>
        <v>0.89738080225057</v>
      </c>
    </row>
    <row r="173" customFormat="false" ht="15" hidden="false" customHeight="true" outlineLevel="0" collapsed="false">
      <c r="A173" s="1" t="s">
        <v>274</v>
      </c>
      <c r="B173" s="46" t="n">
        <v>45755</v>
      </c>
      <c r="C173" s="46" t="n">
        <v>45771</v>
      </c>
      <c r="D173" s="47" t="n">
        <v>22511.6</v>
      </c>
      <c r="E173" s="47" t="n">
        <v>22744.9</v>
      </c>
      <c r="F173" s="47" t="n">
        <v>22341</v>
      </c>
      <c r="G173" s="47" t="n">
        <v>22630.35</v>
      </c>
      <c r="H173" s="47" t="n">
        <v>22646.25</v>
      </c>
      <c r="I173" s="47" t="n">
        <v>22630.35</v>
      </c>
      <c r="J173" s="48" t="n">
        <v>156069</v>
      </c>
      <c r="K173" s="47" t="n">
        <v>2642385.49</v>
      </c>
      <c r="L173" s="48" t="n">
        <v>13430775</v>
      </c>
      <c r="M173" s="48" t="n">
        <v>-445200</v>
      </c>
      <c r="N173" s="47"/>
      <c r="O173" s="47" t="str">
        <f aca="false">IF(AND(ISNUMBER(G173),ISNUMBER(N173)),G173-N173,"")</f>
        <v/>
      </c>
      <c r="P173" s="49" t="str">
        <f aca="false">IF(ISNUMBER(O173),O173/N173,"")</f>
        <v/>
      </c>
      <c r="Q173" s="50" t="n">
        <f aca="false">C173-B173</f>
        <v>16</v>
      </c>
      <c r="R173" s="51" t="n">
        <f aca="false">IF(AND(C173=C172,ISNUMBER(G173),ISNUMBER(G172)),(G173/G172-1)*100,"")</f>
        <v>1.64639459571143</v>
      </c>
      <c r="S173" s="51" t="n">
        <f aca="false">IF(AND(C173=C172,ISNUMBER(L173),ISNUMBER(L172)),(L173/L172-1)*100,"")</f>
        <v>-3.20842319188381</v>
      </c>
      <c r="T173" s="51" t="n">
        <f aca="false">IF(AND(C173=C172,ISNUMBER(G173),ISNUMBER(G172)),G173-G172,"")</f>
        <v>366.549999999999</v>
      </c>
      <c r="U173" s="1" t="str">
        <f aca="false">IF(OR(NOT(ISNUMBER(R173)),NOT(ISNUMBER(S173))),"Not classified",IF(AND(R173&gt;0,S173&gt;0),"Long buildup (interpretation)",IF(AND(R173&lt;0,S173&gt;0),"Short buildup (interpretation)",IF(AND(R173&gt;0,S173&lt;0),"Short covering (interpretation)",IF(AND(R173&lt;0,S173&lt;0),"Long unwinding (interpretation)","Neutral")))))</f>
        <v>Short covering (interpretation)</v>
      </c>
      <c r="V173" s="52" t="str">
        <f aca="false">TEXT(B173,"yyyy-mm")</f>
        <v>2025-04</v>
      </c>
      <c r="W173" s="52" t="n">
        <f aca="false">1+COUNTIFS($B$2:$B$756,B173,$C$2:$C$756,"&lt;"&amp;C173)</f>
        <v>1</v>
      </c>
      <c r="X173" s="53" t="str">
        <f aca="false">IF(AND(ISNUMBER(P173),Q173&gt;0),P173*365/Q173,"")</f>
        <v/>
      </c>
      <c r="Y173" s="42" t="n">
        <f aca="false">IF(AND(C174=C173,ISNUMBER(R174)),R174,"")</f>
        <v>-0.665919881928456</v>
      </c>
      <c r="Z173" s="52" t="n">
        <f aca="false">IF(AND(W173=1,Q173&gt;Basis_Analysis!$B$3,ISNUMBER(Y173)),1,0)</f>
        <v>1</v>
      </c>
      <c r="AA173" s="43" t="n">
        <f aca="false">IF(W173=1,IF(SUMIFS($L$2:$L$756,$B$2:$B$756,B173,$W$2:$W$756,2)&gt;0,SUMIFS($L$2:$L$756,$B$2:$B$756,B173,$W$2:$W$756,2),""),"")</f>
        <v>1633125</v>
      </c>
      <c r="AB173" s="54" t="n">
        <f aca="false">IF(AND(W173=1,ISNUMBER(AA173)),L173/(L173+AA173),"")</f>
        <v>0.891586840061339</v>
      </c>
    </row>
    <row r="174" customFormat="false" ht="15" hidden="false" customHeight="true" outlineLevel="0" collapsed="false">
      <c r="A174" s="1" t="s">
        <v>274</v>
      </c>
      <c r="B174" s="46" t="n">
        <v>45756</v>
      </c>
      <c r="C174" s="46" t="n">
        <v>45771</v>
      </c>
      <c r="D174" s="47" t="n">
        <v>22544</v>
      </c>
      <c r="E174" s="47" t="n">
        <v>22544</v>
      </c>
      <c r="F174" s="47" t="n">
        <v>22405.05</v>
      </c>
      <c r="G174" s="47" t="n">
        <v>22479.65</v>
      </c>
      <c r="H174" s="47" t="n">
        <v>22504</v>
      </c>
      <c r="I174" s="47" t="n">
        <v>22479.65</v>
      </c>
      <c r="J174" s="48" t="n">
        <v>90619</v>
      </c>
      <c r="K174" s="47" t="n">
        <v>1527520.7</v>
      </c>
      <c r="L174" s="48" t="n">
        <v>13164825</v>
      </c>
      <c r="M174" s="48" t="n">
        <v>-265950</v>
      </c>
      <c r="N174" s="47" t="n">
        <v>22399.15</v>
      </c>
      <c r="O174" s="47" t="n">
        <f aca="false">IF(AND(ISNUMBER(G174),ISNUMBER(N174)),G174-N174,"")</f>
        <v>80.5</v>
      </c>
      <c r="P174" s="49" t="n">
        <f aca="false">IF(ISNUMBER(O174),O174/N174,"")</f>
        <v>0.00359388637515263</v>
      </c>
      <c r="Q174" s="50" t="n">
        <f aca="false">C174-B174</f>
        <v>15</v>
      </c>
      <c r="R174" s="51" t="n">
        <f aca="false">IF(AND(C174=C173,ISNUMBER(G174),ISNUMBER(G173)),(G174/G173-1)*100,"")</f>
        <v>-0.665919881928456</v>
      </c>
      <c r="S174" s="51" t="n">
        <f aca="false">IF(AND(C174=C173,ISNUMBER(L174),ISNUMBER(L173)),(L174/L173-1)*100,"")</f>
        <v>-1.98015378859373</v>
      </c>
      <c r="T174" s="51" t="n">
        <f aca="false">IF(AND(C174=C173,ISNUMBER(G174),ISNUMBER(G173)),G174-G173,"")</f>
        <v>-150.699999999997</v>
      </c>
      <c r="U174" s="1" t="str">
        <f aca="false">IF(OR(NOT(ISNUMBER(R174)),NOT(ISNUMBER(S174))),"Not classified",IF(AND(R174&gt;0,S174&gt;0),"Long buildup (interpretation)",IF(AND(R174&lt;0,S174&gt;0),"Short buildup (interpretation)",IF(AND(R174&gt;0,S174&lt;0),"Short covering (interpretation)",IF(AND(R174&lt;0,S174&lt;0),"Long unwinding (interpretation)","Neutral")))))</f>
        <v>Long unwinding (interpretation)</v>
      </c>
      <c r="V174" s="52" t="str">
        <f aca="false">TEXT(B174,"yyyy-mm")</f>
        <v>2025-04</v>
      </c>
      <c r="W174" s="52" t="n">
        <f aca="false">1+COUNTIFS($B$2:$B$756,B174,$C$2:$C$756,"&lt;"&amp;C174)</f>
        <v>1</v>
      </c>
      <c r="X174" s="53" t="n">
        <f aca="false">IF(AND(ISNUMBER(P174),Q174&gt;0),P174*365/Q174,"")</f>
        <v>0.087451235128714</v>
      </c>
      <c r="Y174" s="42" t="n">
        <f aca="false">IF(AND(C175=C174,ISNUMBER(R175)),R175,"")</f>
        <v>1.94842891237186</v>
      </c>
      <c r="Z174" s="52" t="n">
        <f aca="false">IF(AND(W174=1,Q174&gt;Basis_Analysis!$B$3,ISNUMBER(Y174)),1,0)</f>
        <v>1</v>
      </c>
      <c r="AA174" s="43" t="n">
        <f aca="false">IF(W174=1,IF(SUMIFS($L$2:$L$756,$B$2:$B$756,B174,$W$2:$W$756,2)&gt;0,SUMIFS($L$2:$L$756,$B$2:$B$756,B174,$W$2:$W$756,2),""),"")</f>
        <v>1730775</v>
      </c>
      <c r="AB174" s="54" t="n">
        <f aca="false">IF(AND(W174=1,ISNUMBER(AA174)),L174/(L174+AA174),"")</f>
        <v>0.883806291790865</v>
      </c>
    </row>
    <row r="175" customFormat="false" ht="15" hidden="false" customHeight="true" outlineLevel="0" collapsed="false">
      <c r="A175" s="1" t="s">
        <v>274</v>
      </c>
      <c r="B175" s="46" t="n">
        <v>45758</v>
      </c>
      <c r="C175" s="46" t="n">
        <v>45771</v>
      </c>
      <c r="D175" s="47" t="n">
        <v>22746</v>
      </c>
      <c r="E175" s="47" t="n">
        <v>23017</v>
      </c>
      <c r="F175" s="47" t="n">
        <v>22746</v>
      </c>
      <c r="G175" s="47" t="n">
        <v>22917.65</v>
      </c>
      <c r="H175" s="47" t="n">
        <v>22948</v>
      </c>
      <c r="I175" s="47" t="n">
        <v>22917.65</v>
      </c>
      <c r="J175" s="48" t="n">
        <v>120725</v>
      </c>
      <c r="K175" s="47" t="n">
        <v>2073778.13</v>
      </c>
      <c r="L175" s="48" t="n">
        <v>12919500</v>
      </c>
      <c r="M175" s="48" t="n">
        <v>-245325</v>
      </c>
      <c r="N175" s="47" t="n">
        <v>22828.55</v>
      </c>
      <c r="O175" s="47" t="n">
        <f aca="false">IF(AND(ISNUMBER(G175),ISNUMBER(N175)),G175-N175,"")</f>
        <v>89.1000000000022</v>
      </c>
      <c r="P175" s="49" t="n">
        <f aca="false">IF(ISNUMBER(O175),O175/N175,"")</f>
        <v>0.00390300741834248</v>
      </c>
      <c r="Q175" s="50" t="n">
        <f aca="false">C175-B175</f>
        <v>13</v>
      </c>
      <c r="R175" s="51" t="n">
        <f aca="false">IF(AND(C175=C174,ISNUMBER(G175),ISNUMBER(G174)),(G175/G174-1)*100,"")</f>
        <v>1.94842891237186</v>
      </c>
      <c r="S175" s="51" t="n">
        <f aca="false">IF(AND(C175=C174,ISNUMBER(L175),ISNUMBER(L174)),(L175/L174-1)*100,"")</f>
        <v>-1.86348850060674</v>
      </c>
      <c r="T175" s="51" t="n">
        <f aca="false">IF(AND(C175=C174,ISNUMBER(G175),ISNUMBER(G174)),G175-G174,"")</f>
        <v>438</v>
      </c>
      <c r="U175" s="1" t="str">
        <f aca="false">IF(OR(NOT(ISNUMBER(R175)),NOT(ISNUMBER(S175))),"Not classified",IF(AND(R175&gt;0,S175&gt;0),"Long buildup (interpretation)",IF(AND(R175&lt;0,S175&gt;0),"Short buildup (interpretation)",IF(AND(R175&gt;0,S175&lt;0),"Short covering (interpretation)",IF(AND(R175&lt;0,S175&lt;0),"Long unwinding (interpretation)","Neutral")))))</f>
        <v>Short covering (interpretation)</v>
      </c>
      <c r="V175" s="52" t="str">
        <f aca="false">TEXT(B175,"yyyy-mm")</f>
        <v>2025-04</v>
      </c>
      <c r="W175" s="52" t="n">
        <f aca="false">1+COUNTIFS($B$2:$B$756,B175,$C$2:$C$756,"&lt;"&amp;C175)</f>
        <v>1</v>
      </c>
      <c r="X175" s="53" t="n">
        <f aca="false">IF(AND(ISNUMBER(P175),Q175&gt;0),P175*365/Q175,"")</f>
        <v>0.109584439053462</v>
      </c>
      <c r="Y175" s="42" t="n">
        <f aca="false">IF(AND(C176=C175,ISNUMBER(R176)),R176,"")</f>
        <v>1.84682984511937</v>
      </c>
      <c r="Z175" s="52" t="n">
        <f aca="false">IF(AND(W175=1,Q175&gt;Basis_Analysis!$B$3,ISNUMBER(Y175)),1,0)</f>
        <v>1</v>
      </c>
      <c r="AA175" s="43" t="n">
        <f aca="false">IF(W175=1,IF(SUMIFS($L$2:$L$756,$B$2:$B$756,B175,$W$2:$W$756,2)&gt;0,SUMIFS($L$2:$L$756,$B$2:$B$756,B175,$W$2:$W$756,2),""),"")</f>
        <v>1808700</v>
      </c>
      <c r="AB175" s="54" t="n">
        <f aca="false">IF(AND(W175=1,ISNUMBER(AA175)),L175/(L175+AA175),"")</f>
        <v>0.877194769218234</v>
      </c>
    </row>
    <row r="176" customFormat="false" ht="15" hidden="false" customHeight="true" outlineLevel="0" collapsed="false">
      <c r="A176" s="1" t="s">
        <v>274</v>
      </c>
      <c r="B176" s="46" t="n">
        <v>45762</v>
      </c>
      <c r="C176" s="46" t="n">
        <v>45771</v>
      </c>
      <c r="D176" s="47" t="n">
        <v>23295</v>
      </c>
      <c r="E176" s="47" t="n">
        <v>23399.9</v>
      </c>
      <c r="F176" s="47" t="n">
        <v>23252</v>
      </c>
      <c r="G176" s="47" t="n">
        <v>23340.9</v>
      </c>
      <c r="H176" s="47" t="n">
        <v>23364.4</v>
      </c>
      <c r="I176" s="47" t="n">
        <v>23340.9</v>
      </c>
      <c r="J176" s="48" t="n">
        <v>89235</v>
      </c>
      <c r="K176" s="47" t="n">
        <v>1562849.21</v>
      </c>
      <c r="L176" s="48" t="n">
        <v>12380700</v>
      </c>
      <c r="M176" s="48" t="n">
        <v>-538800</v>
      </c>
      <c r="N176" s="47" t="n">
        <v>23328.55</v>
      </c>
      <c r="O176" s="47" t="n">
        <f aca="false">IF(AND(ISNUMBER(G176),ISNUMBER(N176)),G176-N176,"")</f>
        <v>12.3500000000022</v>
      </c>
      <c r="P176" s="49" t="n">
        <f aca="false">IF(ISNUMBER(O176),O176/N176,"")</f>
        <v>0.000529394240105029</v>
      </c>
      <c r="Q176" s="50" t="n">
        <f aca="false">C176-B176</f>
        <v>9</v>
      </c>
      <c r="R176" s="51" t="n">
        <f aca="false">IF(AND(C176=C175,ISNUMBER(G176),ISNUMBER(G175)),(G176/G175-1)*100,"")</f>
        <v>1.84682984511937</v>
      </c>
      <c r="S176" s="51" t="n">
        <f aca="false">IF(AND(C176=C175,ISNUMBER(L176),ISNUMBER(L175)),(L176/L175-1)*100,"")</f>
        <v>-4.17044003250899</v>
      </c>
      <c r="T176" s="51" t="n">
        <f aca="false">IF(AND(C176=C175,ISNUMBER(G176),ISNUMBER(G175)),G176-G175,"")</f>
        <v>423.25</v>
      </c>
      <c r="U176" s="1" t="str">
        <f aca="false">IF(OR(NOT(ISNUMBER(R176)),NOT(ISNUMBER(S176))),"Not classified",IF(AND(R176&gt;0,S176&gt;0),"Long buildup (interpretation)",IF(AND(R176&lt;0,S176&gt;0),"Short buildup (interpretation)",IF(AND(R176&gt;0,S176&lt;0),"Short covering (interpretation)",IF(AND(R176&lt;0,S176&lt;0),"Long unwinding (interpretation)","Neutral")))))</f>
        <v>Short covering (interpretation)</v>
      </c>
      <c r="V176" s="52" t="str">
        <f aca="false">TEXT(B176,"yyyy-mm")</f>
        <v>2025-04</v>
      </c>
      <c r="W176" s="52" t="n">
        <f aca="false">1+COUNTIFS($B$2:$B$756,B176,$C$2:$C$756,"&lt;"&amp;C176)</f>
        <v>1</v>
      </c>
      <c r="X176" s="53" t="n">
        <f aca="false">IF(AND(ISNUMBER(P176),Q176&gt;0),P176*365/Q176,"")</f>
        <v>0.0214698775153706</v>
      </c>
      <c r="Y176" s="42" t="n">
        <f aca="false">IF(AND(C177=C176,ISNUMBER(R177)),R177,"")</f>
        <v>0.39672848947554</v>
      </c>
      <c r="Z176" s="52" t="n">
        <f aca="false">IF(AND(W176=1,Q176&gt;Basis_Analysis!$B$3,ISNUMBER(Y176)),1,0)</f>
        <v>1</v>
      </c>
      <c r="AA176" s="43" t="n">
        <f aca="false">IF(W176=1,IF(SUMIFS($L$2:$L$756,$B$2:$B$756,B176,$W$2:$W$756,2)&gt;0,SUMIFS($L$2:$L$756,$B$2:$B$756,B176,$W$2:$W$756,2),""),"")</f>
        <v>1913475</v>
      </c>
      <c r="AB176" s="54" t="n">
        <f aca="false">IF(AND(W176=1,ISNUMBER(AA176)),L176/(L176+AA176),"")</f>
        <v>0.866136030935678</v>
      </c>
    </row>
    <row r="177" customFormat="false" ht="15" hidden="false" customHeight="true" outlineLevel="0" collapsed="false">
      <c r="A177" s="1" t="s">
        <v>274</v>
      </c>
      <c r="B177" s="46" t="n">
        <v>45763</v>
      </c>
      <c r="C177" s="46" t="n">
        <v>45771</v>
      </c>
      <c r="D177" s="47" t="n">
        <v>23338</v>
      </c>
      <c r="E177" s="47" t="n">
        <v>23450</v>
      </c>
      <c r="F177" s="47" t="n">
        <v>23277.2</v>
      </c>
      <c r="G177" s="47" t="n">
        <v>23433.5</v>
      </c>
      <c r="H177" s="47" t="n">
        <v>23440.6</v>
      </c>
      <c r="I177" s="47" t="n">
        <v>23433.5</v>
      </c>
      <c r="J177" s="48" t="n">
        <v>71349</v>
      </c>
      <c r="K177" s="47" t="n">
        <v>1250406.42</v>
      </c>
      <c r="L177" s="48" t="n">
        <v>12106575</v>
      </c>
      <c r="M177" s="48" t="n">
        <v>-274125</v>
      </c>
      <c r="N177" s="47" t="n">
        <v>23437.2</v>
      </c>
      <c r="O177" s="47" t="n">
        <f aca="false">IF(AND(ISNUMBER(G177),ISNUMBER(N177)),G177-N177,"")</f>
        <v>-3.70000000000073</v>
      </c>
      <c r="P177" s="49" t="n">
        <f aca="false">IF(ISNUMBER(O177),O177/N177,"")</f>
        <v>-0.000157868687385896</v>
      </c>
      <c r="Q177" s="50" t="n">
        <f aca="false">C177-B177</f>
        <v>8</v>
      </c>
      <c r="R177" s="51" t="n">
        <f aca="false">IF(AND(C177=C176,ISNUMBER(G177),ISNUMBER(G176)),(G177/G176-1)*100,"")</f>
        <v>0.39672848947554</v>
      </c>
      <c r="S177" s="51" t="n">
        <f aca="false">IF(AND(C177=C176,ISNUMBER(L177),ISNUMBER(L176)),(L177/L176-1)*100,"")</f>
        <v>-2.21413167268409</v>
      </c>
      <c r="T177" s="51" t="n">
        <f aca="false">IF(AND(C177=C176,ISNUMBER(G177),ISNUMBER(G176)),G177-G176,"")</f>
        <v>92.5999999999985</v>
      </c>
      <c r="U177" s="1" t="str">
        <f aca="false">IF(OR(NOT(ISNUMBER(R177)),NOT(ISNUMBER(S177))),"Not classified",IF(AND(R177&gt;0,S177&gt;0),"Long buildup (interpretation)",IF(AND(R177&lt;0,S177&gt;0),"Short buildup (interpretation)",IF(AND(R177&gt;0,S177&lt;0),"Short covering (interpretation)",IF(AND(R177&lt;0,S177&lt;0),"Long unwinding (interpretation)","Neutral")))))</f>
        <v>Short covering (interpretation)</v>
      </c>
      <c r="V177" s="52" t="str">
        <f aca="false">TEXT(B177,"yyyy-mm")</f>
        <v>2025-04</v>
      </c>
      <c r="W177" s="52" t="n">
        <f aca="false">1+COUNTIFS($B$2:$B$756,B177,$C$2:$C$756,"&lt;"&amp;C177)</f>
        <v>1</v>
      </c>
      <c r="X177" s="53" t="n">
        <f aca="false">IF(AND(ISNUMBER(P177),Q177&gt;0),P177*365/Q177,"")</f>
        <v>-0.00720275886198152</v>
      </c>
      <c r="Y177" s="42" t="n">
        <f aca="false">IF(AND(C178=C177,ISNUMBER(R178)),R178,"")</f>
        <v>1.78291761794012</v>
      </c>
      <c r="Z177" s="52" t="n">
        <f aca="false">IF(AND(W177=1,Q177&gt;Basis_Analysis!$B$3,ISNUMBER(Y177)),1,0)</f>
        <v>1</v>
      </c>
      <c r="AA177" s="43" t="n">
        <f aca="false">IF(W177=1,IF(SUMIFS($L$2:$L$756,$B$2:$B$756,B177,$W$2:$W$756,2)&gt;0,SUMIFS($L$2:$L$756,$B$2:$B$756,B177,$W$2:$W$756,2),""),"")</f>
        <v>2097225</v>
      </c>
      <c r="AB177" s="54" t="n">
        <f aca="false">IF(AND(W177=1,ISNUMBER(AA177)),L177/(L177+AA177),"")</f>
        <v>0.852347611202636</v>
      </c>
    </row>
    <row r="178" customFormat="false" ht="15" hidden="false" customHeight="true" outlineLevel="0" collapsed="false">
      <c r="A178" s="1" t="s">
        <v>274</v>
      </c>
      <c r="B178" s="46" t="n">
        <v>45764</v>
      </c>
      <c r="C178" s="46" t="n">
        <v>45771</v>
      </c>
      <c r="D178" s="47" t="n">
        <v>23399.9</v>
      </c>
      <c r="E178" s="47" t="n">
        <v>23872.7</v>
      </c>
      <c r="F178" s="47" t="n">
        <v>23330</v>
      </c>
      <c r="G178" s="47" t="n">
        <v>23851.3</v>
      </c>
      <c r="H178" s="47" t="n">
        <v>23848.9</v>
      </c>
      <c r="I178" s="47" t="n">
        <v>23851.3</v>
      </c>
      <c r="J178" s="48" t="n">
        <v>135421</v>
      </c>
      <c r="K178" s="47" t="n">
        <v>2400335.7</v>
      </c>
      <c r="L178" s="48" t="n">
        <v>11622975</v>
      </c>
      <c r="M178" s="48" t="n">
        <v>-483600</v>
      </c>
      <c r="N178" s="47" t="n">
        <v>23851.65</v>
      </c>
      <c r="O178" s="47" t="n">
        <f aca="false">IF(AND(ISNUMBER(G178),ISNUMBER(N178)),G178-N178,"")</f>
        <v>-0.350000000002183</v>
      </c>
      <c r="P178" s="49" t="n">
        <f aca="false">IF(ISNUMBER(O178),O178/N178,"")</f>
        <v>-1.46740372260277E-005</v>
      </c>
      <c r="Q178" s="50" t="n">
        <f aca="false">C178-B178</f>
        <v>7</v>
      </c>
      <c r="R178" s="51" t="n">
        <f aca="false">IF(AND(C178=C177,ISNUMBER(G178),ISNUMBER(G177)),(G178/G177-1)*100,"")</f>
        <v>1.78291761794012</v>
      </c>
      <c r="S178" s="51" t="n">
        <f aca="false">IF(AND(C178=C177,ISNUMBER(L178),ISNUMBER(L177)),(L178/L177-1)*100,"")</f>
        <v>-3.99452363694934</v>
      </c>
      <c r="T178" s="51" t="n">
        <f aca="false">IF(AND(C178=C177,ISNUMBER(G178),ISNUMBER(G177)),G178-G177,"")</f>
        <v>417.799999999999</v>
      </c>
      <c r="U178" s="1" t="str">
        <f aca="false">IF(OR(NOT(ISNUMBER(R178)),NOT(ISNUMBER(S178))),"Not classified",IF(AND(R178&gt;0,S178&gt;0),"Long buildup (interpretation)",IF(AND(R178&lt;0,S178&gt;0),"Short buildup (interpretation)",IF(AND(R178&gt;0,S178&lt;0),"Short covering (interpretation)",IF(AND(R178&lt;0,S178&lt;0),"Long unwinding (interpretation)","Neutral")))))</f>
        <v>Short covering (interpretation)</v>
      </c>
      <c r="V178" s="52" t="str">
        <f aca="false">TEXT(B178,"yyyy-mm")</f>
        <v>2025-04</v>
      </c>
      <c r="W178" s="52" t="n">
        <f aca="false">1+COUNTIFS($B$2:$B$756,B178,$C$2:$C$756,"&lt;"&amp;C178)</f>
        <v>1</v>
      </c>
      <c r="X178" s="53" t="n">
        <f aca="false">IF(AND(ISNUMBER(P178),Q178&gt;0),P178*365/Q178,"")</f>
        <v>-0.000765146226785728</v>
      </c>
      <c r="Y178" s="42" t="n">
        <f aca="false">IF(AND(C179=C178,ISNUMBER(R179)),R179,"")</f>
        <v>1.19154930758492</v>
      </c>
      <c r="Z178" s="52" t="n">
        <f aca="false">IF(AND(W178=1,Q178&gt;Basis_Analysis!$B$3,ISNUMBER(Y178)),1,0)</f>
        <v>1</v>
      </c>
      <c r="AA178" s="43" t="n">
        <f aca="false">IF(W178=1,IF(SUMIFS($L$2:$L$756,$B$2:$B$756,B178,$W$2:$W$756,2)&gt;0,SUMIFS($L$2:$L$756,$B$2:$B$756,B178,$W$2:$W$756,2),""),"")</f>
        <v>2715600</v>
      </c>
      <c r="AB178" s="54" t="n">
        <f aca="false">IF(AND(W178=1,ISNUMBER(AA178)),L178/(L178+AA178),"")</f>
        <v>0.810608794807015</v>
      </c>
    </row>
    <row r="179" customFormat="false" ht="15" hidden="false" customHeight="true" outlineLevel="0" collapsed="false">
      <c r="A179" s="1" t="s">
        <v>274</v>
      </c>
      <c r="B179" s="46" t="n">
        <v>45768</v>
      </c>
      <c r="C179" s="46" t="n">
        <v>45771</v>
      </c>
      <c r="D179" s="47" t="n">
        <v>23875.9</v>
      </c>
      <c r="E179" s="47" t="n">
        <v>24194.5</v>
      </c>
      <c r="F179" s="47" t="n">
        <v>23875.6</v>
      </c>
      <c r="G179" s="47" t="n">
        <v>24135.5</v>
      </c>
      <c r="H179" s="47" t="n">
        <v>24131.3</v>
      </c>
      <c r="I179" s="47" t="n">
        <v>24135.5</v>
      </c>
      <c r="J179" s="48" t="n">
        <v>77342</v>
      </c>
      <c r="K179" s="47" t="n">
        <v>1396642.64</v>
      </c>
      <c r="L179" s="48" t="n">
        <v>11051175</v>
      </c>
      <c r="M179" s="48" t="n">
        <v>-571800</v>
      </c>
      <c r="N179" s="47" t="n">
        <v>24125.55</v>
      </c>
      <c r="O179" s="47" t="n">
        <f aca="false">IF(AND(ISNUMBER(G179),ISNUMBER(N179)),G179-N179,"")</f>
        <v>9.95000000000073</v>
      </c>
      <c r="P179" s="49" t="n">
        <f aca="false">IF(ISNUMBER(O179),O179/N179,"")</f>
        <v>0.00041242583070648</v>
      </c>
      <c r="Q179" s="50" t="n">
        <f aca="false">C179-B179</f>
        <v>3</v>
      </c>
      <c r="R179" s="51" t="n">
        <f aca="false">IF(AND(C179=C178,ISNUMBER(G179),ISNUMBER(G178)),(G179/G178-1)*100,"")</f>
        <v>1.19154930758492</v>
      </c>
      <c r="S179" s="51" t="n">
        <f aca="false">IF(AND(C179=C178,ISNUMBER(L179),ISNUMBER(L178)),(L179/L178-1)*100,"")</f>
        <v>-4.91956663418789</v>
      </c>
      <c r="T179" s="51" t="n">
        <f aca="false">IF(AND(C179=C178,ISNUMBER(G179),ISNUMBER(G178)),G179-G178,"")</f>
        <v>284.200000000001</v>
      </c>
      <c r="U179" s="1" t="str">
        <f aca="false">IF(OR(NOT(ISNUMBER(R179)),NOT(ISNUMBER(S179))),"Not classified",IF(AND(R179&gt;0,S179&gt;0),"Long buildup (interpretation)",IF(AND(R179&lt;0,S179&gt;0),"Short buildup (interpretation)",IF(AND(R179&gt;0,S179&lt;0),"Short covering (interpretation)",IF(AND(R179&lt;0,S179&lt;0),"Long unwinding (interpretation)","Neutral")))))</f>
        <v>Short covering (interpretation)</v>
      </c>
      <c r="V179" s="52" t="str">
        <f aca="false">TEXT(B179,"yyyy-mm")</f>
        <v>2025-04</v>
      </c>
      <c r="W179" s="52" t="n">
        <f aca="false">1+COUNTIFS($B$2:$B$756,B179,$C$2:$C$756,"&lt;"&amp;C179)</f>
        <v>1</v>
      </c>
      <c r="X179" s="53" t="n">
        <f aca="false">IF(AND(ISNUMBER(P179),Q179&gt;0),P179*365/Q179,"")</f>
        <v>0.0501784760692884</v>
      </c>
      <c r="Y179" s="42" t="n">
        <f aca="false">IF(AND(C180=C179,ISNUMBER(R180)),R180,"")</f>
        <v>0.138799693397695</v>
      </c>
      <c r="Z179" s="52" t="n">
        <f aca="false">IF(AND(W179=1,Q179&gt;Basis_Analysis!$B$3,ISNUMBER(Y179)),1,0)</f>
        <v>0</v>
      </c>
      <c r="AA179" s="43" t="n">
        <f aca="false">IF(W179=1,IF(SUMIFS($L$2:$L$756,$B$2:$B$756,B179,$W$2:$W$756,2)&gt;0,SUMIFS($L$2:$L$756,$B$2:$B$756,B179,$W$2:$W$756,2),""),"")</f>
        <v>3508125</v>
      </c>
      <c r="AB179" s="54" t="n">
        <f aca="false">IF(AND(W179=1,ISNUMBER(AA179)),L179/(L179+AA179),"")</f>
        <v>0.759045764562857</v>
      </c>
    </row>
    <row r="180" customFormat="false" ht="15" hidden="false" customHeight="true" outlineLevel="0" collapsed="false">
      <c r="A180" s="1" t="s">
        <v>274</v>
      </c>
      <c r="B180" s="46" t="n">
        <v>45769</v>
      </c>
      <c r="C180" s="46" t="n">
        <v>45771</v>
      </c>
      <c r="D180" s="47" t="n">
        <v>24150</v>
      </c>
      <c r="E180" s="47" t="n">
        <v>24239.8</v>
      </c>
      <c r="F180" s="47" t="n">
        <v>24077</v>
      </c>
      <c r="G180" s="47" t="n">
        <v>24169</v>
      </c>
      <c r="H180" s="47" t="n">
        <v>24164.1</v>
      </c>
      <c r="I180" s="47" t="n">
        <v>24169</v>
      </c>
      <c r="J180" s="48" t="n">
        <v>87218</v>
      </c>
      <c r="K180" s="47" t="n">
        <v>1581403.51</v>
      </c>
      <c r="L180" s="48" t="n">
        <v>8816400</v>
      </c>
      <c r="M180" s="48" t="n">
        <v>-2234775</v>
      </c>
      <c r="N180" s="47" t="n">
        <v>24167.25</v>
      </c>
      <c r="O180" s="47" t="n">
        <f aca="false">IF(AND(ISNUMBER(G180),ISNUMBER(N180)),G180-N180,"")</f>
        <v>1.75</v>
      </c>
      <c r="P180" s="49" t="n">
        <f aca="false">IF(ISNUMBER(O180),O180/N180,"")</f>
        <v>7.24120452264945E-005</v>
      </c>
      <c r="Q180" s="50" t="n">
        <f aca="false">C180-B180</f>
        <v>2</v>
      </c>
      <c r="R180" s="51" t="n">
        <f aca="false">IF(AND(C180=C179,ISNUMBER(G180),ISNUMBER(G179)),(G180/G179-1)*100,"")</f>
        <v>0.138799693397695</v>
      </c>
      <c r="S180" s="51" t="n">
        <f aca="false">IF(AND(C180=C179,ISNUMBER(L180),ISNUMBER(L179)),(L180/L179-1)*100,"")</f>
        <v>-20.222057835479</v>
      </c>
      <c r="T180" s="51" t="n">
        <f aca="false">IF(AND(C180=C179,ISNUMBER(G180),ISNUMBER(G179)),G180-G179,"")</f>
        <v>33.5</v>
      </c>
      <c r="U180" s="1" t="str">
        <f aca="false">IF(OR(NOT(ISNUMBER(R180)),NOT(ISNUMBER(S180))),"Not classified",IF(AND(R180&gt;0,S180&gt;0),"Long buildup (interpretation)",IF(AND(R180&lt;0,S180&gt;0),"Short buildup (interpretation)",IF(AND(R180&gt;0,S180&lt;0),"Short covering (interpretation)",IF(AND(R180&lt;0,S180&lt;0),"Long unwinding (interpretation)","Neutral")))))</f>
        <v>Short covering (interpretation)</v>
      </c>
      <c r="V180" s="52" t="str">
        <f aca="false">TEXT(B180,"yyyy-mm")</f>
        <v>2025-04</v>
      </c>
      <c r="W180" s="52" t="n">
        <f aca="false">1+COUNTIFS($B$2:$B$756,B180,$C$2:$C$756,"&lt;"&amp;C180)</f>
        <v>1</v>
      </c>
      <c r="X180" s="53" t="n">
        <f aca="false">IF(AND(ISNUMBER(P180),Q180&gt;0),P180*365/Q180,"")</f>
        <v>0.0132151982538353</v>
      </c>
      <c r="Y180" s="42" t="n">
        <f aca="false">IF(AND(C181=C180,ISNUMBER(R181)),R181,"")</f>
        <v>0.594563283545035</v>
      </c>
      <c r="Z180" s="52" t="n">
        <f aca="false">IF(AND(W180=1,Q180&gt;Basis_Analysis!$B$3,ISNUMBER(Y180)),1,0)</f>
        <v>0</v>
      </c>
      <c r="AA180" s="43" t="n">
        <f aca="false">IF(W180=1,IF(SUMIFS($L$2:$L$756,$B$2:$B$756,B180,$W$2:$W$756,2)&gt;0,SUMIFS($L$2:$L$756,$B$2:$B$756,B180,$W$2:$W$756,2),""),"")</f>
        <v>6043200</v>
      </c>
      <c r="AB180" s="54" t="n">
        <f aca="false">IF(AND(W180=1,ISNUMBER(AA180)),L180/(L180+AA180),"")</f>
        <v>0.593313413550836</v>
      </c>
    </row>
    <row r="181" customFormat="false" ht="15" hidden="false" customHeight="true" outlineLevel="0" collapsed="false">
      <c r="A181" s="1" t="s">
        <v>274</v>
      </c>
      <c r="B181" s="46" t="n">
        <v>45770</v>
      </c>
      <c r="C181" s="46" t="n">
        <v>45771</v>
      </c>
      <c r="D181" s="47" t="n">
        <v>24310</v>
      </c>
      <c r="E181" s="47" t="n">
        <v>24351.8</v>
      </c>
      <c r="F181" s="47" t="n">
        <v>24121.1</v>
      </c>
      <c r="G181" s="47" t="n">
        <v>24312.7</v>
      </c>
      <c r="H181" s="47" t="n">
        <v>24306.9</v>
      </c>
      <c r="I181" s="47" t="n">
        <v>24312.7</v>
      </c>
      <c r="J181" s="48" t="n">
        <v>99138</v>
      </c>
      <c r="K181" s="47" t="n">
        <v>1804034.67</v>
      </c>
      <c r="L181" s="48" t="n">
        <v>5549550</v>
      </c>
      <c r="M181" s="48" t="n">
        <v>-3266850</v>
      </c>
      <c r="N181" s="47" t="n">
        <v>24328.95</v>
      </c>
      <c r="O181" s="47" t="n">
        <f aca="false">IF(AND(ISNUMBER(G181),ISNUMBER(N181)),G181-N181,"")</f>
        <v>-16.25</v>
      </c>
      <c r="P181" s="49" t="n">
        <f aca="false">IF(ISNUMBER(O181),O181/N181,"")</f>
        <v>-0.000667928537811948</v>
      </c>
      <c r="Q181" s="50" t="n">
        <f aca="false">C181-B181</f>
        <v>1</v>
      </c>
      <c r="R181" s="51" t="n">
        <f aca="false">IF(AND(C181=C180,ISNUMBER(G181),ISNUMBER(G180)),(G181/G180-1)*100,"")</f>
        <v>0.594563283545035</v>
      </c>
      <c r="S181" s="51" t="n">
        <f aca="false">IF(AND(C181=C180,ISNUMBER(L181),ISNUMBER(L180)),(L181/L180-1)*100,"")</f>
        <v>-37.0542398257792</v>
      </c>
      <c r="T181" s="51" t="n">
        <f aca="false">IF(AND(C181=C180,ISNUMBER(G181),ISNUMBER(G180)),G181-G180,"")</f>
        <v>143.700000000001</v>
      </c>
      <c r="U181" s="1" t="str">
        <f aca="false">IF(OR(NOT(ISNUMBER(R181)),NOT(ISNUMBER(S181))),"Not classified",IF(AND(R181&gt;0,S181&gt;0),"Long buildup (interpretation)",IF(AND(R181&lt;0,S181&gt;0),"Short buildup (interpretation)",IF(AND(R181&gt;0,S181&lt;0),"Short covering (interpretation)",IF(AND(R181&lt;0,S181&lt;0),"Long unwinding (interpretation)","Neutral")))))</f>
        <v>Short covering (interpretation)</v>
      </c>
      <c r="V181" s="52" t="str">
        <f aca="false">TEXT(B181,"yyyy-mm")</f>
        <v>2025-04</v>
      </c>
      <c r="W181" s="52" t="n">
        <f aca="false">1+COUNTIFS($B$2:$B$756,B181,$C$2:$C$756,"&lt;"&amp;C181)</f>
        <v>1</v>
      </c>
      <c r="X181" s="53" t="n">
        <f aca="false">IF(AND(ISNUMBER(P181),Q181&gt;0),P181*365/Q181,"")</f>
        <v>-0.243793916301361</v>
      </c>
      <c r="Y181" s="42" t="n">
        <f aca="false">IF(AND(C182=C181,ISNUMBER(R182)),R182,"")</f>
        <v>-0.275576139219425</v>
      </c>
      <c r="Z181" s="52" t="n">
        <f aca="false">IF(AND(W181=1,Q181&gt;Basis_Analysis!$B$3,ISNUMBER(Y181)),1,0)</f>
        <v>0</v>
      </c>
      <c r="AA181" s="43" t="n">
        <f aca="false">IF(W181=1,IF(SUMIFS($L$2:$L$756,$B$2:$B$756,B181,$W$2:$W$756,2)&gt;0,SUMIFS($L$2:$L$756,$B$2:$B$756,B181,$W$2:$W$756,2),""),"")</f>
        <v>9082350</v>
      </c>
      <c r="AB181" s="54" t="n">
        <f aca="false">IF(AND(W181=1,ISNUMBER(AA181)),L181/(L181+AA181),"")</f>
        <v>0.379277469091506</v>
      </c>
    </row>
    <row r="182" customFormat="false" ht="15" hidden="false" customHeight="true" outlineLevel="0" collapsed="false">
      <c r="A182" s="1" t="s">
        <v>274</v>
      </c>
      <c r="B182" s="46" t="n">
        <v>45771</v>
      </c>
      <c r="C182" s="46" t="n">
        <v>45771</v>
      </c>
      <c r="D182" s="47" t="n">
        <v>24288</v>
      </c>
      <c r="E182" s="47" t="n">
        <v>24360</v>
      </c>
      <c r="F182" s="47" t="n">
        <v>24225</v>
      </c>
      <c r="G182" s="47" t="n">
        <v>24245.7</v>
      </c>
      <c r="H182" s="47" t="n">
        <v>24249</v>
      </c>
      <c r="I182" s="47" t="n">
        <v>24246.7</v>
      </c>
      <c r="J182" s="48" t="n">
        <v>55201</v>
      </c>
      <c r="K182" s="47" t="n">
        <v>1004562.53</v>
      </c>
      <c r="L182" s="48" t="n">
        <v>3392175</v>
      </c>
      <c r="M182" s="48" t="n">
        <v>-2157375</v>
      </c>
      <c r="N182" s="47" t="n">
        <v>24246.7</v>
      </c>
      <c r="O182" s="47" t="n">
        <f aca="false">IF(AND(ISNUMBER(G182),ISNUMBER(N182)),G182-N182,"")</f>
        <v>-1</v>
      </c>
      <c r="P182" s="49" t="n">
        <f aca="false">IF(ISNUMBER(O182),O182/N182,"")</f>
        <v>-4.12427258142345E-005</v>
      </c>
      <c r="Q182" s="50" t="n">
        <f aca="false">C182-B182</f>
        <v>0</v>
      </c>
      <c r="R182" s="51" t="n">
        <f aca="false">IF(AND(C182=C181,ISNUMBER(G182),ISNUMBER(G181)),(G182/G181-1)*100,"")</f>
        <v>-0.275576139219425</v>
      </c>
      <c r="S182" s="51" t="n">
        <f aca="false">IF(AND(C182=C181,ISNUMBER(L182),ISNUMBER(L181)),(L182/L181-1)*100,"")</f>
        <v>-38.8747736302943</v>
      </c>
      <c r="T182" s="51" t="n">
        <f aca="false">IF(AND(C182=C181,ISNUMBER(G182),ISNUMBER(G181)),G182-G181,"")</f>
        <v>-67</v>
      </c>
      <c r="U182" s="1" t="str">
        <f aca="false">IF(OR(NOT(ISNUMBER(R182)),NOT(ISNUMBER(S182))),"Not classified",IF(AND(R182&gt;0,S182&gt;0),"Long buildup (interpretation)",IF(AND(R182&lt;0,S182&gt;0),"Short buildup (interpretation)",IF(AND(R182&gt;0,S182&lt;0),"Short covering (interpretation)",IF(AND(R182&lt;0,S182&lt;0),"Long unwinding (interpretation)","Neutral")))))</f>
        <v>Long unwinding (interpretation)</v>
      </c>
      <c r="V182" s="52" t="str">
        <f aca="false">TEXT(B182,"yyyy-mm")</f>
        <v>2025-04</v>
      </c>
      <c r="W182" s="52" t="n">
        <f aca="false">1+COUNTIFS($B$2:$B$756,B182,$C$2:$C$756,"&lt;"&amp;C182)</f>
        <v>1</v>
      </c>
      <c r="X182" s="53" t="str">
        <f aca="false">IF(AND(ISNUMBER(P182),Q182&gt;0),P182*365/Q182,"")</f>
        <v/>
      </c>
      <c r="Y182" s="42" t="str">
        <f aca="false">IF(AND(C183=C182,ISNUMBER(R183)),R183,"")</f>
        <v/>
      </c>
      <c r="Z182" s="52" t="n">
        <f aca="false">IF(AND(W182=1,Q182&gt;Basis_Analysis!$B$3,ISNUMBER(Y182)),1,0)</f>
        <v>0</v>
      </c>
      <c r="AA182" s="43" t="n">
        <f aca="false">IF(W182=1,IF(SUMIFS($L$2:$L$756,$B$2:$B$756,B182,$W$2:$W$756,2)&gt;0,SUMIFS($L$2:$L$756,$B$2:$B$756,B182,$W$2:$W$756,2),""),"")</f>
        <v>11503875</v>
      </c>
      <c r="AB182" s="54" t="n">
        <f aca="false">IF(AND(W182=1,ISNUMBER(AA182)),L182/(L182+AA182),"")</f>
        <v>0.227723121230125</v>
      </c>
    </row>
    <row r="183" customFormat="false" ht="15" hidden="false" customHeight="true" outlineLevel="0" collapsed="false">
      <c r="A183" s="1" t="s">
        <v>274</v>
      </c>
      <c r="B183" s="46" t="n">
        <v>45715</v>
      </c>
      <c r="C183" s="46" t="n">
        <v>45806</v>
      </c>
      <c r="D183" s="47"/>
      <c r="E183" s="47"/>
      <c r="F183" s="47"/>
      <c r="G183" s="47"/>
      <c r="H183" s="47"/>
      <c r="I183" s="47"/>
      <c r="J183" s="48"/>
      <c r="K183" s="47"/>
      <c r="L183" s="48"/>
      <c r="M183" s="48"/>
      <c r="N183" s="47"/>
      <c r="O183" s="47" t="str">
        <f aca="false">IF(AND(ISNUMBER(G183),ISNUMBER(N183)),G183-N183,"")</f>
        <v/>
      </c>
      <c r="P183" s="49" t="str">
        <f aca="false">IF(ISNUMBER(O183),O183/N183,"")</f>
        <v/>
      </c>
      <c r="Q183" s="50" t="n">
        <f aca="false">C183-B183</f>
        <v>91</v>
      </c>
      <c r="R183" s="51" t="str">
        <f aca="false">IF(AND(C183=C182,ISNUMBER(G183),ISNUMBER(G182)),(G183/G182-1)*100,"")</f>
        <v/>
      </c>
      <c r="S183" s="51" t="str">
        <f aca="false">IF(AND(C183=C182,ISNUMBER(L183),ISNUMBER(L182)),(L183/L182-1)*100,"")</f>
        <v/>
      </c>
      <c r="T183" s="51" t="str">
        <f aca="false">IF(AND(C183=C182,ISNUMBER(G183),ISNUMBER(G182)),G183-G182,"")</f>
        <v/>
      </c>
      <c r="U183" s="1" t="str">
        <f aca="false">IF(OR(NOT(ISNUMBER(R183)),NOT(ISNUMBER(S183))),"Not classified",IF(AND(R183&gt;0,S183&gt;0),"Long buildup (interpretation)",IF(AND(R183&lt;0,S183&gt;0),"Short buildup (interpretation)",IF(AND(R183&gt;0,S183&lt;0),"Short covering (interpretation)",IF(AND(R183&lt;0,S183&lt;0),"Long unwinding (interpretation)","Neutral")))))</f>
        <v>Not classified</v>
      </c>
      <c r="V183" s="52" t="str">
        <f aca="false">TEXT(B183,"yyyy-mm")</f>
        <v>2025-02</v>
      </c>
      <c r="W183" s="52" t="n">
        <f aca="false">1+COUNTIFS($B$2:$B$756,B183,$C$2:$C$756,"&lt;"&amp;C183)</f>
        <v>4</v>
      </c>
      <c r="X183" s="53" t="str">
        <f aca="false">IF(AND(ISNUMBER(P183),Q183&gt;0),P183*365/Q183,"")</f>
        <v/>
      </c>
      <c r="Y183" s="42" t="str">
        <f aca="false">IF(AND(C184=C183,ISNUMBER(R184)),R184,"")</f>
        <v/>
      </c>
      <c r="Z183" s="52" t="n">
        <f aca="false">IF(AND(W183=1,Q183&gt;Basis_Analysis!$B$3,ISNUMBER(Y183)),1,0)</f>
        <v>0</v>
      </c>
      <c r="AA183" s="43" t="str">
        <f aca="false">IF(W183=1,IF(SUMIFS($L$2:$L$756,$B$2:$B$756,B183,$W$2:$W$756,2)&gt;0,SUMIFS($L$2:$L$756,$B$2:$B$756,B183,$W$2:$W$756,2),""),"")</f>
        <v/>
      </c>
      <c r="AB183" s="54" t="str">
        <f aca="false">IF(AND(W183=1,ISNUMBER(AA183)),L183/(L183+AA183),"")</f>
        <v/>
      </c>
    </row>
    <row r="184" customFormat="false" ht="15" hidden="false" customHeight="true" outlineLevel="0" collapsed="false">
      <c r="A184" s="1" t="s">
        <v>274</v>
      </c>
      <c r="B184" s="46" t="n">
        <v>45716</v>
      </c>
      <c r="C184" s="46" t="n">
        <v>45806</v>
      </c>
      <c r="D184" s="47" t="n">
        <v>22875</v>
      </c>
      <c r="E184" s="47" t="n">
        <v>22875</v>
      </c>
      <c r="F184" s="47" t="n">
        <v>22515.45</v>
      </c>
      <c r="G184" s="47" t="n">
        <v>22556.15</v>
      </c>
      <c r="H184" s="47" t="n">
        <v>22559.7</v>
      </c>
      <c r="I184" s="47" t="n">
        <v>22556.15</v>
      </c>
      <c r="J184" s="48" t="n">
        <v>2724</v>
      </c>
      <c r="K184" s="47" t="n">
        <v>46242.08</v>
      </c>
      <c r="L184" s="48" t="n">
        <v>94950</v>
      </c>
      <c r="M184" s="48" t="n">
        <v>94950</v>
      </c>
      <c r="N184" s="47" t="n">
        <v>22124.7</v>
      </c>
      <c r="O184" s="47" t="n">
        <f aca="false">IF(AND(ISNUMBER(G184),ISNUMBER(N184)),G184-N184,"")</f>
        <v>431.450000000001</v>
      </c>
      <c r="P184" s="49" t="n">
        <f aca="false">IF(ISNUMBER(O184),O184/N184,"")</f>
        <v>0.0195008293897771</v>
      </c>
      <c r="Q184" s="50" t="n">
        <f aca="false">C184-B184</f>
        <v>90</v>
      </c>
      <c r="R184" s="51" t="str">
        <f aca="false">IF(AND(C184=C183,ISNUMBER(G184),ISNUMBER(G183)),(G184/G183-1)*100,"")</f>
        <v/>
      </c>
      <c r="S184" s="51" t="str">
        <f aca="false">IF(AND(C184=C183,ISNUMBER(L184),ISNUMBER(L183)),(L184/L183-1)*100,"")</f>
        <v/>
      </c>
      <c r="T184" s="51" t="str">
        <f aca="false">IF(AND(C184=C183,ISNUMBER(G184),ISNUMBER(G183)),G184-G183,"")</f>
        <v/>
      </c>
      <c r="U184" s="1" t="str">
        <f aca="false">IF(OR(NOT(ISNUMBER(R184)),NOT(ISNUMBER(S184))),"Not classified",IF(AND(R184&gt;0,S184&gt;0),"Long buildup (interpretation)",IF(AND(R184&lt;0,S184&gt;0),"Short buildup (interpretation)",IF(AND(R184&gt;0,S184&lt;0),"Short covering (interpretation)",IF(AND(R184&lt;0,S184&lt;0),"Long unwinding (interpretation)","Neutral")))))</f>
        <v>Not classified</v>
      </c>
      <c r="V184" s="52" t="str">
        <f aca="false">TEXT(B184,"yyyy-mm")</f>
        <v>2025-02</v>
      </c>
      <c r="W184" s="52" t="n">
        <f aca="false">1+COUNTIFS($B$2:$B$756,B184,$C$2:$C$756,"&lt;"&amp;C184)</f>
        <v>3</v>
      </c>
      <c r="X184" s="53" t="n">
        <f aca="false">IF(AND(ISNUMBER(P184),Q184&gt;0),P184*365/Q184,"")</f>
        <v>0.0790866969696515</v>
      </c>
      <c r="Y184" s="42" t="n">
        <f aca="false">IF(AND(C185=C184,ISNUMBER(R185)),R185,"")</f>
        <v>-0.0955393540121086</v>
      </c>
      <c r="Z184" s="52" t="n">
        <f aca="false">IF(AND(W184=1,Q184&gt;Basis_Analysis!$B$3,ISNUMBER(Y184)),1,0)</f>
        <v>0</v>
      </c>
      <c r="AA184" s="43" t="str">
        <f aca="false">IF(W184=1,IF(SUMIFS($L$2:$L$756,$B$2:$B$756,B184,$W$2:$W$756,2)&gt;0,SUMIFS($L$2:$L$756,$B$2:$B$756,B184,$W$2:$W$756,2),""),"")</f>
        <v/>
      </c>
      <c r="AB184" s="54" t="str">
        <f aca="false">IF(AND(W184=1,ISNUMBER(AA184)),L184/(L184+AA184),"")</f>
        <v/>
      </c>
    </row>
    <row r="185" customFormat="false" ht="15" hidden="false" customHeight="true" outlineLevel="0" collapsed="false">
      <c r="A185" s="1" t="s">
        <v>274</v>
      </c>
      <c r="B185" s="46" t="n">
        <v>45719</v>
      </c>
      <c r="C185" s="46" t="n">
        <v>45806</v>
      </c>
      <c r="D185" s="47" t="n">
        <v>22593.65</v>
      </c>
      <c r="E185" s="47" t="n">
        <v>22648.95</v>
      </c>
      <c r="F185" s="47" t="n">
        <v>22420</v>
      </c>
      <c r="G185" s="47" t="n">
        <v>22534.6</v>
      </c>
      <c r="H185" s="47" t="n">
        <v>22546.3</v>
      </c>
      <c r="I185" s="47" t="n">
        <v>22534.6</v>
      </c>
      <c r="J185" s="48" t="n">
        <v>3172</v>
      </c>
      <c r="K185" s="47" t="n">
        <v>53508.62</v>
      </c>
      <c r="L185" s="48" t="n">
        <v>240900</v>
      </c>
      <c r="M185" s="48" t="n">
        <v>145950</v>
      </c>
      <c r="N185" s="47" t="n">
        <v>22119.3</v>
      </c>
      <c r="O185" s="47" t="n">
        <f aca="false">IF(AND(ISNUMBER(G185),ISNUMBER(N185)),G185-N185,"")</f>
        <v>415.299999999999</v>
      </c>
      <c r="P185" s="49" t="n">
        <f aca="false">IF(ISNUMBER(O185),O185/N185,"")</f>
        <v>0.0187754585362104</v>
      </c>
      <c r="Q185" s="50" t="n">
        <f aca="false">C185-B185</f>
        <v>87</v>
      </c>
      <c r="R185" s="51" t="n">
        <f aca="false">IF(AND(C185=C184,ISNUMBER(G185),ISNUMBER(G184)),(G185/G184-1)*100,"")</f>
        <v>-0.0955393540121086</v>
      </c>
      <c r="S185" s="51" t="n">
        <f aca="false">IF(AND(C185=C184,ISNUMBER(L185),ISNUMBER(L184)),(L185/L184-1)*100,"")</f>
        <v>153.712480252765</v>
      </c>
      <c r="T185" s="51" t="n">
        <f aca="false">IF(AND(C185=C184,ISNUMBER(G185),ISNUMBER(G184)),G185-G184,"")</f>
        <v>-21.5500000000029</v>
      </c>
      <c r="U185" s="1" t="str">
        <f aca="false">IF(OR(NOT(ISNUMBER(R185)),NOT(ISNUMBER(S185))),"Not classified",IF(AND(R185&gt;0,S185&gt;0),"Long buildup (interpretation)",IF(AND(R185&lt;0,S185&gt;0),"Short buildup (interpretation)",IF(AND(R185&gt;0,S185&lt;0),"Short covering (interpretation)",IF(AND(R185&lt;0,S185&lt;0),"Long unwinding (interpretation)","Neutral")))))</f>
        <v>Short buildup (interpretation)</v>
      </c>
      <c r="V185" s="52" t="str">
        <f aca="false">TEXT(B185,"yyyy-mm")</f>
        <v>2025-03</v>
      </c>
      <c r="W185" s="52" t="n">
        <f aca="false">1+COUNTIFS($B$2:$B$756,B185,$C$2:$C$756,"&lt;"&amp;C185)</f>
        <v>3</v>
      </c>
      <c r="X185" s="53" t="n">
        <f aca="false">IF(AND(ISNUMBER(P185),Q185&gt;0),P185*365/Q185,"")</f>
        <v>0.0787706019047909</v>
      </c>
      <c r="Y185" s="42" t="n">
        <f aca="false">IF(AND(C186=C185,ISNUMBER(R186)),R186,"")</f>
        <v>-0.374978921303237</v>
      </c>
      <c r="Z185" s="52" t="n">
        <f aca="false">IF(AND(W185=1,Q185&gt;Basis_Analysis!$B$3,ISNUMBER(Y185)),1,0)</f>
        <v>0</v>
      </c>
      <c r="AA185" s="43" t="str">
        <f aca="false">IF(W185=1,IF(SUMIFS($L$2:$L$756,$B$2:$B$756,B185,$W$2:$W$756,2)&gt;0,SUMIFS($L$2:$L$756,$B$2:$B$756,B185,$W$2:$W$756,2),""),"")</f>
        <v/>
      </c>
      <c r="AB185" s="54" t="str">
        <f aca="false">IF(AND(W185=1,ISNUMBER(AA185)),L185/(L185+AA185),"")</f>
        <v/>
      </c>
    </row>
    <row r="186" customFormat="false" ht="15" hidden="false" customHeight="true" outlineLevel="0" collapsed="false">
      <c r="A186" s="1" t="s">
        <v>274</v>
      </c>
      <c r="B186" s="46" t="n">
        <v>45720</v>
      </c>
      <c r="C186" s="46" t="n">
        <v>45806</v>
      </c>
      <c r="D186" s="47" t="n">
        <v>22440</v>
      </c>
      <c r="E186" s="47" t="n">
        <v>22500</v>
      </c>
      <c r="F186" s="47" t="n">
        <v>22376.6</v>
      </c>
      <c r="G186" s="47" t="n">
        <v>22450.1</v>
      </c>
      <c r="H186" s="47" t="n">
        <v>22449</v>
      </c>
      <c r="I186" s="47" t="n">
        <v>22450.1</v>
      </c>
      <c r="J186" s="48" t="n">
        <v>2465</v>
      </c>
      <c r="K186" s="47" t="n">
        <v>41499.38</v>
      </c>
      <c r="L186" s="48" t="n">
        <v>330150</v>
      </c>
      <c r="M186" s="48" t="n">
        <v>89250</v>
      </c>
      <c r="N186" s="47" t="n">
        <v>22082.65</v>
      </c>
      <c r="O186" s="47" t="n">
        <f aca="false">IF(AND(ISNUMBER(G186),ISNUMBER(N186)),G186-N186,"")</f>
        <v>367.449999999997</v>
      </c>
      <c r="P186" s="49" t="n">
        <f aca="false">IF(ISNUMBER(O186),O186/N186,"")</f>
        <v>0.0166397601737109</v>
      </c>
      <c r="Q186" s="50" t="n">
        <f aca="false">C186-B186</f>
        <v>86</v>
      </c>
      <c r="R186" s="51" t="n">
        <f aca="false">IF(AND(C186=C185,ISNUMBER(G186),ISNUMBER(G185)),(G186/G185-1)*100,"")</f>
        <v>-0.374978921303237</v>
      </c>
      <c r="S186" s="51" t="n">
        <f aca="false">IF(AND(C186=C185,ISNUMBER(L186),ISNUMBER(L185)),(L186/L185-1)*100,"")</f>
        <v>37.0485678704857</v>
      </c>
      <c r="T186" s="51" t="n">
        <f aca="false">IF(AND(C186=C185,ISNUMBER(G186),ISNUMBER(G185)),G186-G185,"")</f>
        <v>-84.5</v>
      </c>
      <c r="U186" s="1" t="str">
        <f aca="false">IF(OR(NOT(ISNUMBER(R186)),NOT(ISNUMBER(S186))),"Not classified",IF(AND(R186&gt;0,S186&gt;0),"Long buildup (interpretation)",IF(AND(R186&lt;0,S186&gt;0),"Short buildup (interpretation)",IF(AND(R186&gt;0,S186&lt;0),"Short covering (interpretation)",IF(AND(R186&lt;0,S186&lt;0),"Long unwinding (interpretation)","Neutral")))))</f>
        <v>Short buildup (interpretation)</v>
      </c>
      <c r="V186" s="52" t="str">
        <f aca="false">TEXT(B186,"yyyy-mm")</f>
        <v>2025-03</v>
      </c>
      <c r="W186" s="52" t="n">
        <f aca="false">1+COUNTIFS($B$2:$B$756,B186,$C$2:$C$756,"&lt;"&amp;C186)</f>
        <v>3</v>
      </c>
      <c r="X186" s="53" t="n">
        <f aca="false">IF(AND(ISNUMBER(P186),Q186&gt;0),P186*365/Q186,"")</f>
        <v>0.0706222379465637</v>
      </c>
      <c r="Y186" s="42" t="n">
        <f aca="false">IF(AND(C187=C186,ISNUMBER(R187)),R187,"")</f>
        <v>1.13741141464849</v>
      </c>
      <c r="Z186" s="52" t="n">
        <f aca="false">IF(AND(W186=1,Q186&gt;Basis_Analysis!$B$3,ISNUMBER(Y186)),1,0)</f>
        <v>0</v>
      </c>
      <c r="AA186" s="43" t="str">
        <f aca="false">IF(W186=1,IF(SUMIFS($L$2:$L$756,$B$2:$B$756,B186,$W$2:$W$756,2)&gt;0,SUMIFS($L$2:$L$756,$B$2:$B$756,B186,$W$2:$W$756,2),""),"")</f>
        <v/>
      </c>
      <c r="AB186" s="54" t="str">
        <f aca="false">IF(AND(W186=1,ISNUMBER(AA186)),L186/(L186+AA186),"")</f>
        <v/>
      </c>
    </row>
    <row r="187" customFormat="false" ht="15" hidden="false" customHeight="true" outlineLevel="0" collapsed="false">
      <c r="A187" s="1" t="s">
        <v>274</v>
      </c>
      <c r="B187" s="46" t="n">
        <v>45721</v>
      </c>
      <c r="C187" s="46" t="n">
        <v>45806</v>
      </c>
      <c r="D187" s="47" t="n">
        <v>22403.05</v>
      </c>
      <c r="E187" s="47" t="n">
        <v>22761.1</v>
      </c>
      <c r="F187" s="47" t="n">
        <v>22403.05</v>
      </c>
      <c r="G187" s="47" t="n">
        <v>22705.45</v>
      </c>
      <c r="H187" s="47" t="n">
        <v>22717.65</v>
      </c>
      <c r="I187" s="47" t="n">
        <v>22705.45</v>
      </c>
      <c r="J187" s="48" t="n">
        <v>7243</v>
      </c>
      <c r="K187" s="47" t="n">
        <v>123195.81</v>
      </c>
      <c r="L187" s="48" t="n">
        <v>568050</v>
      </c>
      <c r="M187" s="48" t="n">
        <v>237900</v>
      </c>
      <c r="N187" s="47" t="n">
        <v>22337.3</v>
      </c>
      <c r="O187" s="47" t="n">
        <f aca="false">IF(AND(ISNUMBER(G187),ISNUMBER(N187)),G187-N187,"")</f>
        <v>368.150000000001</v>
      </c>
      <c r="P187" s="49" t="n">
        <f aca="false">IF(ISNUMBER(O187),O187/N187,"")</f>
        <v>0.0164814010645871</v>
      </c>
      <c r="Q187" s="50" t="n">
        <f aca="false">C187-B187</f>
        <v>85</v>
      </c>
      <c r="R187" s="51" t="n">
        <f aca="false">IF(AND(C187=C186,ISNUMBER(G187),ISNUMBER(G186)),(G187/G186-1)*100,"")</f>
        <v>1.13741141464849</v>
      </c>
      <c r="S187" s="51" t="n">
        <f aca="false">IF(AND(C187=C186,ISNUMBER(L187),ISNUMBER(L186)),(L187/L186-1)*100,"")</f>
        <v>72.0581553839164</v>
      </c>
      <c r="T187" s="51" t="n">
        <f aca="false">IF(AND(C187=C186,ISNUMBER(G187),ISNUMBER(G186)),G187-G186,"")</f>
        <v>255.350000000002</v>
      </c>
      <c r="U187" s="1" t="str">
        <f aca="false">IF(OR(NOT(ISNUMBER(R187)),NOT(ISNUMBER(S187))),"Not classified",IF(AND(R187&gt;0,S187&gt;0),"Long buildup (interpretation)",IF(AND(R187&lt;0,S187&gt;0),"Short buildup (interpretation)",IF(AND(R187&gt;0,S187&lt;0),"Short covering (interpretation)",IF(AND(R187&lt;0,S187&lt;0),"Long unwinding (interpretation)","Neutral")))))</f>
        <v>Long buildup (interpretation)</v>
      </c>
      <c r="V187" s="52" t="str">
        <f aca="false">TEXT(B187,"yyyy-mm")</f>
        <v>2025-03</v>
      </c>
      <c r="W187" s="52" t="n">
        <f aca="false">1+COUNTIFS($B$2:$B$756,B187,$C$2:$C$756,"&lt;"&amp;C187)</f>
        <v>3</v>
      </c>
      <c r="X187" s="53" t="n">
        <f aca="false">IF(AND(ISNUMBER(P187),Q187&gt;0),P187*365/Q187,"")</f>
        <v>0.0707730751596976</v>
      </c>
      <c r="Y187" s="42" t="n">
        <f aca="false">IF(AND(C188=C187,ISNUMBER(R188)),R188,"")</f>
        <v>0.741011519260804</v>
      </c>
      <c r="Z187" s="52" t="n">
        <f aca="false">IF(AND(W187=1,Q187&gt;Basis_Analysis!$B$3,ISNUMBER(Y187)),1,0)</f>
        <v>0</v>
      </c>
      <c r="AA187" s="43" t="str">
        <f aca="false">IF(W187=1,IF(SUMIFS($L$2:$L$756,$B$2:$B$756,B187,$W$2:$W$756,2)&gt;0,SUMIFS($L$2:$L$756,$B$2:$B$756,B187,$W$2:$W$756,2),""),"")</f>
        <v/>
      </c>
      <c r="AB187" s="54" t="str">
        <f aca="false">IF(AND(W187=1,ISNUMBER(AA187)),L187/(L187+AA187),"")</f>
        <v/>
      </c>
    </row>
    <row r="188" customFormat="false" ht="15" hidden="false" customHeight="true" outlineLevel="0" collapsed="false">
      <c r="A188" s="1" t="s">
        <v>274</v>
      </c>
      <c r="B188" s="46" t="n">
        <v>45722</v>
      </c>
      <c r="C188" s="46" t="n">
        <v>45806</v>
      </c>
      <c r="D188" s="47" t="n">
        <v>22762.9</v>
      </c>
      <c r="E188" s="47" t="n">
        <v>22887.3</v>
      </c>
      <c r="F188" s="47" t="n">
        <v>22624.1</v>
      </c>
      <c r="G188" s="47" t="n">
        <v>22873.7</v>
      </c>
      <c r="H188" s="47" t="n">
        <v>22875</v>
      </c>
      <c r="I188" s="47" t="n">
        <v>22873.7</v>
      </c>
      <c r="J188" s="48" t="n">
        <v>4118</v>
      </c>
      <c r="K188" s="47" t="n">
        <v>70290.79</v>
      </c>
      <c r="L188" s="48" t="n">
        <v>602550</v>
      </c>
      <c r="M188" s="48" t="n">
        <v>34500</v>
      </c>
      <c r="N188" s="47" t="n">
        <v>22544.7</v>
      </c>
      <c r="O188" s="47" t="n">
        <f aca="false">IF(AND(ISNUMBER(G188),ISNUMBER(N188)),G188-N188,"")</f>
        <v>329</v>
      </c>
      <c r="P188" s="49" t="n">
        <f aca="false">IF(ISNUMBER(O188),O188/N188,"")</f>
        <v>0.0145932303379508</v>
      </c>
      <c r="Q188" s="50" t="n">
        <f aca="false">C188-B188</f>
        <v>84</v>
      </c>
      <c r="R188" s="51" t="n">
        <f aca="false">IF(AND(C188=C187,ISNUMBER(G188),ISNUMBER(G187)),(G188/G187-1)*100,"")</f>
        <v>0.741011519260804</v>
      </c>
      <c r="S188" s="51" t="n">
        <f aca="false">IF(AND(C188=C187,ISNUMBER(L188),ISNUMBER(L187)),(L188/L187-1)*100,"")</f>
        <v>6.07340903089517</v>
      </c>
      <c r="T188" s="51" t="n">
        <f aca="false">IF(AND(C188=C187,ISNUMBER(G188),ISNUMBER(G187)),G188-G187,"")</f>
        <v>168.25</v>
      </c>
      <c r="U188" s="1" t="str">
        <f aca="false">IF(OR(NOT(ISNUMBER(R188)),NOT(ISNUMBER(S188))),"Not classified",IF(AND(R188&gt;0,S188&gt;0),"Long buildup (interpretation)",IF(AND(R188&lt;0,S188&gt;0),"Short buildup (interpretation)",IF(AND(R188&gt;0,S188&lt;0),"Short covering (interpretation)",IF(AND(R188&lt;0,S188&lt;0),"Long unwinding (interpretation)","Neutral")))))</f>
        <v>Long buildup (interpretation)</v>
      </c>
      <c r="V188" s="52" t="str">
        <f aca="false">TEXT(B188,"yyyy-mm")</f>
        <v>2025-03</v>
      </c>
      <c r="W188" s="52" t="n">
        <f aca="false">1+COUNTIFS($B$2:$B$756,B188,$C$2:$C$756,"&lt;"&amp;C188)</f>
        <v>3</v>
      </c>
      <c r="X188" s="53" t="n">
        <f aca="false">IF(AND(ISNUMBER(P188),Q188&gt;0),P188*365/Q188,"")</f>
        <v>0.0634110603970482</v>
      </c>
      <c r="Y188" s="42" t="n">
        <f aca="false">IF(AND(C189=C188,ISNUMBER(R189)),R189,"")</f>
        <v>0.149516693844909</v>
      </c>
      <c r="Z188" s="52" t="n">
        <f aca="false">IF(AND(W188=1,Q188&gt;Basis_Analysis!$B$3,ISNUMBER(Y188)),1,0)</f>
        <v>0</v>
      </c>
      <c r="AA188" s="43" t="str">
        <f aca="false">IF(W188=1,IF(SUMIFS($L$2:$L$756,$B$2:$B$756,B188,$W$2:$W$756,2)&gt;0,SUMIFS($L$2:$L$756,$B$2:$B$756,B188,$W$2:$W$756,2),""),"")</f>
        <v/>
      </c>
      <c r="AB188" s="54" t="str">
        <f aca="false">IF(AND(W188=1,ISNUMBER(AA188)),L188/(L188+AA188),"")</f>
        <v/>
      </c>
    </row>
    <row r="189" customFormat="false" ht="15" hidden="false" customHeight="true" outlineLevel="0" collapsed="false">
      <c r="A189" s="1" t="s">
        <v>274</v>
      </c>
      <c r="B189" s="46" t="n">
        <v>45723</v>
      </c>
      <c r="C189" s="46" t="n">
        <v>45806</v>
      </c>
      <c r="D189" s="47" t="n">
        <v>22853.95</v>
      </c>
      <c r="E189" s="47" t="n">
        <v>22986.75</v>
      </c>
      <c r="F189" s="47" t="n">
        <v>22829.95</v>
      </c>
      <c r="G189" s="47" t="n">
        <v>22907.9</v>
      </c>
      <c r="H189" s="47" t="n">
        <v>22905</v>
      </c>
      <c r="I189" s="47" t="n">
        <v>22907.9</v>
      </c>
      <c r="J189" s="48" t="n">
        <v>6237</v>
      </c>
      <c r="K189" s="47" t="n">
        <v>107260.72</v>
      </c>
      <c r="L189" s="48" t="n">
        <v>612375</v>
      </c>
      <c r="M189" s="48" t="n">
        <v>9825</v>
      </c>
      <c r="N189" s="47" t="n">
        <v>22552.5</v>
      </c>
      <c r="O189" s="47" t="n">
        <f aca="false">IF(AND(ISNUMBER(G189),ISNUMBER(N189)),G189-N189,"")</f>
        <v>355.400000000001</v>
      </c>
      <c r="P189" s="49" t="n">
        <f aca="false">IF(ISNUMBER(O189),O189/N189,"")</f>
        <v>0.0157587850570891</v>
      </c>
      <c r="Q189" s="50" t="n">
        <f aca="false">C189-B189</f>
        <v>83</v>
      </c>
      <c r="R189" s="51" t="n">
        <f aca="false">IF(AND(C189=C188,ISNUMBER(G189),ISNUMBER(G188)),(G189/G188-1)*100,"")</f>
        <v>0.149516693844909</v>
      </c>
      <c r="S189" s="51" t="n">
        <f aca="false">IF(AND(C189=C188,ISNUMBER(L189),ISNUMBER(L188)),(L189/L188-1)*100,"")</f>
        <v>1.63057007717202</v>
      </c>
      <c r="T189" s="51" t="n">
        <f aca="false">IF(AND(C189=C188,ISNUMBER(G189),ISNUMBER(G188)),G189-G188,"")</f>
        <v>34.2000000000007</v>
      </c>
      <c r="U189" s="1" t="str">
        <f aca="false">IF(OR(NOT(ISNUMBER(R189)),NOT(ISNUMBER(S189))),"Not classified",IF(AND(R189&gt;0,S189&gt;0),"Long buildup (interpretation)",IF(AND(R189&lt;0,S189&gt;0),"Short buildup (interpretation)",IF(AND(R189&gt;0,S189&lt;0),"Short covering (interpretation)",IF(AND(R189&lt;0,S189&lt;0),"Long unwinding (interpretation)","Neutral")))))</f>
        <v>Long buildup (interpretation)</v>
      </c>
      <c r="V189" s="52" t="str">
        <f aca="false">TEXT(B189,"yyyy-mm")</f>
        <v>2025-03</v>
      </c>
      <c r="W189" s="52" t="n">
        <f aca="false">1+COUNTIFS($B$2:$B$756,B189,$C$2:$C$756,"&lt;"&amp;C189)</f>
        <v>3</v>
      </c>
      <c r="X189" s="53" t="n">
        <f aca="false">IF(AND(ISNUMBER(P189),Q189&gt;0),P189*365/Q189,"")</f>
        <v>0.0693006812751508</v>
      </c>
      <c r="Y189" s="42" t="n">
        <f aca="false">IF(AND(C190=C189,ISNUMBER(R190)),R190,"")</f>
        <v>-0.59411818630255</v>
      </c>
      <c r="Z189" s="52" t="n">
        <f aca="false">IF(AND(W189=1,Q189&gt;Basis_Analysis!$B$3,ISNUMBER(Y189)),1,0)</f>
        <v>0</v>
      </c>
      <c r="AA189" s="43" t="str">
        <f aca="false">IF(W189=1,IF(SUMIFS($L$2:$L$756,$B$2:$B$756,B189,$W$2:$W$756,2)&gt;0,SUMIFS($L$2:$L$756,$B$2:$B$756,B189,$W$2:$W$756,2),""),"")</f>
        <v/>
      </c>
      <c r="AB189" s="54" t="str">
        <f aca="false">IF(AND(W189=1,ISNUMBER(AA189)),L189/(L189+AA189),"")</f>
        <v/>
      </c>
    </row>
    <row r="190" customFormat="false" ht="15" hidden="false" customHeight="true" outlineLevel="0" collapsed="false">
      <c r="A190" s="1" t="s">
        <v>274</v>
      </c>
      <c r="B190" s="46" t="n">
        <v>45726</v>
      </c>
      <c r="C190" s="46" t="n">
        <v>45806</v>
      </c>
      <c r="D190" s="47" t="n">
        <v>22886</v>
      </c>
      <c r="E190" s="47" t="n">
        <v>22979.3</v>
      </c>
      <c r="F190" s="47" t="n">
        <v>22751.05</v>
      </c>
      <c r="G190" s="47" t="n">
        <v>22771.8</v>
      </c>
      <c r="H190" s="47" t="n">
        <v>22767.95</v>
      </c>
      <c r="I190" s="47" t="n">
        <v>22771.8</v>
      </c>
      <c r="J190" s="48" t="n">
        <v>3289</v>
      </c>
      <c r="K190" s="47" t="n">
        <v>56351.03</v>
      </c>
      <c r="L190" s="48" t="n">
        <v>706050</v>
      </c>
      <c r="M190" s="48" t="n">
        <v>93675</v>
      </c>
      <c r="N190" s="47" t="n">
        <v>22460.3</v>
      </c>
      <c r="O190" s="47" t="n">
        <f aca="false">IF(AND(ISNUMBER(G190),ISNUMBER(N190)),G190-N190,"")</f>
        <v>311.5</v>
      </c>
      <c r="P190" s="49" t="n">
        <f aca="false">IF(ISNUMBER(O190),O190/N190,"")</f>
        <v>0.0138689153751286</v>
      </c>
      <c r="Q190" s="50" t="n">
        <f aca="false">C190-B190</f>
        <v>80</v>
      </c>
      <c r="R190" s="51" t="n">
        <f aca="false">IF(AND(C190=C189,ISNUMBER(G190),ISNUMBER(G189)),(G190/G189-1)*100,"")</f>
        <v>-0.59411818630255</v>
      </c>
      <c r="S190" s="51" t="n">
        <f aca="false">IF(AND(C190=C189,ISNUMBER(L190),ISNUMBER(L189)),(L190/L189-1)*100,"")</f>
        <v>15.2969993876301</v>
      </c>
      <c r="T190" s="51" t="n">
        <f aca="false">IF(AND(C190=C189,ISNUMBER(G190),ISNUMBER(G189)),G190-G189,"")</f>
        <v>-136.100000000002</v>
      </c>
      <c r="U190" s="1" t="str">
        <f aca="false">IF(OR(NOT(ISNUMBER(R190)),NOT(ISNUMBER(S190))),"Not classified",IF(AND(R190&gt;0,S190&gt;0),"Long buildup (interpretation)",IF(AND(R190&lt;0,S190&gt;0),"Short buildup (interpretation)",IF(AND(R190&gt;0,S190&lt;0),"Short covering (interpretation)",IF(AND(R190&lt;0,S190&lt;0),"Long unwinding (interpretation)","Neutral")))))</f>
        <v>Short buildup (interpretation)</v>
      </c>
      <c r="V190" s="52" t="str">
        <f aca="false">TEXT(B190,"yyyy-mm")</f>
        <v>2025-03</v>
      </c>
      <c r="W190" s="52" t="n">
        <f aca="false">1+COUNTIFS($B$2:$B$756,B190,$C$2:$C$756,"&lt;"&amp;C190)</f>
        <v>3</v>
      </c>
      <c r="X190" s="53" t="n">
        <f aca="false">IF(AND(ISNUMBER(P190),Q190&gt;0),P190*365/Q190,"")</f>
        <v>0.0632769263990241</v>
      </c>
      <c r="Y190" s="42" t="n">
        <f aca="false">IF(AND(C191=C190,ISNUMBER(R191)),R191,"")</f>
        <v>0.19695412747347</v>
      </c>
      <c r="Z190" s="52" t="n">
        <f aca="false">IF(AND(W190=1,Q190&gt;Basis_Analysis!$B$3,ISNUMBER(Y190)),1,0)</f>
        <v>0</v>
      </c>
      <c r="AA190" s="43" t="str">
        <f aca="false">IF(W190=1,IF(SUMIFS($L$2:$L$756,$B$2:$B$756,B190,$W$2:$W$756,2)&gt;0,SUMIFS($L$2:$L$756,$B$2:$B$756,B190,$W$2:$W$756,2),""),"")</f>
        <v/>
      </c>
      <c r="AB190" s="54" t="str">
        <f aca="false">IF(AND(W190=1,ISNUMBER(AA190)),L190/(L190+AA190),"")</f>
        <v/>
      </c>
    </row>
    <row r="191" customFormat="false" ht="15" hidden="false" customHeight="true" outlineLevel="0" collapsed="false">
      <c r="A191" s="1" t="s">
        <v>274</v>
      </c>
      <c r="B191" s="46" t="n">
        <v>45727</v>
      </c>
      <c r="C191" s="46" t="n">
        <v>45806</v>
      </c>
      <c r="D191" s="47" t="n">
        <v>22703</v>
      </c>
      <c r="E191" s="47" t="n">
        <v>22842.7</v>
      </c>
      <c r="F191" s="47" t="n">
        <v>22629</v>
      </c>
      <c r="G191" s="47" t="n">
        <v>22816.65</v>
      </c>
      <c r="H191" s="47" t="n">
        <v>22840</v>
      </c>
      <c r="I191" s="47" t="n">
        <v>22816.65</v>
      </c>
      <c r="J191" s="48" t="n">
        <v>3007</v>
      </c>
      <c r="K191" s="47" t="n">
        <v>51217.04</v>
      </c>
      <c r="L191" s="48" t="n">
        <v>826125</v>
      </c>
      <c r="M191" s="48" t="n">
        <v>120075</v>
      </c>
      <c r="N191" s="47" t="n">
        <v>22497.9</v>
      </c>
      <c r="O191" s="47" t="n">
        <f aca="false">IF(AND(ISNUMBER(G191),ISNUMBER(N191)),G191-N191,"")</f>
        <v>318.75</v>
      </c>
      <c r="P191" s="49" t="n">
        <f aca="false">IF(ISNUMBER(O191),O191/N191,"")</f>
        <v>0.0141679890123078</v>
      </c>
      <c r="Q191" s="50" t="n">
        <f aca="false">C191-B191</f>
        <v>79</v>
      </c>
      <c r="R191" s="51" t="n">
        <f aca="false">IF(AND(C191=C190,ISNUMBER(G191),ISNUMBER(G190)),(G191/G190-1)*100,"")</f>
        <v>0.19695412747347</v>
      </c>
      <c r="S191" s="51" t="n">
        <f aca="false">IF(AND(C191=C190,ISNUMBER(L191),ISNUMBER(L190)),(L191/L190-1)*100,"")</f>
        <v>17.0065859358402</v>
      </c>
      <c r="T191" s="51" t="n">
        <f aca="false">IF(AND(C191=C190,ISNUMBER(G191),ISNUMBER(G190)),G191-G190,"")</f>
        <v>44.8500000000022</v>
      </c>
      <c r="U191" s="1" t="str">
        <f aca="false">IF(OR(NOT(ISNUMBER(R191)),NOT(ISNUMBER(S191))),"Not classified",IF(AND(R191&gt;0,S191&gt;0),"Long buildup (interpretation)",IF(AND(R191&lt;0,S191&gt;0),"Short buildup (interpretation)",IF(AND(R191&gt;0,S191&lt;0),"Short covering (interpretation)",IF(AND(R191&lt;0,S191&lt;0),"Long unwinding (interpretation)","Neutral")))))</f>
        <v>Long buildup (interpretation)</v>
      </c>
      <c r="V191" s="52" t="str">
        <f aca="false">TEXT(B191,"yyyy-mm")</f>
        <v>2025-03</v>
      </c>
      <c r="W191" s="52" t="n">
        <f aca="false">1+COUNTIFS($B$2:$B$756,B191,$C$2:$C$756,"&lt;"&amp;C191)</f>
        <v>3</v>
      </c>
      <c r="X191" s="53" t="n">
        <f aca="false">IF(AND(ISNUMBER(P191),Q191&gt;0),P191*365/Q191,"")</f>
        <v>0.0654596960695235</v>
      </c>
      <c r="Y191" s="42" t="n">
        <f aca="false">IF(AND(C192=C191,ISNUMBER(R192)),R192,"")</f>
        <v>-0.157779516274303</v>
      </c>
      <c r="Z191" s="52" t="n">
        <f aca="false">IF(AND(W191=1,Q191&gt;Basis_Analysis!$B$3,ISNUMBER(Y191)),1,0)</f>
        <v>0</v>
      </c>
      <c r="AA191" s="43" t="str">
        <f aca="false">IF(W191=1,IF(SUMIFS($L$2:$L$756,$B$2:$B$756,B191,$W$2:$W$756,2)&gt;0,SUMIFS($L$2:$L$756,$B$2:$B$756,B191,$W$2:$W$756,2),""),"")</f>
        <v/>
      </c>
      <c r="AB191" s="54" t="str">
        <f aca="false">IF(AND(W191=1,ISNUMBER(AA191)),L191/(L191+AA191),"")</f>
        <v/>
      </c>
    </row>
    <row r="192" customFormat="false" ht="15" hidden="false" customHeight="true" outlineLevel="0" collapsed="false">
      <c r="A192" s="1" t="s">
        <v>274</v>
      </c>
      <c r="B192" s="46" t="n">
        <v>45728</v>
      </c>
      <c r="C192" s="46" t="n">
        <v>45806</v>
      </c>
      <c r="D192" s="47" t="n">
        <v>22840.85</v>
      </c>
      <c r="E192" s="47" t="n">
        <v>22868.35</v>
      </c>
      <c r="F192" s="47" t="n">
        <v>22633.5</v>
      </c>
      <c r="G192" s="47" t="n">
        <v>22780.65</v>
      </c>
      <c r="H192" s="47" t="n">
        <v>22777</v>
      </c>
      <c r="I192" s="47" t="n">
        <v>22780.65</v>
      </c>
      <c r="J192" s="48" t="n">
        <v>3053</v>
      </c>
      <c r="K192" s="47" t="n">
        <v>52067.81</v>
      </c>
      <c r="L192" s="48" t="n">
        <v>919500</v>
      </c>
      <c r="M192" s="48" t="n">
        <v>93375</v>
      </c>
      <c r="N192" s="47" t="n">
        <v>22470.5</v>
      </c>
      <c r="O192" s="47" t="n">
        <f aca="false">IF(AND(ISNUMBER(G192),ISNUMBER(N192)),G192-N192,"")</f>
        <v>310.150000000001</v>
      </c>
      <c r="P192" s="49" t="n">
        <f aca="false">IF(ISNUMBER(O192),O192/N192,"")</f>
        <v>0.0138025411094547</v>
      </c>
      <c r="Q192" s="50" t="n">
        <f aca="false">C192-B192</f>
        <v>78</v>
      </c>
      <c r="R192" s="51" t="n">
        <f aca="false">IF(AND(C192=C191,ISNUMBER(G192),ISNUMBER(G191)),(G192/G191-1)*100,"")</f>
        <v>-0.157779516274303</v>
      </c>
      <c r="S192" s="51" t="n">
        <f aca="false">IF(AND(C192=C191,ISNUMBER(L192),ISNUMBER(L191)),(L192/L191-1)*100,"")</f>
        <v>11.3027689514299</v>
      </c>
      <c r="T192" s="51" t="n">
        <f aca="false">IF(AND(C192=C191,ISNUMBER(G192),ISNUMBER(G191)),G192-G191,"")</f>
        <v>-36</v>
      </c>
      <c r="U192" s="1" t="str">
        <f aca="false">IF(OR(NOT(ISNUMBER(R192)),NOT(ISNUMBER(S192))),"Not classified",IF(AND(R192&gt;0,S192&gt;0),"Long buildup (interpretation)",IF(AND(R192&lt;0,S192&gt;0),"Short buildup (interpretation)",IF(AND(R192&gt;0,S192&lt;0),"Short covering (interpretation)",IF(AND(R192&lt;0,S192&lt;0),"Long unwinding (interpretation)","Neutral")))))</f>
        <v>Short buildup (interpretation)</v>
      </c>
      <c r="V192" s="52" t="str">
        <f aca="false">TEXT(B192,"yyyy-mm")</f>
        <v>2025-03</v>
      </c>
      <c r="W192" s="52" t="n">
        <f aca="false">1+COUNTIFS($B$2:$B$756,B192,$C$2:$C$756,"&lt;"&amp;C192)</f>
        <v>3</v>
      </c>
      <c r="X192" s="53" t="n">
        <f aca="false">IF(AND(ISNUMBER(P192),Q192&gt;0),P192*365/Q192,"")</f>
        <v>0.0645888141660379</v>
      </c>
      <c r="Y192" s="42" t="n">
        <f aca="false">IF(AND(C193=C192,ISNUMBER(R193)),R193,"")</f>
        <v>-0.379708217280894</v>
      </c>
      <c r="Z192" s="52" t="n">
        <f aca="false">IF(AND(W192=1,Q192&gt;Basis_Analysis!$B$3,ISNUMBER(Y192)),1,0)</f>
        <v>0</v>
      </c>
      <c r="AA192" s="43" t="str">
        <f aca="false">IF(W192=1,IF(SUMIFS($L$2:$L$756,$B$2:$B$756,B192,$W$2:$W$756,2)&gt;0,SUMIFS($L$2:$L$756,$B$2:$B$756,B192,$W$2:$W$756,2),""),"")</f>
        <v/>
      </c>
      <c r="AB192" s="54" t="str">
        <f aca="false">IF(AND(W192=1,ISNUMBER(AA192)),L192/(L192+AA192),"")</f>
        <v/>
      </c>
    </row>
    <row r="193" customFormat="false" ht="15" hidden="false" customHeight="true" outlineLevel="0" collapsed="false">
      <c r="A193" s="1" t="s">
        <v>274</v>
      </c>
      <c r="B193" s="46" t="n">
        <v>45729</v>
      </c>
      <c r="C193" s="46" t="n">
        <v>45806</v>
      </c>
      <c r="D193" s="47" t="n">
        <v>22829.95</v>
      </c>
      <c r="E193" s="47" t="n">
        <v>22854.45</v>
      </c>
      <c r="F193" s="47" t="n">
        <v>22681.95</v>
      </c>
      <c r="G193" s="47" t="n">
        <v>22694.15</v>
      </c>
      <c r="H193" s="47" t="n">
        <v>22685</v>
      </c>
      <c r="I193" s="47" t="n">
        <v>22694.15</v>
      </c>
      <c r="J193" s="48" t="n">
        <v>1412</v>
      </c>
      <c r="K193" s="47" t="n">
        <v>24100.81</v>
      </c>
      <c r="L193" s="48" t="n">
        <v>927150</v>
      </c>
      <c r="M193" s="48" t="n">
        <v>7650</v>
      </c>
      <c r="N193" s="47" t="n">
        <v>22397.2</v>
      </c>
      <c r="O193" s="47" t="n">
        <f aca="false">IF(AND(ISNUMBER(G193),ISNUMBER(N193)),G193-N193,"")</f>
        <v>296.950000000001</v>
      </c>
      <c r="P193" s="49" t="n">
        <f aca="false">IF(ISNUMBER(O193),O193/N193,"")</f>
        <v>0.0132583537227868</v>
      </c>
      <c r="Q193" s="50" t="n">
        <f aca="false">C193-B193</f>
        <v>77</v>
      </c>
      <c r="R193" s="51" t="n">
        <f aca="false">IF(AND(C193=C192,ISNUMBER(G193),ISNUMBER(G192)),(G193/G192-1)*100,"")</f>
        <v>-0.379708217280894</v>
      </c>
      <c r="S193" s="51" t="n">
        <f aca="false">IF(AND(C193=C192,ISNUMBER(L193),ISNUMBER(L192)),(L193/L192-1)*100,"")</f>
        <v>0.831973898858074</v>
      </c>
      <c r="T193" s="51" t="n">
        <f aca="false">IF(AND(C193=C192,ISNUMBER(G193),ISNUMBER(G192)),G193-G192,"")</f>
        <v>-86.5</v>
      </c>
      <c r="U193" s="1" t="str">
        <f aca="false">IF(OR(NOT(ISNUMBER(R193)),NOT(ISNUMBER(S193))),"Not classified",IF(AND(R193&gt;0,S193&gt;0),"Long buildup (interpretation)",IF(AND(R193&lt;0,S193&gt;0),"Short buildup (interpretation)",IF(AND(R193&gt;0,S193&lt;0),"Short covering (interpretation)",IF(AND(R193&lt;0,S193&lt;0),"Long unwinding (interpretation)","Neutral")))))</f>
        <v>Short buildup (interpretation)</v>
      </c>
      <c r="V193" s="52" t="str">
        <f aca="false">TEXT(B193,"yyyy-mm")</f>
        <v>2025-03</v>
      </c>
      <c r="W193" s="52" t="n">
        <f aca="false">1+COUNTIFS($B$2:$B$756,B193,$C$2:$C$756,"&lt;"&amp;C193)</f>
        <v>3</v>
      </c>
      <c r="X193" s="53" t="n">
        <f aca="false">IF(AND(ISNUMBER(P193),Q193&gt;0),P193*365/Q193,"")</f>
        <v>0.0628480403742492</v>
      </c>
      <c r="Y193" s="42" t="n">
        <f aca="false">IF(AND(C194=C193,ISNUMBER(R194)),R194,"")</f>
        <v>0.581868014444242</v>
      </c>
      <c r="Z193" s="52" t="n">
        <f aca="false">IF(AND(W193=1,Q193&gt;Basis_Analysis!$B$3,ISNUMBER(Y193)),1,0)</f>
        <v>0</v>
      </c>
      <c r="AA193" s="43" t="str">
        <f aca="false">IF(W193=1,IF(SUMIFS($L$2:$L$756,$B$2:$B$756,B193,$W$2:$W$756,2)&gt;0,SUMIFS($L$2:$L$756,$B$2:$B$756,B193,$W$2:$W$756,2),""),"")</f>
        <v/>
      </c>
      <c r="AB193" s="54" t="str">
        <f aca="false">IF(AND(W193=1,ISNUMBER(AA193)),L193/(L193+AA193),"")</f>
        <v/>
      </c>
    </row>
    <row r="194" customFormat="false" ht="15" hidden="false" customHeight="true" outlineLevel="0" collapsed="false">
      <c r="A194" s="1" t="s">
        <v>274</v>
      </c>
      <c r="B194" s="46" t="n">
        <v>45733</v>
      </c>
      <c r="C194" s="46" t="n">
        <v>45806</v>
      </c>
      <c r="D194" s="47" t="n">
        <v>22736</v>
      </c>
      <c r="E194" s="47" t="n">
        <v>22908.45</v>
      </c>
      <c r="F194" s="47" t="n">
        <v>22736</v>
      </c>
      <c r="G194" s="47" t="n">
        <v>22826.2</v>
      </c>
      <c r="H194" s="47" t="n">
        <v>22829.1</v>
      </c>
      <c r="I194" s="47" t="n">
        <v>22826.2</v>
      </c>
      <c r="J194" s="48" t="n">
        <v>1941</v>
      </c>
      <c r="K194" s="47" t="n">
        <v>33226.32</v>
      </c>
      <c r="L194" s="48" t="n">
        <v>959775</v>
      </c>
      <c r="M194" s="48" t="n">
        <v>32625</v>
      </c>
      <c r="N194" s="47" t="n">
        <v>22508.75</v>
      </c>
      <c r="O194" s="47" t="n">
        <f aca="false">IF(AND(ISNUMBER(G194),ISNUMBER(N194)),G194-N194,"")</f>
        <v>317.450000000001</v>
      </c>
      <c r="P194" s="49" t="n">
        <f aca="false">IF(ISNUMBER(O194),O194/N194,"")</f>
        <v>0.0141034042316877</v>
      </c>
      <c r="Q194" s="50" t="n">
        <f aca="false">C194-B194</f>
        <v>73</v>
      </c>
      <c r="R194" s="51" t="n">
        <f aca="false">IF(AND(C194=C193,ISNUMBER(G194),ISNUMBER(G193)),(G194/G193-1)*100,"")</f>
        <v>0.581868014444242</v>
      </c>
      <c r="S194" s="51" t="n">
        <f aca="false">IF(AND(C194=C193,ISNUMBER(L194),ISNUMBER(L193)),(L194/L193-1)*100,"")</f>
        <v>3.51884808283449</v>
      </c>
      <c r="T194" s="51" t="n">
        <f aca="false">IF(AND(C194=C193,ISNUMBER(G194),ISNUMBER(G193)),G194-G193,"")</f>
        <v>132.049999999999</v>
      </c>
      <c r="U194" s="1" t="str">
        <f aca="false">IF(OR(NOT(ISNUMBER(R194)),NOT(ISNUMBER(S194))),"Not classified",IF(AND(R194&gt;0,S194&gt;0),"Long buildup (interpretation)",IF(AND(R194&lt;0,S194&gt;0),"Short buildup (interpretation)",IF(AND(R194&gt;0,S194&lt;0),"Short covering (interpretation)",IF(AND(R194&lt;0,S194&lt;0),"Long unwinding (interpretation)","Neutral")))))</f>
        <v>Long buildup (interpretation)</v>
      </c>
      <c r="V194" s="52" t="str">
        <f aca="false">TEXT(B194,"yyyy-mm")</f>
        <v>2025-03</v>
      </c>
      <c r="W194" s="52" t="n">
        <f aca="false">1+COUNTIFS($B$2:$B$756,B194,$C$2:$C$756,"&lt;"&amp;C194)</f>
        <v>3</v>
      </c>
      <c r="X194" s="53" t="n">
        <f aca="false">IF(AND(ISNUMBER(P194),Q194&gt;0),P194*365/Q194,"")</f>
        <v>0.0705170211584385</v>
      </c>
      <c r="Y194" s="42" t="n">
        <f aca="false">IF(AND(C195=C194,ISNUMBER(R195)),R195,"")</f>
        <v>1.40584065678913</v>
      </c>
      <c r="Z194" s="52" t="n">
        <f aca="false">IF(AND(W194=1,Q194&gt;Basis_Analysis!$B$3,ISNUMBER(Y194)),1,0)</f>
        <v>0</v>
      </c>
      <c r="AA194" s="43" t="str">
        <f aca="false">IF(W194=1,IF(SUMIFS($L$2:$L$756,$B$2:$B$756,B194,$W$2:$W$756,2)&gt;0,SUMIFS($L$2:$L$756,$B$2:$B$756,B194,$W$2:$W$756,2),""),"")</f>
        <v/>
      </c>
      <c r="AB194" s="54" t="str">
        <f aca="false">IF(AND(W194=1,ISNUMBER(AA194)),L194/(L194+AA194),"")</f>
        <v/>
      </c>
    </row>
    <row r="195" customFormat="false" ht="15" hidden="false" customHeight="true" outlineLevel="0" collapsed="false">
      <c r="A195" s="1" t="s">
        <v>274</v>
      </c>
      <c r="B195" s="46" t="n">
        <v>45734</v>
      </c>
      <c r="C195" s="46" t="n">
        <v>45806</v>
      </c>
      <c r="D195" s="47" t="n">
        <v>22939.95</v>
      </c>
      <c r="E195" s="47" t="n">
        <v>23163.55</v>
      </c>
      <c r="F195" s="47" t="n">
        <v>22911.15</v>
      </c>
      <c r="G195" s="47" t="n">
        <v>23147.1</v>
      </c>
      <c r="H195" s="47" t="n">
        <v>23155</v>
      </c>
      <c r="I195" s="47" t="n">
        <v>23147.1</v>
      </c>
      <c r="J195" s="48" t="n">
        <v>3683</v>
      </c>
      <c r="K195" s="47" t="n">
        <v>63690.86</v>
      </c>
      <c r="L195" s="48" t="n">
        <v>1013850</v>
      </c>
      <c r="M195" s="48" t="n">
        <v>54075</v>
      </c>
      <c r="N195" s="47" t="n">
        <v>22834.3</v>
      </c>
      <c r="O195" s="47" t="n">
        <f aca="false">IF(AND(ISNUMBER(G195),ISNUMBER(N195)),G195-N195,"")</f>
        <v>312.799999999999</v>
      </c>
      <c r="P195" s="49" t="n">
        <f aca="false">IF(ISNUMBER(O195),O195/N195,"")</f>
        <v>0.0136986901284471</v>
      </c>
      <c r="Q195" s="50" t="n">
        <f aca="false">C195-B195</f>
        <v>72</v>
      </c>
      <c r="R195" s="51" t="n">
        <f aca="false">IF(AND(C195=C194,ISNUMBER(G195),ISNUMBER(G194)),(G195/G194-1)*100,"")</f>
        <v>1.40584065678913</v>
      </c>
      <c r="S195" s="51" t="n">
        <f aca="false">IF(AND(C195=C194,ISNUMBER(L195),ISNUMBER(L194)),(L195/L194-1)*100,"")</f>
        <v>5.63413299992186</v>
      </c>
      <c r="T195" s="51" t="n">
        <f aca="false">IF(AND(C195=C194,ISNUMBER(G195),ISNUMBER(G194)),G195-G194,"")</f>
        <v>320.899999999998</v>
      </c>
      <c r="U195" s="1" t="str">
        <f aca="false">IF(OR(NOT(ISNUMBER(R195)),NOT(ISNUMBER(S195))),"Not classified",IF(AND(R195&gt;0,S195&gt;0),"Long buildup (interpretation)",IF(AND(R195&lt;0,S195&gt;0),"Short buildup (interpretation)",IF(AND(R195&gt;0,S195&lt;0),"Short covering (interpretation)",IF(AND(R195&lt;0,S195&lt;0),"Long unwinding (interpretation)","Neutral")))))</f>
        <v>Long buildup (interpretation)</v>
      </c>
      <c r="V195" s="52" t="str">
        <f aca="false">TEXT(B195,"yyyy-mm")</f>
        <v>2025-03</v>
      </c>
      <c r="W195" s="52" t="n">
        <f aca="false">1+COUNTIFS($B$2:$B$756,B195,$C$2:$C$756,"&lt;"&amp;C195)</f>
        <v>3</v>
      </c>
      <c r="X195" s="53" t="n">
        <f aca="false">IF(AND(ISNUMBER(P195),Q195&gt;0),P195*365/Q195,"")</f>
        <v>0.069444748567822</v>
      </c>
      <c r="Y195" s="42" t="n">
        <f aca="false">IF(AND(C196=C195,ISNUMBER(R196)),R196,"")</f>
        <v>0.381473273109823</v>
      </c>
      <c r="Z195" s="52" t="n">
        <f aca="false">IF(AND(W195=1,Q195&gt;Basis_Analysis!$B$3,ISNUMBER(Y195)),1,0)</f>
        <v>0</v>
      </c>
      <c r="AA195" s="43" t="str">
        <f aca="false">IF(W195=1,IF(SUMIFS($L$2:$L$756,$B$2:$B$756,B195,$W$2:$W$756,2)&gt;0,SUMIFS($L$2:$L$756,$B$2:$B$756,B195,$W$2:$W$756,2),""),"")</f>
        <v/>
      </c>
      <c r="AB195" s="54" t="str">
        <f aca="false">IF(AND(W195=1,ISNUMBER(AA195)),L195/(L195+AA195),"")</f>
        <v/>
      </c>
    </row>
    <row r="196" customFormat="false" ht="15" hidden="false" customHeight="true" outlineLevel="0" collapsed="false">
      <c r="A196" s="1" t="s">
        <v>274</v>
      </c>
      <c r="B196" s="46" t="n">
        <v>45735</v>
      </c>
      <c r="C196" s="46" t="n">
        <v>45806</v>
      </c>
      <c r="D196" s="47" t="n">
        <v>23184</v>
      </c>
      <c r="E196" s="47" t="n">
        <v>23247.25</v>
      </c>
      <c r="F196" s="47" t="n">
        <v>23124.95</v>
      </c>
      <c r="G196" s="47" t="n">
        <v>23235.4</v>
      </c>
      <c r="H196" s="47" t="n">
        <v>23241</v>
      </c>
      <c r="I196" s="47" t="n">
        <v>23235.4</v>
      </c>
      <c r="J196" s="48" t="n">
        <v>4316</v>
      </c>
      <c r="K196" s="47" t="n">
        <v>75102.47</v>
      </c>
      <c r="L196" s="48" t="n">
        <v>1102050</v>
      </c>
      <c r="M196" s="48" t="n">
        <v>88200</v>
      </c>
      <c r="N196" s="47" t="n">
        <v>22907.6</v>
      </c>
      <c r="O196" s="47" t="n">
        <f aca="false">IF(AND(ISNUMBER(G196),ISNUMBER(N196)),G196-N196,"")</f>
        <v>327.800000000003</v>
      </c>
      <c r="P196" s="49" t="n">
        <f aca="false">IF(ISNUMBER(O196),O196/N196,"")</f>
        <v>0.0143096614224102</v>
      </c>
      <c r="Q196" s="50" t="n">
        <f aca="false">C196-B196</f>
        <v>71</v>
      </c>
      <c r="R196" s="51" t="n">
        <f aca="false">IF(AND(C196=C195,ISNUMBER(G196),ISNUMBER(G195)),(G196/G195-1)*100,"")</f>
        <v>0.381473273109823</v>
      </c>
      <c r="S196" s="51" t="n">
        <f aca="false">IF(AND(C196=C195,ISNUMBER(L196),ISNUMBER(L195)),(L196/L195-1)*100,"")</f>
        <v>8.69951176209498</v>
      </c>
      <c r="T196" s="51" t="n">
        <f aca="false">IF(AND(C196=C195,ISNUMBER(G196),ISNUMBER(G195)),G196-G195,"")</f>
        <v>88.3000000000029</v>
      </c>
      <c r="U196" s="1" t="str">
        <f aca="false">IF(OR(NOT(ISNUMBER(R196)),NOT(ISNUMBER(S196))),"Not classified",IF(AND(R196&gt;0,S196&gt;0),"Long buildup (interpretation)",IF(AND(R196&lt;0,S196&gt;0),"Short buildup (interpretation)",IF(AND(R196&gt;0,S196&lt;0),"Short covering (interpretation)",IF(AND(R196&lt;0,S196&lt;0),"Long unwinding (interpretation)","Neutral")))))</f>
        <v>Long buildup (interpretation)</v>
      </c>
      <c r="V196" s="52" t="str">
        <f aca="false">TEXT(B196,"yyyy-mm")</f>
        <v>2025-03</v>
      </c>
      <c r="W196" s="52" t="n">
        <f aca="false">1+COUNTIFS($B$2:$B$756,B196,$C$2:$C$756,"&lt;"&amp;C196)</f>
        <v>3</v>
      </c>
      <c r="X196" s="53" t="n">
        <f aca="false">IF(AND(ISNUMBER(P196),Q196&gt;0),P196*365/Q196,"")</f>
        <v>0.0735637523828128</v>
      </c>
      <c r="Y196" s="42" t="n">
        <f aca="false">IF(AND(C197=C196,ISNUMBER(R197)),R197,"")</f>
        <v>0.958881706361847</v>
      </c>
      <c r="Z196" s="52" t="n">
        <f aca="false">IF(AND(W196=1,Q196&gt;Basis_Analysis!$B$3,ISNUMBER(Y196)),1,0)</f>
        <v>0</v>
      </c>
      <c r="AA196" s="43" t="str">
        <f aca="false">IF(W196=1,IF(SUMIFS($L$2:$L$756,$B$2:$B$756,B196,$W$2:$W$756,2)&gt;0,SUMIFS($L$2:$L$756,$B$2:$B$756,B196,$W$2:$W$756,2),""),"")</f>
        <v/>
      </c>
      <c r="AB196" s="54" t="str">
        <f aca="false">IF(AND(W196=1,ISNUMBER(AA196)),L196/(L196+AA196),"")</f>
        <v/>
      </c>
    </row>
    <row r="197" customFormat="false" ht="15" hidden="false" customHeight="true" outlineLevel="0" collapsed="false">
      <c r="A197" s="1" t="s">
        <v>274</v>
      </c>
      <c r="B197" s="46" t="n">
        <v>45736</v>
      </c>
      <c r="C197" s="46" t="n">
        <v>45806</v>
      </c>
      <c r="D197" s="47" t="n">
        <v>23254.85</v>
      </c>
      <c r="E197" s="47" t="n">
        <v>23495</v>
      </c>
      <c r="F197" s="47" t="n">
        <v>23254.85</v>
      </c>
      <c r="G197" s="47" t="n">
        <v>23458.2</v>
      </c>
      <c r="H197" s="47" t="n">
        <v>23455</v>
      </c>
      <c r="I197" s="47" t="n">
        <v>23458.2</v>
      </c>
      <c r="J197" s="48" t="n">
        <v>6103</v>
      </c>
      <c r="K197" s="47" t="n">
        <v>107132.8</v>
      </c>
      <c r="L197" s="48" t="n">
        <v>1168200</v>
      </c>
      <c r="M197" s="48" t="n">
        <v>66150</v>
      </c>
      <c r="N197" s="47" t="n">
        <v>23190.65</v>
      </c>
      <c r="O197" s="47" t="n">
        <f aca="false">IF(AND(ISNUMBER(G197),ISNUMBER(N197)),G197-N197,"")</f>
        <v>267.549999999999</v>
      </c>
      <c r="P197" s="49" t="n">
        <f aca="false">IF(ISNUMBER(O197),O197/N197,"")</f>
        <v>0.0115369771869266</v>
      </c>
      <c r="Q197" s="50" t="n">
        <f aca="false">C197-B197</f>
        <v>70</v>
      </c>
      <c r="R197" s="51" t="n">
        <f aca="false">IF(AND(C197=C196,ISNUMBER(G197),ISNUMBER(G196)),(G197/G196-1)*100,"")</f>
        <v>0.958881706361847</v>
      </c>
      <c r="S197" s="51" t="n">
        <f aca="false">IF(AND(C197=C196,ISNUMBER(L197),ISNUMBER(L196)),(L197/L196-1)*100,"")</f>
        <v>6.0024499795835</v>
      </c>
      <c r="T197" s="51" t="n">
        <f aca="false">IF(AND(C197=C196,ISNUMBER(G197),ISNUMBER(G196)),G197-G196,"")</f>
        <v>222.799999999999</v>
      </c>
      <c r="U197" s="1" t="str">
        <f aca="false">IF(OR(NOT(ISNUMBER(R197)),NOT(ISNUMBER(S197))),"Not classified",IF(AND(R197&gt;0,S197&gt;0),"Long buildup (interpretation)",IF(AND(R197&lt;0,S197&gt;0),"Short buildup (interpretation)",IF(AND(R197&gt;0,S197&lt;0),"Short covering (interpretation)",IF(AND(R197&lt;0,S197&lt;0),"Long unwinding (interpretation)","Neutral")))))</f>
        <v>Long buildup (interpretation)</v>
      </c>
      <c r="V197" s="52" t="str">
        <f aca="false">TEXT(B197,"yyyy-mm")</f>
        <v>2025-03</v>
      </c>
      <c r="W197" s="52" t="n">
        <f aca="false">1+COUNTIFS($B$2:$B$756,B197,$C$2:$C$756,"&lt;"&amp;C197)</f>
        <v>3</v>
      </c>
      <c r="X197" s="53" t="n">
        <f aca="false">IF(AND(ISNUMBER(P197),Q197&gt;0),P197*365/Q197,"")</f>
        <v>0.0601570953318315</v>
      </c>
      <c r="Y197" s="42" t="n">
        <f aca="false">IF(AND(C198=C197,ISNUMBER(R198)),R198,"")</f>
        <v>0.822740022678636</v>
      </c>
      <c r="Z197" s="52" t="n">
        <f aca="false">IF(AND(W197=1,Q197&gt;Basis_Analysis!$B$3,ISNUMBER(Y197)),1,0)</f>
        <v>0</v>
      </c>
      <c r="AA197" s="43" t="str">
        <f aca="false">IF(W197=1,IF(SUMIFS($L$2:$L$756,$B$2:$B$756,B197,$W$2:$W$756,2)&gt;0,SUMIFS($L$2:$L$756,$B$2:$B$756,B197,$W$2:$W$756,2),""),"")</f>
        <v/>
      </c>
      <c r="AB197" s="54" t="str">
        <f aca="false">IF(AND(W197=1,ISNUMBER(AA197)),L197/(L197+AA197),"")</f>
        <v/>
      </c>
    </row>
    <row r="198" customFormat="false" ht="15" hidden="false" customHeight="true" outlineLevel="0" collapsed="false">
      <c r="A198" s="1" t="s">
        <v>274</v>
      </c>
      <c r="B198" s="46" t="n">
        <v>45737</v>
      </c>
      <c r="C198" s="46" t="n">
        <v>45806</v>
      </c>
      <c r="D198" s="47" t="n">
        <v>23455</v>
      </c>
      <c r="E198" s="47" t="n">
        <v>23697</v>
      </c>
      <c r="F198" s="47" t="n">
        <v>23435.65</v>
      </c>
      <c r="G198" s="47" t="n">
        <v>23651.2</v>
      </c>
      <c r="H198" s="47" t="n">
        <v>23660</v>
      </c>
      <c r="I198" s="47" t="n">
        <v>23651.2</v>
      </c>
      <c r="J198" s="48" t="n">
        <v>5690</v>
      </c>
      <c r="K198" s="47" t="n">
        <v>100745.04</v>
      </c>
      <c r="L198" s="48" t="n">
        <v>1246875</v>
      </c>
      <c r="M198" s="48" t="n">
        <v>78675</v>
      </c>
      <c r="N198" s="47" t="n">
        <v>23350.4</v>
      </c>
      <c r="O198" s="47" t="n">
        <f aca="false">IF(AND(ISNUMBER(G198),ISNUMBER(N198)),G198-N198,"")</f>
        <v>300.799999999999</v>
      </c>
      <c r="P198" s="49" t="n">
        <f aca="false">IF(ISNUMBER(O198),O198/N198,"")</f>
        <v>0.0128820063039605</v>
      </c>
      <c r="Q198" s="50" t="n">
        <f aca="false">C198-B198</f>
        <v>69</v>
      </c>
      <c r="R198" s="51" t="n">
        <f aca="false">IF(AND(C198=C197,ISNUMBER(G198),ISNUMBER(G197)),(G198/G197-1)*100,"")</f>
        <v>0.822740022678636</v>
      </c>
      <c r="S198" s="51" t="n">
        <f aca="false">IF(AND(C198=C197,ISNUMBER(L198),ISNUMBER(L197)),(L198/L197-1)*100,"")</f>
        <v>6.7347200821777</v>
      </c>
      <c r="T198" s="51" t="n">
        <f aca="false">IF(AND(C198=C197,ISNUMBER(G198),ISNUMBER(G197)),G198-G197,"")</f>
        <v>193</v>
      </c>
      <c r="U198" s="1" t="str">
        <f aca="false">IF(OR(NOT(ISNUMBER(R198)),NOT(ISNUMBER(S198))),"Not classified",IF(AND(R198&gt;0,S198&gt;0),"Long buildup (interpretation)",IF(AND(R198&lt;0,S198&gt;0),"Short buildup (interpretation)",IF(AND(R198&gt;0,S198&lt;0),"Short covering (interpretation)",IF(AND(R198&lt;0,S198&lt;0),"Long unwinding (interpretation)","Neutral")))))</f>
        <v>Long buildup (interpretation)</v>
      </c>
      <c r="V198" s="52" t="str">
        <f aca="false">TEXT(B198,"yyyy-mm")</f>
        <v>2025-03</v>
      </c>
      <c r="W198" s="52" t="n">
        <f aca="false">1+COUNTIFS($B$2:$B$756,B198,$C$2:$C$756,"&lt;"&amp;C198)</f>
        <v>3</v>
      </c>
      <c r="X198" s="53" t="n">
        <f aca="false">IF(AND(ISNUMBER(P198),Q198&gt;0),P198*365/Q198,"")</f>
        <v>0.0681439463905157</v>
      </c>
      <c r="Y198" s="42" t="n">
        <f aca="false">IF(AND(C199=C198,ISNUMBER(R199)),R199,"")</f>
        <v>1.38893586794751</v>
      </c>
      <c r="Z198" s="52" t="n">
        <f aca="false">IF(AND(W198=1,Q198&gt;Basis_Analysis!$B$3,ISNUMBER(Y198)),1,0)</f>
        <v>0</v>
      </c>
      <c r="AA198" s="43" t="str">
        <f aca="false">IF(W198=1,IF(SUMIFS($L$2:$L$756,$B$2:$B$756,B198,$W$2:$W$756,2)&gt;0,SUMIFS($L$2:$L$756,$B$2:$B$756,B198,$W$2:$W$756,2),""),"")</f>
        <v/>
      </c>
      <c r="AB198" s="54" t="str">
        <f aca="false">IF(AND(W198=1,ISNUMBER(AA198)),L198/(L198+AA198),"")</f>
        <v/>
      </c>
    </row>
    <row r="199" customFormat="false" ht="15" hidden="false" customHeight="true" outlineLevel="0" collapsed="false">
      <c r="A199" s="1" t="s">
        <v>274</v>
      </c>
      <c r="B199" s="46" t="n">
        <v>45740</v>
      </c>
      <c r="C199" s="46" t="n">
        <v>45806</v>
      </c>
      <c r="D199" s="47" t="n">
        <v>23698</v>
      </c>
      <c r="E199" s="47" t="n">
        <v>24004.5</v>
      </c>
      <c r="F199" s="47" t="n">
        <v>23698</v>
      </c>
      <c r="G199" s="47" t="n">
        <v>23979.7</v>
      </c>
      <c r="H199" s="47" t="n">
        <v>24002.5</v>
      </c>
      <c r="I199" s="47" t="n">
        <v>23979.7</v>
      </c>
      <c r="J199" s="48" t="n">
        <v>7264</v>
      </c>
      <c r="K199" s="47" t="n">
        <v>130173.51</v>
      </c>
      <c r="L199" s="48" t="n">
        <v>1313550</v>
      </c>
      <c r="M199" s="48" t="n">
        <v>66675</v>
      </c>
      <c r="N199" s="47" t="n">
        <v>23658.35</v>
      </c>
      <c r="O199" s="47" t="n">
        <f aca="false">IF(AND(ISNUMBER(G199),ISNUMBER(N199)),G199-N199,"")</f>
        <v>321.350000000002</v>
      </c>
      <c r="P199" s="49" t="n">
        <f aca="false">IF(ISNUMBER(O199),O199/N199,"")</f>
        <v>0.0135829421747502</v>
      </c>
      <c r="Q199" s="50" t="n">
        <f aca="false">C199-B199</f>
        <v>66</v>
      </c>
      <c r="R199" s="51" t="n">
        <f aca="false">IF(AND(C199=C198,ISNUMBER(G199),ISNUMBER(G198)),(G199/G198-1)*100,"")</f>
        <v>1.38893586794751</v>
      </c>
      <c r="S199" s="51" t="n">
        <f aca="false">IF(AND(C199=C198,ISNUMBER(L199),ISNUMBER(L198)),(L199/L198-1)*100,"")</f>
        <v>5.34736842105263</v>
      </c>
      <c r="T199" s="51" t="n">
        <f aca="false">IF(AND(C199=C198,ISNUMBER(G199),ISNUMBER(G198)),G199-G198,"")</f>
        <v>328.5</v>
      </c>
      <c r="U199" s="1" t="str">
        <f aca="false">IF(OR(NOT(ISNUMBER(R199)),NOT(ISNUMBER(S199))),"Not classified",IF(AND(R199&gt;0,S199&gt;0),"Long buildup (interpretation)",IF(AND(R199&lt;0,S199&gt;0),"Short buildup (interpretation)",IF(AND(R199&gt;0,S199&lt;0),"Short covering (interpretation)",IF(AND(R199&lt;0,S199&lt;0),"Long unwinding (interpretation)","Neutral")))))</f>
        <v>Long buildup (interpretation)</v>
      </c>
      <c r="V199" s="52" t="str">
        <f aca="false">TEXT(B199,"yyyy-mm")</f>
        <v>2025-03</v>
      </c>
      <c r="W199" s="52" t="n">
        <f aca="false">1+COUNTIFS($B$2:$B$756,B199,$C$2:$C$756,"&lt;"&amp;C199)</f>
        <v>3</v>
      </c>
      <c r="X199" s="53" t="n">
        <f aca="false">IF(AND(ISNUMBER(P199),Q199&gt;0),P199*365/Q199,"")</f>
        <v>0.0751177862694521</v>
      </c>
      <c r="Y199" s="42" t="n">
        <f aca="false">IF(AND(C200=C199,ISNUMBER(R200)),R200,"")</f>
        <v>0.00604678123579117</v>
      </c>
      <c r="Z199" s="52" t="n">
        <f aca="false">IF(AND(W199=1,Q199&gt;Basis_Analysis!$B$3,ISNUMBER(Y199)),1,0)</f>
        <v>0</v>
      </c>
      <c r="AA199" s="43" t="str">
        <f aca="false">IF(W199=1,IF(SUMIFS($L$2:$L$756,$B$2:$B$756,B199,$W$2:$W$756,2)&gt;0,SUMIFS($L$2:$L$756,$B$2:$B$756,B199,$W$2:$W$756,2),""),"")</f>
        <v/>
      </c>
      <c r="AB199" s="54" t="str">
        <f aca="false">IF(AND(W199=1,ISNUMBER(AA199)),L199/(L199+AA199),"")</f>
        <v/>
      </c>
    </row>
    <row r="200" customFormat="false" ht="15" hidden="false" customHeight="true" outlineLevel="0" collapsed="false">
      <c r="A200" s="1" t="s">
        <v>274</v>
      </c>
      <c r="B200" s="46" t="n">
        <v>45741</v>
      </c>
      <c r="C200" s="46" t="n">
        <v>45806</v>
      </c>
      <c r="D200" s="47" t="n">
        <v>24004.5</v>
      </c>
      <c r="E200" s="47" t="n">
        <v>24175</v>
      </c>
      <c r="F200" s="47" t="n">
        <v>23940.05</v>
      </c>
      <c r="G200" s="47" t="n">
        <v>23981.15</v>
      </c>
      <c r="H200" s="47" t="n">
        <v>23941</v>
      </c>
      <c r="I200" s="47" t="n">
        <v>23981.15</v>
      </c>
      <c r="J200" s="48" t="n">
        <v>6851</v>
      </c>
      <c r="K200" s="47" t="n">
        <v>123518.61</v>
      </c>
      <c r="L200" s="48" t="n">
        <v>1377825</v>
      </c>
      <c r="M200" s="48" t="n">
        <v>64275</v>
      </c>
      <c r="N200" s="47" t="n">
        <v>23668.65</v>
      </c>
      <c r="O200" s="47" t="n">
        <f aca="false">IF(AND(ISNUMBER(G200),ISNUMBER(N200)),G200-N200,"")</f>
        <v>312.5</v>
      </c>
      <c r="P200" s="49" t="n">
        <f aca="false">IF(ISNUMBER(O200),O200/N200,"")</f>
        <v>0.0132031188935575</v>
      </c>
      <c r="Q200" s="50" t="n">
        <f aca="false">C200-B200</f>
        <v>65</v>
      </c>
      <c r="R200" s="51" t="n">
        <f aca="false">IF(AND(C200=C199,ISNUMBER(G200),ISNUMBER(G199)),(G200/G199-1)*100,"")</f>
        <v>0.00604678123579117</v>
      </c>
      <c r="S200" s="51" t="n">
        <f aca="false">IF(AND(C200=C199,ISNUMBER(L200),ISNUMBER(L199)),(L200/L199-1)*100,"")</f>
        <v>4.89322827452323</v>
      </c>
      <c r="T200" s="51" t="n">
        <f aca="false">IF(AND(C200=C199,ISNUMBER(G200),ISNUMBER(G199)),G200-G199,"")</f>
        <v>1.45000000000073</v>
      </c>
      <c r="U200" s="1" t="str">
        <f aca="false">IF(OR(NOT(ISNUMBER(R200)),NOT(ISNUMBER(S200))),"Not classified",IF(AND(R200&gt;0,S200&gt;0),"Long buildup (interpretation)",IF(AND(R200&lt;0,S200&gt;0),"Short buildup (interpretation)",IF(AND(R200&gt;0,S200&lt;0),"Short covering (interpretation)",IF(AND(R200&lt;0,S200&lt;0),"Long unwinding (interpretation)","Neutral")))))</f>
        <v>Long buildup (interpretation)</v>
      </c>
      <c r="V200" s="52" t="str">
        <f aca="false">TEXT(B200,"yyyy-mm")</f>
        <v>2025-03</v>
      </c>
      <c r="W200" s="52" t="n">
        <f aca="false">1+COUNTIFS($B$2:$B$756,B200,$C$2:$C$756,"&lt;"&amp;C200)</f>
        <v>3</v>
      </c>
      <c r="X200" s="53" t="n">
        <f aca="false">IF(AND(ISNUMBER(P200),Q200&gt;0),P200*365/Q200,"")</f>
        <v>0.0741405907099768</v>
      </c>
      <c r="Y200" s="42" t="n">
        <f aca="false">IF(AND(C201=C200,ISNUMBER(R201)),R201,"")</f>
        <v>-0.704511668539665</v>
      </c>
      <c r="Z200" s="52" t="n">
        <f aca="false">IF(AND(W200=1,Q200&gt;Basis_Analysis!$B$3,ISNUMBER(Y200)),1,0)</f>
        <v>0</v>
      </c>
      <c r="AA200" s="43" t="str">
        <f aca="false">IF(W200=1,IF(SUMIFS($L$2:$L$756,$B$2:$B$756,B200,$W$2:$W$756,2)&gt;0,SUMIFS($L$2:$L$756,$B$2:$B$756,B200,$W$2:$W$756,2),""),"")</f>
        <v/>
      </c>
      <c r="AB200" s="54" t="str">
        <f aca="false">IF(AND(W200=1,ISNUMBER(AA200)),L200/(L200+AA200),"")</f>
        <v/>
      </c>
    </row>
    <row r="201" customFormat="false" ht="15" hidden="false" customHeight="true" outlineLevel="0" collapsed="false">
      <c r="A201" s="1" t="s">
        <v>274</v>
      </c>
      <c r="B201" s="46" t="n">
        <v>45742</v>
      </c>
      <c r="C201" s="46" t="n">
        <v>45806</v>
      </c>
      <c r="D201" s="47" t="n">
        <v>24000</v>
      </c>
      <c r="E201" s="47" t="n">
        <v>24028.95</v>
      </c>
      <c r="F201" s="47" t="n">
        <v>23790</v>
      </c>
      <c r="G201" s="47" t="n">
        <v>23812.2</v>
      </c>
      <c r="H201" s="47" t="n">
        <v>23800</v>
      </c>
      <c r="I201" s="47" t="n">
        <v>23812.2</v>
      </c>
      <c r="J201" s="48" t="n">
        <v>4832</v>
      </c>
      <c r="K201" s="47" t="n">
        <v>86652.37</v>
      </c>
      <c r="L201" s="48" t="n">
        <v>1472175</v>
      </c>
      <c r="M201" s="48" t="n">
        <v>94350</v>
      </c>
      <c r="N201" s="47" t="n">
        <v>23486.85</v>
      </c>
      <c r="O201" s="47" t="n">
        <f aca="false">IF(AND(ISNUMBER(G201),ISNUMBER(N201)),G201-N201,"")</f>
        <v>325.350000000002</v>
      </c>
      <c r="P201" s="49" t="n">
        <f aca="false">IF(ISNUMBER(O201),O201/N201,"")</f>
        <v>0.0138524323185102</v>
      </c>
      <c r="Q201" s="50" t="n">
        <f aca="false">C201-B201</f>
        <v>64</v>
      </c>
      <c r="R201" s="51" t="n">
        <f aca="false">IF(AND(C201=C200,ISNUMBER(G201),ISNUMBER(G200)),(G201/G200-1)*100,"")</f>
        <v>-0.704511668539665</v>
      </c>
      <c r="S201" s="51" t="n">
        <f aca="false">IF(AND(C201=C200,ISNUMBER(L201),ISNUMBER(L200)),(L201/L200-1)*100,"")</f>
        <v>6.84774916988733</v>
      </c>
      <c r="T201" s="51" t="n">
        <f aca="false">IF(AND(C201=C200,ISNUMBER(G201),ISNUMBER(G200)),G201-G200,"")</f>
        <v>-168.950000000001</v>
      </c>
      <c r="U201" s="1" t="str">
        <f aca="false">IF(OR(NOT(ISNUMBER(R201)),NOT(ISNUMBER(S201))),"Not classified",IF(AND(R201&gt;0,S201&gt;0),"Long buildup (interpretation)",IF(AND(R201&lt;0,S201&gt;0),"Short buildup (interpretation)",IF(AND(R201&gt;0,S201&lt;0),"Short covering (interpretation)",IF(AND(R201&lt;0,S201&lt;0),"Long unwinding (interpretation)","Neutral")))))</f>
        <v>Short buildup (interpretation)</v>
      </c>
      <c r="V201" s="52" t="str">
        <f aca="false">TEXT(B201,"yyyy-mm")</f>
        <v>2025-03</v>
      </c>
      <c r="W201" s="52" t="n">
        <f aca="false">1+COUNTIFS($B$2:$B$756,B201,$C$2:$C$756,"&lt;"&amp;C201)</f>
        <v>3</v>
      </c>
      <c r="X201" s="53" t="n">
        <f aca="false">IF(AND(ISNUMBER(P201),Q201&gt;0),P201*365/Q201,"")</f>
        <v>0.0790021530665037</v>
      </c>
      <c r="Y201" s="42" t="n">
        <f aca="false">IF(AND(C202=C201,ISNUMBER(R202)),R202,"")</f>
        <v>0.360949429284152</v>
      </c>
      <c r="Z201" s="52" t="n">
        <f aca="false">IF(AND(W201=1,Q201&gt;Basis_Analysis!$B$3,ISNUMBER(Y201)),1,0)</f>
        <v>0</v>
      </c>
      <c r="AA201" s="43" t="str">
        <f aca="false">IF(W201=1,IF(SUMIFS($L$2:$L$756,$B$2:$B$756,B201,$W$2:$W$756,2)&gt;0,SUMIFS($L$2:$L$756,$B$2:$B$756,B201,$W$2:$W$756,2),""),"")</f>
        <v/>
      </c>
      <c r="AB201" s="54" t="str">
        <f aca="false">IF(AND(W201=1,ISNUMBER(AA201)),L201/(L201+AA201),"")</f>
        <v/>
      </c>
    </row>
    <row r="202" customFormat="false" ht="15" hidden="false" customHeight="true" outlineLevel="0" collapsed="false">
      <c r="A202" s="1" t="s">
        <v>274</v>
      </c>
      <c r="B202" s="46" t="n">
        <v>45743</v>
      </c>
      <c r="C202" s="46" t="n">
        <v>45806</v>
      </c>
      <c r="D202" s="47" t="n">
        <v>23778.55</v>
      </c>
      <c r="E202" s="47" t="n">
        <v>23936</v>
      </c>
      <c r="F202" s="47" t="n">
        <v>23740</v>
      </c>
      <c r="G202" s="47" t="n">
        <v>23898.15</v>
      </c>
      <c r="H202" s="47" t="n">
        <v>23933.3</v>
      </c>
      <c r="I202" s="47" t="n">
        <v>23898.15</v>
      </c>
      <c r="J202" s="48" t="n">
        <v>6270</v>
      </c>
      <c r="K202" s="47" t="n">
        <v>112255.71</v>
      </c>
      <c r="L202" s="48" t="n">
        <v>1650300</v>
      </c>
      <c r="M202" s="48" t="n">
        <v>178125</v>
      </c>
      <c r="N202" s="47" t="n">
        <v>23591.95</v>
      </c>
      <c r="O202" s="47" t="n">
        <f aca="false">IF(AND(ISNUMBER(G202),ISNUMBER(N202)),G202-N202,"")</f>
        <v>306.200000000001</v>
      </c>
      <c r="P202" s="49" t="n">
        <f aca="false">IF(ISNUMBER(O202),O202/N202,"")</f>
        <v>0.0129790034312552</v>
      </c>
      <c r="Q202" s="50" t="n">
        <f aca="false">C202-B202</f>
        <v>63</v>
      </c>
      <c r="R202" s="51" t="n">
        <f aca="false">IF(AND(C202=C201,ISNUMBER(G202),ISNUMBER(G201)),(G202/G201-1)*100,"")</f>
        <v>0.360949429284152</v>
      </c>
      <c r="S202" s="51" t="n">
        <f aca="false">IF(AND(C202=C201,ISNUMBER(L202),ISNUMBER(L201)),(L202/L201-1)*100,"")</f>
        <v>12.0994446991696</v>
      </c>
      <c r="T202" s="51" t="n">
        <f aca="false">IF(AND(C202=C201,ISNUMBER(G202),ISNUMBER(G201)),G202-G201,"")</f>
        <v>85.9500000000007</v>
      </c>
      <c r="U202" s="1" t="str">
        <f aca="false">IF(OR(NOT(ISNUMBER(R202)),NOT(ISNUMBER(S202))),"Not classified",IF(AND(R202&gt;0,S202&gt;0),"Long buildup (interpretation)",IF(AND(R202&lt;0,S202&gt;0),"Short buildup (interpretation)",IF(AND(R202&gt;0,S202&lt;0),"Short covering (interpretation)",IF(AND(R202&lt;0,S202&lt;0),"Long unwinding (interpretation)","Neutral")))))</f>
        <v>Long buildup (interpretation)</v>
      </c>
      <c r="V202" s="52" t="str">
        <f aca="false">TEXT(B202,"yyyy-mm")</f>
        <v>2025-03</v>
      </c>
      <c r="W202" s="52" t="n">
        <f aca="false">1+COUNTIFS($B$2:$B$756,B202,$C$2:$C$756,"&lt;"&amp;C202)</f>
        <v>3</v>
      </c>
      <c r="X202" s="53" t="n">
        <f aca="false">IF(AND(ISNUMBER(P202),Q202&gt;0),P202*365/Q202,"")</f>
        <v>0.075195813530288</v>
      </c>
      <c r="Y202" s="42" t="n">
        <f aca="false">IF(AND(C203=C202,ISNUMBER(R203)),R203,"")</f>
        <v>-0.555273106914134</v>
      </c>
      <c r="Z202" s="52" t="n">
        <f aca="false">IF(AND(W202=1,Q202&gt;Basis_Analysis!$B$3,ISNUMBER(Y202)),1,0)</f>
        <v>0</v>
      </c>
      <c r="AA202" s="43" t="str">
        <f aca="false">IF(W202=1,IF(SUMIFS($L$2:$L$756,$B$2:$B$756,B202,$W$2:$W$756,2)&gt;0,SUMIFS($L$2:$L$756,$B$2:$B$756,B202,$W$2:$W$756,2),""),"")</f>
        <v/>
      </c>
      <c r="AB202" s="54" t="str">
        <f aca="false">IF(AND(W202=1,ISNUMBER(AA202)),L202/(L202+AA202),"")</f>
        <v/>
      </c>
    </row>
    <row r="203" customFormat="false" ht="15" hidden="false" customHeight="true" outlineLevel="0" collapsed="false">
      <c r="A203" s="1" t="s">
        <v>274</v>
      </c>
      <c r="B203" s="46" t="n">
        <v>45744</v>
      </c>
      <c r="C203" s="46" t="n">
        <v>45806</v>
      </c>
      <c r="D203" s="47" t="n">
        <v>23900.35</v>
      </c>
      <c r="E203" s="47" t="n">
        <v>23920.8</v>
      </c>
      <c r="F203" s="47" t="n">
        <v>23688.05</v>
      </c>
      <c r="G203" s="47" t="n">
        <v>23765.45</v>
      </c>
      <c r="H203" s="47" t="n">
        <v>23765</v>
      </c>
      <c r="I203" s="47" t="n">
        <v>23765.45</v>
      </c>
      <c r="J203" s="48" t="n">
        <v>10235</v>
      </c>
      <c r="K203" s="47" t="n">
        <v>182687.18</v>
      </c>
      <c r="L203" s="48" t="n">
        <v>1693200</v>
      </c>
      <c r="M203" s="48" t="n">
        <v>42900</v>
      </c>
      <c r="N203" s="47"/>
      <c r="O203" s="47" t="str">
        <f aca="false">IF(AND(ISNUMBER(G203),ISNUMBER(N203)),G203-N203,"")</f>
        <v/>
      </c>
      <c r="P203" s="49" t="str">
        <f aca="false">IF(ISNUMBER(O203),O203/N203,"")</f>
        <v/>
      </c>
      <c r="Q203" s="50" t="n">
        <f aca="false">C203-B203</f>
        <v>62</v>
      </c>
      <c r="R203" s="51" t="n">
        <f aca="false">IF(AND(C203=C202,ISNUMBER(G203),ISNUMBER(G202)),(G203/G202-1)*100,"")</f>
        <v>-0.555273106914134</v>
      </c>
      <c r="S203" s="51" t="n">
        <f aca="false">IF(AND(C203=C202,ISNUMBER(L203),ISNUMBER(L202)),(L203/L202-1)*100,"")</f>
        <v>2.59952735866207</v>
      </c>
      <c r="T203" s="51" t="n">
        <f aca="false">IF(AND(C203=C202,ISNUMBER(G203),ISNUMBER(G202)),G203-G202,"")</f>
        <v>-132.700000000001</v>
      </c>
      <c r="U203" s="1" t="str">
        <f aca="false">IF(OR(NOT(ISNUMBER(R203)),NOT(ISNUMBER(S203))),"Not classified",IF(AND(R203&gt;0,S203&gt;0),"Long buildup (interpretation)",IF(AND(R203&lt;0,S203&gt;0),"Short buildup (interpretation)",IF(AND(R203&gt;0,S203&lt;0),"Short covering (interpretation)",IF(AND(R203&lt;0,S203&lt;0),"Long unwinding (interpretation)","Neutral")))))</f>
        <v>Short buildup (interpretation)</v>
      </c>
      <c r="V203" s="52" t="str">
        <f aca="false">TEXT(B203,"yyyy-mm")</f>
        <v>2025-03</v>
      </c>
      <c r="W203" s="52" t="n">
        <f aca="false">1+COUNTIFS($B$2:$B$756,B203,$C$2:$C$756,"&lt;"&amp;C203)</f>
        <v>2</v>
      </c>
      <c r="X203" s="53" t="str">
        <f aca="false">IF(AND(ISNUMBER(P203),Q203&gt;0),P203*365/Q203,"")</f>
        <v/>
      </c>
      <c r="Y203" s="42" t="n">
        <f aca="false">IF(AND(C204=C203,ISNUMBER(R204)),R204,"")</f>
        <v>-1.3799444151068</v>
      </c>
      <c r="Z203" s="52" t="n">
        <f aca="false">IF(AND(W203=1,Q203&gt;Basis_Analysis!$B$3,ISNUMBER(Y203)),1,0)</f>
        <v>0</v>
      </c>
      <c r="AA203" s="43" t="str">
        <f aca="false">IF(W203=1,IF(SUMIFS($L$2:$L$756,$B$2:$B$756,B203,$W$2:$W$756,2)&gt;0,SUMIFS($L$2:$L$756,$B$2:$B$756,B203,$W$2:$W$756,2),""),"")</f>
        <v/>
      </c>
      <c r="AB203" s="54" t="str">
        <f aca="false">IF(AND(W203=1,ISNUMBER(AA203)),L203/(L203+AA203),"")</f>
        <v/>
      </c>
    </row>
    <row r="204" customFormat="false" ht="15" hidden="false" customHeight="true" outlineLevel="0" collapsed="false">
      <c r="A204" s="1" t="s">
        <v>274</v>
      </c>
      <c r="B204" s="46" t="n">
        <v>45748</v>
      </c>
      <c r="C204" s="46" t="n">
        <v>45806</v>
      </c>
      <c r="D204" s="47" t="n">
        <v>23660</v>
      </c>
      <c r="E204" s="47" t="n">
        <v>23794.75</v>
      </c>
      <c r="F204" s="47" t="n">
        <v>23407.95</v>
      </c>
      <c r="G204" s="47" t="n">
        <v>23437.5</v>
      </c>
      <c r="H204" s="47" t="n">
        <v>23421</v>
      </c>
      <c r="I204" s="47" t="n">
        <v>23437.5</v>
      </c>
      <c r="J204" s="48" t="n">
        <v>14346</v>
      </c>
      <c r="K204" s="47" t="n">
        <v>253009.97</v>
      </c>
      <c r="L204" s="48" t="n">
        <v>1450875</v>
      </c>
      <c r="M204" s="48" t="n">
        <v>-242325</v>
      </c>
      <c r="N204" s="47" t="n">
        <v>23165.7</v>
      </c>
      <c r="O204" s="47" t="n">
        <f aca="false">IF(AND(ISNUMBER(G204),ISNUMBER(N204)),G204-N204,"")</f>
        <v>271.799999999999</v>
      </c>
      <c r="P204" s="49" t="n">
        <f aca="false">IF(ISNUMBER(O204),O204/N204,"")</f>
        <v>0.0117328636734482</v>
      </c>
      <c r="Q204" s="50" t="n">
        <f aca="false">C204-B204</f>
        <v>58</v>
      </c>
      <c r="R204" s="51" t="n">
        <f aca="false">IF(AND(C204=C203,ISNUMBER(G204),ISNUMBER(G203)),(G204/G203-1)*100,"")</f>
        <v>-1.3799444151068</v>
      </c>
      <c r="S204" s="51" t="n">
        <f aca="false">IF(AND(C204=C203,ISNUMBER(L204),ISNUMBER(L203)),(L204/L203-1)*100,"")</f>
        <v>-14.3116583982991</v>
      </c>
      <c r="T204" s="51" t="n">
        <f aca="false">IF(AND(C204=C203,ISNUMBER(G204),ISNUMBER(G203)),G204-G203,"")</f>
        <v>-327.950000000001</v>
      </c>
      <c r="U204" s="1" t="str">
        <f aca="false">IF(OR(NOT(ISNUMBER(R204)),NOT(ISNUMBER(S204))),"Not classified",IF(AND(R204&gt;0,S204&gt;0),"Long buildup (interpretation)",IF(AND(R204&lt;0,S204&gt;0),"Short buildup (interpretation)",IF(AND(R204&gt;0,S204&lt;0),"Short covering (interpretation)",IF(AND(R204&lt;0,S204&lt;0),"Long unwinding (interpretation)","Neutral")))))</f>
        <v>Long unwinding (interpretation)</v>
      </c>
      <c r="V204" s="52" t="str">
        <f aca="false">TEXT(B204,"yyyy-mm")</f>
        <v>2025-04</v>
      </c>
      <c r="W204" s="52" t="n">
        <f aca="false">1+COUNTIFS($B$2:$B$756,B204,$C$2:$C$756,"&lt;"&amp;C204)</f>
        <v>2</v>
      </c>
      <c r="X204" s="53" t="n">
        <f aca="false">IF(AND(ISNUMBER(P204),Q204&gt;0),P204*365/Q204,"")</f>
        <v>0.0738361248415276</v>
      </c>
      <c r="Y204" s="42" t="n">
        <f aca="false">IF(AND(C205=C204,ISNUMBER(R205)),R205,"")</f>
        <v>0.483199999999995</v>
      </c>
      <c r="Z204" s="52" t="n">
        <f aca="false">IF(AND(W204=1,Q204&gt;Basis_Analysis!$B$3,ISNUMBER(Y204)),1,0)</f>
        <v>0</v>
      </c>
      <c r="AA204" s="43" t="str">
        <f aca="false">IF(W204=1,IF(SUMIFS($L$2:$L$756,$B$2:$B$756,B204,$W$2:$W$756,2)&gt;0,SUMIFS($L$2:$L$756,$B$2:$B$756,B204,$W$2:$W$756,2),""),"")</f>
        <v/>
      </c>
      <c r="AB204" s="54" t="str">
        <f aca="false">IF(AND(W204=1,ISNUMBER(AA204)),L204/(L204+AA204),"")</f>
        <v/>
      </c>
    </row>
    <row r="205" customFormat="false" ht="15" hidden="false" customHeight="true" outlineLevel="0" collapsed="false">
      <c r="A205" s="1" t="s">
        <v>274</v>
      </c>
      <c r="B205" s="46" t="n">
        <v>45749</v>
      </c>
      <c r="C205" s="46" t="n">
        <v>45806</v>
      </c>
      <c r="D205" s="47" t="n">
        <v>23447.15</v>
      </c>
      <c r="E205" s="47" t="n">
        <v>23564.95</v>
      </c>
      <c r="F205" s="47" t="n">
        <v>23415</v>
      </c>
      <c r="G205" s="47" t="n">
        <v>23550.75</v>
      </c>
      <c r="H205" s="47" t="n">
        <v>23557.2</v>
      </c>
      <c r="I205" s="47" t="n">
        <v>23550.75</v>
      </c>
      <c r="J205" s="48" t="n">
        <v>4802</v>
      </c>
      <c r="K205" s="47" t="n">
        <v>84655.19</v>
      </c>
      <c r="L205" s="48" t="n">
        <v>1473975</v>
      </c>
      <c r="M205" s="48" t="n">
        <v>23100</v>
      </c>
      <c r="N205" s="47" t="n">
        <v>23332.35</v>
      </c>
      <c r="O205" s="47" t="n">
        <f aca="false">IF(AND(ISNUMBER(G205),ISNUMBER(N205)),G205-N205,"")</f>
        <v>218.400000000001</v>
      </c>
      <c r="P205" s="49" t="n">
        <f aca="false">IF(ISNUMBER(O205),O205/N205,"")</f>
        <v>0.00936039447376717</v>
      </c>
      <c r="Q205" s="50" t="n">
        <f aca="false">C205-B205</f>
        <v>57</v>
      </c>
      <c r="R205" s="51" t="n">
        <f aca="false">IF(AND(C205=C204,ISNUMBER(G205),ISNUMBER(G204)),(G205/G204-1)*100,"")</f>
        <v>0.483199999999995</v>
      </c>
      <c r="S205" s="51" t="n">
        <f aca="false">IF(AND(C205=C204,ISNUMBER(L205),ISNUMBER(L204)),(L205/L204-1)*100,"")</f>
        <v>1.59214267252521</v>
      </c>
      <c r="T205" s="51" t="n">
        <f aca="false">IF(AND(C205=C204,ISNUMBER(G205),ISNUMBER(G204)),G205-G204,"")</f>
        <v>113.25</v>
      </c>
      <c r="U205" s="1" t="str">
        <f aca="false">IF(OR(NOT(ISNUMBER(R205)),NOT(ISNUMBER(S205))),"Not classified",IF(AND(R205&gt;0,S205&gt;0),"Long buildup (interpretation)",IF(AND(R205&lt;0,S205&gt;0),"Short buildup (interpretation)",IF(AND(R205&gt;0,S205&lt;0),"Short covering (interpretation)",IF(AND(R205&lt;0,S205&lt;0),"Long unwinding (interpretation)","Neutral")))))</f>
        <v>Long buildup (interpretation)</v>
      </c>
      <c r="V205" s="52" t="str">
        <f aca="false">TEXT(B205,"yyyy-mm")</f>
        <v>2025-04</v>
      </c>
      <c r="W205" s="52" t="n">
        <f aca="false">1+COUNTIFS($B$2:$B$756,B205,$C$2:$C$756,"&lt;"&amp;C205)</f>
        <v>2</v>
      </c>
      <c r="X205" s="53" t="n">
        <f aca="false">IF(AND(ISNUMBER(P205),Q205&gt;0),P205*365/Q205,"")</f>
        <v>0.0599393681214915</v>
      </c>
      <c r="Y205" s="42" t="n">
        <f aca="false">IF(AND(C206=C205,ISNUMBER(R206)),R206,"")</f>
        <v>-0.426950309438123</v>
      </c>
      <c r="Z205" s="52" t="n">
        <f aca="false">IF(AND(W205=1,Q205&gt;Basis_Analysis!$B$3,ISNUMBER(Y205)),1,0)</f>
        <v>0</v>
      </c>
      <c r="AA205" s="43" t="str">
        <f aca="false">IF(W205=1,IF(SUMIFS($L$2:$L$756,$B$2:$B$756,B205,$W$2:$W$756,2)&gt;0,SUMIFS($L$2:$L$756,$B$2:$B$756,B205,$W$2:$W$756,2),""),"")</f>
        <v/>
      </c>
      <c r="AB205" s="54" t="str">
        <f aca="false">IF(AND(W205=1,ISNUMBER(AA205)),L205/(L205+AA205),"")</f>
        <v/>
      </c>
    </row>
    <row r="206" customFormat="false" ht="15" hidden="false" customHeight="true" outlineLevel="0" collapsed="false">
      <c r="A206" s="1" t="s">
        <v>274</v>
      </c>
      <c r="B206" s="46" t="n">
        <v>45750</v>
      </c>
      <c r="C206" s="46" t="n">
        <v>45806</v>
      </c>
      <c r="D206" s="47" t="n">
        <v>23400</v>
      </c>
      <c r="E206" s="47" t="n">
        <v>23524.95</v>
      </c>
      <c r="F206" s="47" t="n">
        <v>23362.15</v>
      </c>
      <c r="G206" s="47" t="n">
        <v>23450.2</v>
      </c>
      <c r="H206" s="47" t="n">
        <v>23453.95</v>
      </c>
      <c r="I206" s="47" t="n">
        <v>23450.2</v>
      </c>
      <c r="J206" s="48" t="n">
        <v>3463</v>
      </c>
      <c r="K206" s="47" t="n">
        <v>60950.62</v>
      </c>
      <c r="L206" s="48" t="n">
        <v>1470375</v>
      </c>
      <c r="M206" s="48" t="n">
        <v>-3600</v>
      </c>
      <c r="N206" s="47" t="n">
        <v>23250.1</v>
      </c>
      <c r="O206" s="47" t="n">
        <f aca="false">IF(AND(ISNUMBER(G206),ISNUMBER(N206)),G206-N206,"")</f>
        <v>200.100000000002</v>
      </c>
      <c r="P206" s="49" t="n">
        <f aca="false">IF(ISNUMBER(O206),O206/N206,"")</f>
        <v>0.00860641459606635</v>
      </c>
      <c r="Q206" s="50" t="n">
        <f aca="false">C206-B206</f>
        <v>56</v>
      </c>
      <c r="R206" s="51" t="n">
        <f aca="false">IF(AND(C206=C205,ISNUMBER(G206),ISNUMBER(G205)),(G206/G205-1)*100,"")</f>
        <v>-0.426950309438123</v>
      </c>
      <c r="S206" s="51" t="n">
        <f aca="false">IF(AND(C206=C205,ISNUMBER(L206),ISNUMBER(L205)),(L206/L205-1)*100,"")</f>
        <v>-0.244237520989166</v>
      </c>
      <c r="T206" s="51" t="n">
        <f aca="false">IF(AND(C206=C205,ISNUMBER(G206),ISNUMBER(G205)),G206-G205,"")</f>
        <v>-100.549999999999</v>
      </c>
      <c r="U206" s="1" t="str">
        <f aca="false">IF(OR(NOT(ISNUMBER(R206)),NOT(ISNUMBER(S206))),"Not classified",IF(AND(R206&gt;0,S206&gt;0),"Long buildup (interpretation)",IF(AND(R206&lt;0,S206&gt;0),"Short buildup (interpretation)",IF(AND(R206&gt;0,S206&lt;0),"Short covering (interpretation)",IF(AND(R206&lt;0,S206&lt;0),"Long unwinding (interpretation)","Neutral")))))</f>
        <v>Long unwinding (interpretation)</v>
      </c>
      <c r="V206" s="52" t="str">
        <f aca="false">TEXT(B206,"yyyy-mm")</f>
        <v>2025-04</v>
      </c>
      <c r="W206" s="52" t="n">
        <f aca="false">1+COUNTIFS($B$2:$B$756,B206,$C$2:$C$756,"&lt;"&amp;C206)</f>
        <v>2</v>
      </c>
      <c r="X206" s="53" t="n">
        <f aca="false">IF(AND(ISNUMBER(P206),Q206&gt;0),P206*365/Q206,"")</f>
        <v>0.056095380849361</v>
      </c>
      <c r="Y206" s="42" t="n">
        <f aca="false">IF(AND(C207=C206,ISNUMBER(R207)),R207,"")</f>
        <v>-1.57951744548022</v>
      </c>
      <c r="Z206" s="52" t="n">
        <f aca="false">IF(AND(W206=1,Q206&gt;Basis_Analysis!$B$3,ISNUMBER(Y206)),1,0)</f>
        <v>0</v>
      </c>
      <c r="AA206" s="43" t="str">
        <f aca="false">IF(W206=1,IF(SUMIFS($L$2:$L$756,$B$2:$B$756,B206,$W$2:$W$756,2)&gt;0,SUMIFS($L$2:$L$756,$B$2:$B$756,B206,$W$2:$W$756,2),""),"")</f>
        <v/>
      </c>
      <c r="AB206" s="54" t="str">
        <f aca="false">IF(AND(W206=1,ISNUMBER(AA206)),L206/(L206+AA206),"")</f>
        <v/>
      </c>
    </row>
    <row r="207" customFormat="false" ht="15" hidden="false" customHeight="true" outlineLevel="0" collapsed="false">
      <c r="A207" s="1" t="s">
        <v>274</v>
      </c>
      <c r="B207" s="46" t="n">
        <v>45751</v>
      </c>
      <c r="C207" s="46" t="n">
        <v>45806</v>
      </c>
      <c r="D207" s="47" t="n">
        <v>23407</v>
      </c>
      <c r="E207" s="47" t="n">
        <v>23407.05</v>
      </c>
      <c r="F207" s="47" t="n">
        <v>23048.5</v>
      </c>
      <c r="G207" s="47" t="n">
        <v>23079.8</v>
      </c>
      <c r="H207" s="47" t="n">
        <v>23095.2</v>
      </c>
      <c r="I207" s="47" t="n">
        <v>23079.8</v>
      </c>
      <c r="J207" s="48" t="n">
        <v>8174</v>
      </c>
      <c r="K207" s="47" t="n">
        <v>142043.47</v>
      </c>
      <c r="L207" s="48" t="n">
        <v>1478550</v>
      </c>
      <c r="M207" s="48" t="n">
        <v>8175</v>
      </c>
      <c r="N207" s="47" t="n">
        <v>22904.45</v>
      </c>
      <c r="O207" s="47" t="n">
        <f aca="false">IF(AND(ISNUMBER(G207),ISNUMBER(N207)),G207-N207,"")</f>
        <v>175.349999999999</v>
      </c>
      <c r="P207" s="49" t="n">
        <f aca="false">IF(ISNUMBER(O207),O207/N207,"")</f>
        <v>0.00765571755706854</v>
      </c>
      <c r="Q207" s="50" t="n">
        <f aca="false">C207-B207</f>
        <v>55</v>
      </c>
      <c r="R207" s="51" t="n">
        <f aca="false">IF(AND(C207=C206,ISNUMBER(G207),ISNUMBER(G206)),(G207/G206-1)*100,"")</f>
        <v>-1.57951744548022</v>
      </c>
      <c r="S207" s="51" t="n">
        <f aca="false">IF(AND(C207=C206,ISNUMBER(L207),ISNUMBER(L206)),(L207/L206-1)*100,"")</f>
        <v>0.555980617189489</v>
      </c>
      <c r="T207" s="51" t="n">
        <f aca="false">IF(AND(C207=C206,ISNUMBER(G207),ISNUMBER(G206)),G207-G206,"")</f>
        <v>-370.400000000001</v>
      </c>
      <c r="U207" s="1" t="str">
        <f aca="false">IF(OR(NOT(ISNUMBER(R207)),NOT(ISNUMBER(S207))),"Not classified",IF(AND(R207&gt;0,S207&gt;0),"Long buildup (interpretation)",IF(AND(R207&lt;0,S207&gt;0),"Short buildup (interpretation)",IF(AND(R207&gt;0,S207&lt;0),"Short covering (interpretation)",IF(AND(R207&lt;0,S207&lt;0),"Long unwinding (interpretation)","Neutral")))))</f>
        <v>Short buildup (interpretation)</v>
      </c>
      <c r="V207" s="52" t="str">
        <f aca="false">TEXT(B207,"yyyy-mm")</f>
        <v>2025-04</v>
      </c>
      <c r="W207" s="52" t="n">
        <f aca="false">1+COUNTIFS($B$2:$B$756,B207,$C$2:$C$756,"&lt;"&amp;C207)</f>
        <v>2</v>
      </c>
      <c r="X207" s="53" t="n">
        <f aca="false">IF(AND(ISNUMBER(P207),Q207&gt;0),P207*365/Q207,"")</f>
        <v>0.0508061256060003</v>
      </c>
      <c r="Y207" s="42" t="n">
        <f aca="false">IF(AND(C208=C207,ISNUMBER(R208)),R208,"")</f>
        <v>-3.0821324274907</v>
      </c>
      <c r="Z207" s="52" t="n">
        <f aca="false">IF(AND(W207=1,Q207&gt;Basis_Analysis!$B$3,ISNUMBER(Y207)),1,0)</f>
        <v>0</v>
      </c>
      <c r="AA207" s="43" t="str">
        <f aca="false">IF(W207=1,IF(SUMIFS($L$2:$L$756,$B$2:$B$756,B207,$W$2:$W$756,2)&gt;0,SUMIFS($L$2:$L$756,$B$2:$B$756,B207,$W$2:$W$756,2),""),"")</f>
        <v/>
      </c>
      <c r="AB207" s="54" t="str">
        <f aca="false">IF(AND(W207=1,ISNUMBER(AA207)),L207/(L207+AA207),"")</f>
        <v/>
      </c>
    </row>
    <row r="208" customFormat="false" ht="15" hidden="false" customHeight="true" outlineLevel="0" collapsed="false">
      <c r="A208" s="1" t="s">
        <v>274</v>
      </c>
      <c r="B208" s="46" t="n">
        <v>45754</v>
      </c>
      <c r="C208" s="46" t="n">
        <v>45806</v>
      </c>
      <c r="D208" s="47" t="n">
        <v>22270</v>
      </c>
      <c r="E208" s="47" t="n">
        <v>22450</v>
      </c>
      <c r="F208" s="47" t="n">
        <v>21911</v>
      </c>
      <c r="G208" s="47" t="n">
        <v>22368.45</v>
      </c>
      <c r="H208" s="47" t="n">
        <v>22432.45</v>
      </c>
      <c r="I208" s="47" t="n">
        <v>22368.45</v>
      </c>
      <c r="J208" s="48" t="n">
        <v>22719</v>
      </c>
      <c r="K208" s="47" t="n">
        <v>378384.69</v>
      </c>
      <c r="L208" s="48" t="n">
        <v>1586775</v>
      </c>
      <c r="M208" s="48" t="n">
        <v>108225</v>
      </c>
      <c r="N208" s="47"/>
      <c r="O208" s="47" t="str">
        <f aca="false">IF(AND(ISNUMBER(G208),ISNUMBER(N208)),G208-N208,"")</f>
        <v/>
      </c>
      <c r="P208" s="49" t="str">
        <f aca="false">IF(ISNUMBER(O208),O208/N208,"")</f>
        <v/>
      </c>
      <c r="Q208" s="50" t="n">
        <f aca="false">C208-B208</f>
        <v>52</v>
      </c>
      <c r="R208" s="51" t="n">
        <f aca="false">IF(AND(C208=C207,ISNUMBER(G208),ISNUMBER(G207)),(G208/G207-1)*100,"")</f>
        <v>-3.0821324274907</v>
      </c>
      <c r="S208" s="51" t="n">
        <f aca="false">IF(AND(C208=C207,ISNUMBER(L208),ISNUMBER(L207)),(L208/L207-1)*100,"")</f>
        <v>7.31967129958406</v>
      </c>
      <c r="T208" s="51" t="n">
        <f aca="false">IF(AND(C208=C207,ISNUMBER(G208),ISNUMBER(G207)),G208-G207,"")</f>
        <v>-711.349999999999</v>
      </c>
      <c r="U208" s="1" t="str">
        <f aca="false">IF(OR(NOT(ISNUMBER(R208)),NOT(ISNUMBER(S208))),"Not classified",IF(AND(R208&gt;0,S208&gt;0),"Long buildup (interpretation)",IF(AND(R208&lt;0,S208&gt;0),"Short buildup (interpretation)",IF(AND(R208&gt;0,S208&lt;0),"Short covering (interpretation)",IF(AND(R208&lt;0,S208&lt;0),"Long unwinding (interpretation)","Neutral")))))</f>
        <v>Short buildup (interpretation)</v>
      </c>
      <c r="V208" s="52" t="str">
        <f aca="false">TEXT(B208,"yyyy-mm")</f>
        <v>2025-04</v>
      </c>
      <c r="W208" s="52" t="n">
        <f aca="false">1+COUNTIFS($B$2:$B$756,B208,$C$2:$C$756,"&lt;"&amp;C208)</f>
        <v>2</v>
      </c>
      <c r="X208" s="53" t="str">
        <f aca="false">IF(AND(ISNUMBER(P208),Q208&gt;0),P208*365/Q208,"")</f>
        <v/>
      </c>
      <c r="Y208" s="42" t="n">
        <f aca="false">IF(AND(C209=C208,ISNUMBER(R209)),R209,"")</f>
        <v>1.68049194289277</v>
      </c>
      <c r="Z208" s="52" t="n">
        <f aca="false">IF(AND(W208=1,Q208&gt;Basis_Analysis!$B$3,ISNUMBER(Y208)),1,0)</f>
        <v>0</v>
      </c>
      <c r="AA208" s="43" t="str">
        <f aca="false">IF(W208=1,IF(SUMIFS($L$2:$L$756,$B$2:$B$756,B208,$W$2:$W$756,2)&gt;0,SUMIFS($L$2:$L$756,$B$2:$B$756,B208,$W$2:$W$756,2),""),"")</f>
        <v/>
      </c>
      <c r="AB208" s="54" t="str">
        <f aca="false">IF(AND(W208=1,ISNUMBER(AA208)),L208/(L208+AA208),"")</f>
        <v/>
      </c>
    </row>
    <row r="209" customFormat="false" ht="15" hidden="false" customHeight="true" outlineLevel="0" collapsed="false">
      <c r="A209" s="1" t="s">
        <v>274</v>
      </c>
      <c r="B209" s="46" t="n">
        <v>45755</v>
      </c>
      <c r="C209" s="46" t="n">
        <v>45806</v>
      </c>
      <c r="D209" s="47" t="n">
        <v>22528</v>
      </c>
      <c r="E209" s="47" t="n">
        <v>22846</v>
      </c>
      <c r="F209" s="47" t="n">
        <v>22444.65</v>
      </c>
      <c r="G209" s="47" t="n">
        <v>22744.35</v>
      </c>
      <c r="H209" s="47" t="n">
        <v>22767.9</v>
      </c>
      <c r="I209" s="47" t="n">
        <v>22744.35</v>
      </c>
      <c r="J209" s="48" t="n">
        <v>13377</v>
      </c>
      <c r="K209" s="47" t="n">
        <v>227673.88</v>
      </c>
      <c r="L209" s="48" t="n">
        <v>1633125</v>
      </c>
      <c r="M209" s="48" t="n">
        <v>46350</v>
      </c>
      <c r="N209" s="47"/>
      <c r="O209" s="47" t="str">
        <f aca="false">IF(AND(ISNUMBER(G209),ISNUMBER(N209)),G209-N209,"")</f>
        <v/>
      </c>
      <c r="P209" s="49" t="str">
        <f aca="false">IF(ISNUMBER(O209),O209/N209,"")</f>
        <v/>
      </c>
      <c r="Q209" s="50" t="n">
        <f aca="false">C209-B209</f>
        <v>51</v>
      </c>
      <c r="R209" s="51" t="n">
        <f aca="false">IF(AND(C209=C208,ISNUMBER(G209),ISNUMBER(G208)),(G209/G208-1)*100,"")</f>
        <v>1.68049194289277</v>
      </c>
      <c r="S209" s="51" t="n">
        <f aca="false">IF(AND(C209=C208,ISNUMBER(L209),ISNUMBER(L208)),(L209/L208-1)*100,"")</f>
        <v>2.92101904806921</v>
      </c>
      <c r="T209" s="51" t="n">
        <f aca="false">IF(AND(C209=C208,ISNUMBER(G209),ISNUMBER(G208)),G209-G208,"")</f>
        <v>375.899999999998</v>
      </c>
      <c r="U209" s="1" t="str">
        <f aca="false">IF(OR(NOT(ISNUMBER(R209)),NOT(ISNUMBER(S209))),"Not classified",IF(AND(R209&gt;0,S209&gt;0),"Long buildup (interpretation)",IF(AND(R209&lt;0,S209&gt;0),"Short buildup (interpretation)",IF(AND(R209&gt;0,S209&lt;0),"Short covering (interpretation)",IF(AND(R209&lt;0,S209&lt;0),"Long unwinding (interpretation)","Neutral")))))</f>
        <v>Long buildup (interpretation)</v>
      </c>
      <c r="V209" s="52" t="str">
        <f aca="false">TEXT(B209,"yyyy-mm")</f>
        <v>2025-04</v>
      </c>
      <c r="W209" s="52" t="n">
        <f aca="false">1+COUNTIFS($B$2:$B$756,B209,$C$2:$C$756,"&lt;"&amp;C209)</f>
        <v>2</v>
      </c>
      <c r="X209" s="53" t="str">
        <f aca="false">IF(AND(ISNUMBER(P209),Q209&gt;0),P209*365/Q209,"")</f>
        <v/>
      </c>
      <c r="Y209" s="42" t="n">
        <f aca="false">IF(AND(C210=C209,ISNUMBER(R210)),R210,"")</f>
        <v>-0.688302809269115</v>
      </c>
      <c r="Z209" s="52" t="n">
        <f aca="false">IF(AND(W209=1,Q209&gt;Basis_Analysis!$B$3,ISNUMBER(Y209)),1,0)</f>
        <v>0</v>
      </c>
      <c r="AA209" s="43" t="str">
        <f aca="false">IF(W209=1,IF(SUMIFS($L$2:$L$756,$B$2:$B$756,B209,$W$2:$W$756,2)&gt;0,SUMIFS($L$2:$L$756,$B$2:$B$756,B209,$W$2:$W$756,2),""),"")</f>
        <v/>
      </c>
      <c r="AB209" s="54" t="str">
        <f aca="false">IF(AND(W209=1,ISNUMBER(AA209)),L209/(L209+AA209),"")</f>
        <v/>
      </c>
    </row>
    <row r="210" customFormat="false" ht="15" hidden="false" customHeight="true" outlineLevel="0" collapsed="false">
      <c r="A210" s="1" t="s">
        <v>274</v>
      </c>
      <c r="B210" s="46" t="n">
        <v>45756</v>
      </c>
      <c r="C210" s="46" t="n">
        <v>45806</v>
      </c>
      <c r="D210" s="47" t="n">
        <v>22669.65</v>
      </c>
      <c r="E210" s="47" t="n">
        <v>22669.65</v>
      </c>
      <c r="F210" s="47" t="n">
        <v>22525.05</v>
      </c>
      <c r="G210" s="47" t="n">
        <v>22587.8</v>
      </c>
      <c r="H210" s="47" t="n">
        <v>22619.9</v>
      </c>
      <c r="I210" s="47" t="n">
        <v>22587.8</v>
      </c>
      <c r="J210" s="48" t="n">
        <v>7016</v>
      </c>
      <c r="K210" s="47" t="n">
        <v>118864.86</v>
      </c>
      <c r="L210" s="48" t="n">
        <v>1730775</v>
      </c>
      <c r="M210" s="48" t="n">
        <v>97650</v>
      </c>
      <c r="N210" s="47" t="n">
        <v>22399.15</v>
      </c>
      <c r="O210" s="47" t="n">
        <f aca="false">IF(AND(ISNUMBER(G210),ISNUMBER(N210)),G210-N210,"")</f>
        <v>188.649999999998</v>
      </c>
      <c r="P210" s="49" t="n">
        <f aca="false">IF(ISNUMBER(O210),O210/N210,"")</f>
        <v>0.00842219459220541</v>
      </c>
      <c r="Q210" s="50" t="n">
        <f aca="false">C210-B210</f>
        <v>50</v>
      </c>
      <c r="R210" s="51" t="n">
        <f aca="false">IF(AND(C210=C209,ISNUMBER(G210),ISNUMBER(G209)),(G210/G209-1)*100,"")</f>
        <v>-0.688302809269115</v>
      </c>
      <c r="S210" s="51" t="n">
        <f aca="false">IF(AND(C210=C209,ISNUMBER(L210),ISNUMBER(L209)),(L210/L209-1)*100,"")</f>
        <v>5.97933409873708</v>
      </c>
      <c r="T210" s="51" t="n">
        <f aca="false">IF(AND(C210=C209,ISNUMBER(G210),ISNUMBER(G209)),G210-G209,"")</f>
        <v>-156.549999999999</v>
      </c>
      <c r="U210" s="1" t="str">
        <f aca="false">IF(OR(NOT(ISNUMBER(R210)),NOT(ISNUMBER(S210))),"Not classified",IF(AND(R210&gt;0,S210&gt;0),"Long buildup (interpretation)",IF(AND(R210&lt;0,S210&gt;0),"Short buildup (interpretation)",IF(AND(R210&gt;0,S210&lt;0),"Short covering (interpretation)",IF(AND(R210&lt;0,S210&lt;0),"Long unwinding (interpretation)","Neutral")))))</f>
        <v>Short buildup (interpretation)</v>
      </c>
      <c r="V210" s="52" t="str">
        <f aca="false">TEXT(B210,"yyyy-mm")</f>
        <v>2025-04</v>
      </c>
      <c r="W210" s="52" t="n">
        <f aca="false">1+COUNTIFS($B$2:$B$756,B210,$C$2:$C$756,"&lt;"&amp;C210)</f>
        <v>2</v>
      </c>
      <c r="X210" s="53" t="n">
        <f aca="false">IF(AND(ISNUMBER(P210),Q210&gt;0),P210*365/Q210,"")</f>
        <v>0.0614820205230995</v>
      </c>
      <c r="Y210" s="42" t="n">
        <f aca="false">IF(AND(C211=C210,ISNUMBER(R211)),R211,"")</f>
        <v>1.94485518731351</v>
      </c>
      <c r="Z210" s="52" t="n">
        <f aca="false">IF(AND(W210=1,Q210&gt;Basis_Analysis!$B$3,ISNUMBER(Y210)),1,0)</f>
        <v>0</v>
      </c>
      <c r="AA210" s="43" t="str">
        <f aca="false">IF(W210=1,IF(SUMIFS($L$2:$L$756,$B$2:$B$756,B210,$W$2:$W$756,2)&gt;0,SUMIFS($L$2:$L$756,$B$2:$B$756,B210,$W$2:$W$756,2),""),"")</f>
        <v/>
      </c>
      <c r="AB210" s="54" t="str">
        <f aca="false">IF(AND(W210=1,ISNUMBER(AA210)),L210/(L210+AA210),"")</f>
        <v/>
      </c>
    </row>
    <row r="211" customFormat="false" ht="15" hidden="false" customHeight="true" outlineLevel="0" collapsed="false">
      <c r="A211" s="1" t="s">
        <v>274</v>
      </c>
      <c r="B211" s="46" t="n">
        <v>45758</v>
      </c>
      <c r="C211" s="46" t="n">
        <v>45806</v>
      </c>
      <c r="D211" s="47" t="n">
        <v>22971</v>
      </c>
      <c r="E211" s="47" t="n">
        <v>23115</v>
      </c>
      <c r="F211" s="47" t="n">
        <v>22919.85</v>
      </c>
      <c r="G211" s="47" t="n">
        <v>23027.1</v>
      </c>
      <c r="H211" s="47" t="n">
        <v>23050</v>
      </c>
      <c r="I211" s="47" t="n">
        <v>23027.1</v>
      </c>
      <c r="J211" s="48" t="n">
        <v>12172</v>
      </c>
      <c r="K211" s="47" t="n">
        <v>210077.07</v>
      </c>
      <c r="L211" s="48" t="n">
        <v>1808700</v>
      </c>
      <c r="M211" s="48" t="n">
        <v>77925</v>
      </c>
      <c r="N211" s="47" t="n">
        <v>22828.55</v>
      </c>
      <c r="O211" s="47" t="n">
        <f aca="false">IF(AND(ISNUMBER(G211),ISNUMBER(N211)),G211-N211,"")</f>
        <v>198.549999999999</v>
      </c>
      <c r="P211" s="49" t="n">
        <f aca="false">IF(ISNUMBER(O211),O211/N211,"")</f>
        <v>0.00869744245692343</v>
      </c>
      <c r="Q211" s="50" t="n">
        <f aca="false">C211-B211</f>
        <v>48</v>
      </c>
      <c r="R211" s="51" t="n">
        <f aca="false">IF(AND(C211=C210,ISNUMBER(G211),ISNUMBER(G210)),(G211/G210-1)*100,"")</f>
        <v>1.94485518731351</v>
      </c>
      <c r="S211" s="51" t="n">
        <f aca="false">IF(AND(C211=C210,ISNUMBER(L211),ISNUMBER(L210)),(L211/L210-1)*100,"")</f>
        <v>4.50231832560559</v>
      </c>
      <c r="T211" s="51" t="n">
        <f aca="false">IF(AND(C211=C210,ISNUMBER(G211),ISNUMBER(G210)),G211-G210,"")</f>
        <v>439.299999999999</v>
      </c>
      <c r="U211" s="1" t="str">
        <f aca="false">IF(OR(NOT(ISNUMBER(R211)),NOT(ISNUMBER(S211))),"Not classified",IF(AND(R211&gt;0,S211&gt;0),"Long buildup (interpretation)",IF(AND(R211&lt;0,S211&gt;0),"Short buildup (interpretation)",IF(AND(R211&gt;0,S211&lt;0),"Short covering (interpretation)",IF(AND(R211&lt;0,S211&lt;0),"Long unwinding (interpretation)","Neutral")))))</f>
        <v>Long buildup (interpretation)</v>
      </c>
      <c r="V211" s="52" t="str">
        <f aca="false">TEXT(B211,"yyyy-mm")</f>
        <v>2025-04</v>
      </c>
      <c r="W211" s="52" t="n">
        <f aca="false">1+COUNTIFS($B$2:$B$756,B211,$C$2:$C$756,"&lt;"&amp;C211)</f>
        <v>2</v>
      </c>
      <c r="X211" s="53" t="n">
        <f aca="false">IF(AND(ISNUMBER(P211),Q211&gt;0),P211*365/Q211,"")</f>
        <v>0.0661368020161886</v>
      </c>
      <c r="Y211" s="42" t="n">
        <f aca="false">IF(AND(C212=C211,ISNUMBER(R212)),R212,"")</f>
        <v>1.84912559549402</v>
      </c>
      <c r="Z211" s="52" t="n">
        <f aca="false">IF(AND(W211=1,Q211&gt;Basis_Analysis!$B$3,ISNUMBER(Y211)),1,0)</f>
        <v>0</v>
      </c>
      <c r="AA211" s="43" t="str">
        <f aca="false">IF(W211=1,IF(SUMIFS($L$2:$L$756,$B$2:$B$756,B211,$W$2:$W$756,2)&gt;0,SUMIFS($L$2:$L$756,$B$2:$B$756,B211,$W$2:$W$756,2),""),"")</f>
        <v/>
      </c>
      <c r="AB211" s="54" t="str">
        <f aca="false">IF(AND(W211=1,ISNUMBER(AA211)),L211/(L211+AA211),"")</f>
        <v/>
      </c>
    </row>
    <row r="212" customFormat="false" ht="15" hidden="false" customHeight="true" outlineLevel="0" collapsed="false">
      <c r="A212" s="1" t="s">
        <v>274</v>
      </c>
      <c r="B212" s="46" t="n">
        <v>45762</v>
      </c>
      <c r="C212" s="46" t="n">
        <v>45806</v>
      </c>
      <c r="D212" s="47" t="n">
        <v>23358.6</v>
      </c>
      <c r="E212" s="47" t="n">
        <v>23500</v>
      </c>
      <c r="F212" s="47" t="n">
        <v>23358.6</v>
      </c>
      <c r="G212" s="47" t="n">
        <v>23452.9</v>
      </c>
      <c r="H212" s="47" t="n">
        <v>23472</v>
      </c>
      <c r="I212" s="47" t="n">
        <v>23452.9</v>
      </c>
      <c r="J212" s="48" t="n">
        <v>11701</v>
      </c>
      <c r="K212" s="47" t="n">
        <v>205852.3</v>
      </c>
      <c r="L212" s="48" t="n">
        <v>1913475</v>
      </c>
      <c r="M212" s="48" t="n">
        <v>104775</v>
      </c>
      <c r="N212" s="47" t="n">
        <v>23328.55</v>
      </c>
      <c r="O212" s="47" t="n">
        <f aca="false">IF(AND(ISNUMBER(G212),ISNUMBER(N212)),G212-N212,"")</f>
        <v>124.350000000002</v>
      </c>
      <c r="P212" s="49" t="n">
        <f aca="false">IF(ISNUMBER(O212),O212/N212,"")</f>
        <v>0.00533037844186639</v>
      </c>
      <c r="Q212" s="50" t="n">
        <f aca="false">C212-B212</f>
        <v>44</v>
      </c>
      <c r="R212" s="51" t="n">
        <f aca="false">IF(AND(C212=C211,ISNUMBER(G212),ISNUMBER(G211)),(G212/G211-1)*100,"")</f>
        <v>1.84912559549402</v>
      </c>
      <c r="S212" s="51" t="n">
        <f aca="false">IF(AND(C212=C211,ISNUMBER(L212),ISNUMBER(L211)),(L212/L211-1)*100,"")</f>
        <v>5.79283463260905</v>
      </c>
      <c r="T212" s="51" t="n">
        <f aca="false">IF(AND(C212=C211,ISNUMBER(G212),ISNUMBER(G211)),G212-G211,"")</f>
        <v>425.800000000003</v>
      </c>
      <c r="U212" s="1" t="str">
        <f aca="false">IF(OR(NOT(ISNUMBER(R212)),NOT(ISNUMBER(S212))),"Not classified",IF(AND(R212&gt;0,S212&gt;0),"Long buildup (interpretation)",IF(AND(R212&lt;0,S212&gt;0),"Short buildup (interpretation)",IF(AND(R212&gt;0,S212&lt;0),"Short covering (interpretation)",IF(AND(R212&lt;0,S212&lt;0),"Long unwinding (interpretation)","Neutral")))))</f>
        <v>Long buildup (interpretation)</v>
      </c>
      <c r="V212" s="52" t="str">
        <f aca="false">TEXT(B212,"yyyy-mm")</f>
        <v>2025-04</v>
      </c>
      <c r="W212" s="52" t="n">
        <f aca="false">1+COUNTIFS($B$2:$B$756,B212,$C$2:$C$756,"&lt;"&amp;C212)</f>
        <v>2</v>
      </c>
      <c r="X212" s="53" t="n">
        <f aca="false">IF(AND(ISNUMBER(P212),Q212&gt;0),P212*365/Q212,"")</f>
        <v>0.0442179120745735</v>
      </c>
      <c r="Y212" s="42" t="n">
        <f aca="false">IF(AND(C213=C212,ISNUMBER(R213)),R213,"")</f>
        <v>0.396113060644954</v>
      </c>
      <c r="Z212" s="52" t="n">
        <f aca="false">IF(AND(W212=1,Q212&gt;Basis_Analysis!$B$3,ISNUMBER(Y212)),1,0)</f>
        <v>0</v>
      </c>
      <c r="AA212" s="43" t="str">
        <f aca="false">IF(W212=1,IF(SUMIFS($L$2:$L$756,$B$2:$B$756,B212,$W$2:$W$756,2)&gt;0,SUMIFS($L$2:$L$756,$B$2:$B$756,B212,$W$2:$W$756,2),""),"")</f>
        <v/>
      </c>
      <c r="AB212" s="54" t="str">
        <f aca="false">IF(AND(W212=1,ISNUMBER(AA212)),L212/(L212+AA212),"")</f>
        <v/>
      </c>
    </row>
    <row r="213" customFormat="false" ht="15" hidden="false" customHeight="true" outlineLevel="0" collapsed="false">
      <c r="A213" s="1" t="s">
        <v>274</v>
      </c>
      <c r="B213" s="46" t="n">
        <v>45763</v>
      </c>
      <c r="C213" s="46" t="n">
        <v>45806</v>
      </c>
      <c r="D213" s="47" t="n">
        <v>23416</v>
      </c>
      <c r="E213" s="47" t="n">
        <v>23565.9</v>
      </c>
      <c r="F213" s="47" t="n">
        <v>23385.5</v>
      </c>
      <c r="G213" s="47" t="n">
        <v>23545.8</v>
      </c>
      <c r="H213" s="47" t="n">
        <v>23546.1</v>
      </c>
      <c r="I213" s="47" t="n">
        <v>23545.8</v>
      </c>
      <c r="J213" s="48" t="n">
        <v>13219</v>
      </c>
      <c r="K213" s="47" t="n">
        <v>232767.46</v>
      </c>
      <c r="L213" s="48" t="n">
        <v>2097225</v>
      </c>
      <c r="M213" s="48" t="n">
        <v>183750</v>
      </c>
      <c r="N213" s="47" t="n">
        <v>23437.2</v>
      </c>
      <c r="O213" s="47" t="n">
        <f aca="false">IF(AND(ISNUMBER(G213),ISNUMBER(N213)),G213-N213,"")</f>
        <v>108.599999999999</v>
      </c>
      <c r="P213" s="49" t="n">
        <f aca="false">IF(ISNUMBER(O213),O213/N213,"")</f>
        <v>0.00463365931083912</v>
      </c>
      <c r="Q213" s="50" t="n">
        <f aca="false">C213-B213</f>
        <v>43</v>
      </c>
      <c r="R213" s="51" t="n">
        <f aca="false">IF(AND(C213=C212,ISNUMBER(G213),ISNUMBER(G212)),(G213/G212-1)*100,"")</f>
        <v>0.396113060644954</v>
      </c>
      <c r="S213" s="51" t="n">
        <f aca="false">IF(AND(C213=C212,ISNUMBER(L213),ISNUMBER(L212)),(L213/L212-1)*100,"")</f>
        <v>9.60294751695214</v>
      </c>
      <c r="T213" s="51" t="n">
        <f aca="false">IF(AND(C213=C212,ISNUMBER(G213),ISNUMBER(G212)),G213-G212,"")</f>
        <v>92.8999999999978</v>
      </c>
      <c r="U213" s="1" t="str">
        <f aca="false">IF(OR(NOT(ISNUMBER(R213)),NOT(ISNUMBER(S213))),"Not classified",IF(AND(R213&gt;0,S213&gt;0),"Long buildup (interpretation)",IF(AND(R213&lt;0,S213&gt;0),"Short buildup (interpretation)",IF(AND(R213&gt;0,S213&lt;0),"Short covering (interpretation)",IF(AND(R213&lt;0,S213&lt;0),"Long unwinding (interpretation)","Neutral")))))</f>
        <v>Long buildup (interpretation)</v>
      </c>
      <c r="V213" s="52" t="str">
        <f aca="false">TEXT(B213,"yyyy-mm")</f>
        <v>2025-04</v>
      </c>
      <c r="W213" s="52" t="n">
        <f aca="false">1+COUNTIFS($B$2:$B$756,B213,$C$2:$C$756,"&lt;"&amp;C213)</f>
        <v>2</v>
      </c>
      <c r="X213" s="53" t="n">
        <f aca="false">IF(AND(ISNUMBER(P213),Q213&gt;0),P213*365/Q213,"")</f>
        <v>0.0393322243827041</v>
      </c>
      <c r="Y213" s="42" t="n">
        <f aca="false">IF(AND(C214=C213,ISNUMBER(R214)),R214,"")</f>
        <v>1.74383541863092</v>
      </c>
      <c r="Z213" s="52" t="n">
        <f aca="false">IF(AND(W213=1,Q213&gt;Basis_Analysis!$B$3,ISNUMBER(Y213)),1,0)</f>
        <v>0</v>
      </c>
      <c r="AA213" s="43" t="str">
        <f aca="false">IF(W213=1,IF(SUMIFS($L$2:$L$756,$B$2:$B$756,B213,$W$2:$W$756,2)&gt;0,SUMIFS($L$2:$L$756,$B$2:$B$756,B213,$W$2:$W$756,2),""),"")</f>
        <v/>
      </c>
      <c r="AB213" s="54" t="str">
        <f aca="false">IF(AND(W213=1,ISNUMBER(AA213)),L213/(L213+AA213),"")</f>
        <v/>
      </c>
    </row>
    <row r="214" customFormat="false" ht="15" hidden="false" customHeight="true" outlineLevel="0" collapsed="false">
      <c r="A214" s="1" t="s">
        <v>274</v>
      </c>
      <c r="B214" s="46" t="n">
        <v>45764</v>
      </c>
      <c r="C214" s="46" t="n">
        <v>45806</v>
      </c>
      <c r="D214" s="47" t="n">
        <v>23501.8</v>
      </c>
      <c r="E214" s="47" t="n">
        <v>23978</v>
      </c>
      <c r="F214" s="47" t="n">
        <v>23450</v>
      </c>
      <c r="G214" s="47" t="n">
        <v>23956.4</v>
      </c>
      <c r="H214" s="47" t="n">
        <v>23960</v>
      </c>
      <c r="I214" s="47" t="n">
        <v>23956.4</v>
      </c>
      <c r="J214" s="48" t="n">
        <v>34621</v>
      </c>
      <c r="K214" s="47" t="n">
        <v>617313.15</v>
      </c>
      <c r="L214" s="48" t="n">
        <v>2715600</v>
      </c>
      <c r="M214" s="48" t="n">
        <v>618375</v>
      </c>
      <c r="N214" s="47" t="n">
        <v>23851.65</v>
      </c>
      <c r="O214" s="47" t="n">
        <f aca="false">IF(AND(ISNUMBER(G214),ISNUMBER(N214)),G214-N214,"")</f>
        <v>104.75</v>
      </c>
      <c r="P214" s="49" t="n">
        <f aca="false">IF(ISNUMBER(O214),O214/N214,"")</f>
        <v>0.00439172971261946</v>
      </c>
      <c r="Q214" s="50" t="n">
        <f aca="false">C214-B214</f>
        <v>42</v>
      </c>
      <c r="R214" s="51" t="n">
        <f aca="false">IF(AND(C214=C213,ISNUMBER(G214),ISNUMBER(G213)),(G214/G213-1)*100,"")</f>
        <v>1.74383541863092</v>
      </c>
      <c r="S214" s="51" t="n">
        <f aca="false">IF(AND(C214=C213,ISNUMBER(L214),ISNUMBER(L213)),(L214/L213-1)*100,"")</f>
        <v>29.4853914100776</v>
      </c>
      <c r="T214" s="51" t="n">
        <f aca="false">IF(AND(C214=C213,ISNUMBER(G214),ISNUMBER(G213)),G214-G213,"")</f>
        <v>410.600000000002</v>
      </c>
      <c r="U214" s="1" t="str">
        <f aca="false">IF(OR(NOT(ISNUMBER(R214)),NOT(ISNUMBER(S214))),"Not classified",IF(AND(R214&gt;0,S214&gt;0),"Long buildup (interpretation)",IF(AND(R214&lt;0,S214&gt;0),"Short buildup (interpretation)",IF(AND(R214&gt;0,S214&lt;0),"Short covering (interpretation)",IF(AND(R214&lt;0,S214&lt;0),"Long unwinding (interpretation)","Neutral")))))</f>
        <v>Long buildup (interpretation)</v>
      </c>
      <c r="V214" s="52" t="str">
        <f aca="false">TEXT(B214,"yyyy-mm")</f>
        <v>2025-04</v>
      </c>
      <c r="W214" s="52" t="n">
        <f aca="false">1+COUNTIFS($B$2:$B$756,B214,$C$2:$C$756,"&lt;"&amp;C214)</f>
        <v>2</v>
      </c>
      <c r="X214" s="53" t="n">
        <f aca="false">IF(AND(ISNUMBER(P214),Q214&gt;0),P214*365/Q214,"")</f>
        <v>0.0381662225025263</v>
      </c>
      <c r="Y214" s="42" t="n">
        <f aca="false">IF(AND(C215=C214,ISNUMBER(R215)),R215,"")</f>
        <v>1.30194853984738</v>
      </c>
      <c r="Z214" s="52" t="n">
        <f aca="false">IF(AND(W214=1,Q214&gt;Basis_Analysis!$B$3,ISNUMBER(Y214)),1,0)</f>
        <v>0</v>
      </c>
      <c r="AA214" s="43" t="str">
        <f aca="false">IF(W214=1,IF(SUMIFS($L$2:$L$756,$B$2:$B$756,B214,$W$2:$W$756,2)&gt;0,SUMIFS($L$2:$L$756,$B$2:$B$756,B214,$W$2:$W$756,2),""),"")</f>
        <v/>
      </c>
      <c r="AB214" s="54" t="str">
        <f aca="false">IF(AND(W214=1,ISNUMBER(AA214)),L214/(L214+AA214),"")</f>
        <v/>
      </c>
    </row>
    <row r="215" customFormat="false" ht="15" hidden="false" customHeight="true" outlineLevel="0" collapsed="false">
      <c r="A215" s="1" t="s">
        <v>274</v>
      </c>
      <c r="B215" s="46" t="n">
        <v>45768</v>
      </c>
      <c r="C215" s="46" t="n">
        <v>45806</v>
      </c>
      <c r="D215" s="47" t="n">
        <v>24004.7</v>
      </c>
      <c r="E215" s="47" t="n">
        <v>24325</v>
      </c>
      <c r="F215" s="47" t="n">
        <v>23980.6</v>
      </c>
      <c r="G215" s="47" t="n">
        <v>24268.3</v>
      </c>
      <c r="H215" s="47" t="n">
        <v>24270</v>
      </c>
      <c r="I215" s="47" t="n">
        <v>24268.3</v>
      </c>
      <c r="J215" s="48" t="n">
        <v>43655</v>
      </c>
      <c r="K215" s="47" t="n">
        <v>792984.17</v>
      </c>
      <c r="L215" s="48" t="n">
        <v>3508125</v>
      </c>
      <c r="M215" s="48" t="n">
        <v>792525</v>
      </c>
      <c r="N215" s="47" t="n">
        <v>24125.55</v>
      </c>
      <c r="O215" s="47" t="n">
        <f aca="false">IF(AND(ISNUMBER(G215),ISNUMBER(N215)),G215-N215,"")</f>
        <v>142.75</v>
      </c>
      <c r="P215" s="49" t="n">
        <f aca="false">IF(ISNUMBER(O215),O215/N215,"")</f>
        <v>0.00591696355109003</v>
      </c>
      <c r="Q215" s="50" t="n">
        <f aca="false">C215-B215</f>
        <v>38</v>
      </c>
      <c r="R215" s="51" t="n">
        <f aca="false">IF(AND(C215=C214,ISNUMBER(G215),ISNUMBER(G214)),(G215/G214-1)*100,"")</f>
        <v>1.30194853984738</v>
      </c>
      <c r="S215" s="51" t="n">
        <f aca="false">IF(AND(C215=C214,ISNUMBER(L215),ISNUMBER(L214)),(L215/L214-1)*100,"")</f>
        <v>29.1841581970835</v>
      </c>
      <c r="T215" s="51" t="n">
        <f aca="false">IF(AND(C215=C214,ISNUMBER(G215),ISNUMBER(G214)),G215-G214,"")</f>
        <v>311.899999999998</v>
      </c>
      <c r="U215" s="1" t="str">
        <f aca="false">IF(OR(NOT(ISNUMBER(R215)),NOT(ISNUMBER(S215))),"Not classified",IF(AND(R215&gt;0,S215&gt;0),"Long buildup (interpretation)",IF(AND(R215&lt;0,S215&gt;0),"Short buildup (interpretation)",IF(AND(R215&gt;0,S215&lt;0),"Short covering (interpretation)",IF(AND(R215&lt;0,S215&lt;0),"Long unwinding (interpretation)","Neutral")))))</f>
        <v>Long buildup (interpretation)</v>
      </c>
      <c r="V215" s="52" t="str">
        <f aca="false">TEXT(B215,"yyyy-mm")</f>
        <v>2025-04</v>
      </c>
      <c r="W215" s="52" t="n">
        <f aca="false">1+COUNTIFS($B$2:$B$756,B215,$C$2:$C$756,"&lt;"&amp;C215)</f>
        <v>2</v>
      </c>
      <c r="X215" s="53" t="n">
        <f aca="false">IF(AND(ISNUMBER(P215),Q215&gt;0),P215*365/Q215,"")</f>
        <v>0.0568339920038911</v>
      </c>
      <c r="Y215" s="42" t="n">
        <f aca="false">IF(AND(C216=C215,ISNUMBER(R216)),R216,"")</f>
        <v>0.144633122221172</v>
      </c>
      <c r="Z215" s="52" t="n">
        <f aca="false">IF(AND(W215=1,Q215&gt;Basis_Analysis!$B$3,ISNUMBER(Y215)),1,0)</f>
        <v>0</v>
      </c>
      <c r="AA215" s="43" t="str">
        <f aca="false">IF(W215=1,IF(SUMIFS($L$2:$L$756,$B$2:$B$756,B215,$W$2:$W$756,2)&gt;0,SUMIFS($L$2:$L$756,$B$2:$B$756,B215,$W$2:$W$756,2),""),"")</f>
        <v/>
      </c>
      <c r="AB215" s="54" t="str">
        <f aca="false">IF(AND(W215=1,ISNUMBER(AA215)),L215/(L215+AA215),"")</f>
        <v/>
      </c>
    </row>
    <row r="216" customFormat="false" ht="15" hidden="false" customHeight="true" outlineLevel="0" collapsed="false">
      <c r="A216" s="1" t="s">
        <v>274</v>
      </c>
      <c r="B216" s="46" t="n">
        <v>45769</v>
      </c>
      <c r="C216" s="46" t="n">
        <v>45806</v>
      </c>
      <c r="D216" s="47" t="n">
        <v>24260</v>
      </c>
      <c r="E216" s="47" t="n">
        <v>24373.4</v>
      </c>
      <c r="F216" s="47" t="n">
        <v>24205</v>
      </c>
      <c r="G216" s="47" t="n">
        <v>24303.4</v>
      </c>
      <c r="H216" s="47" t="n">
        <v>24291</v>
      </c>
      <c r="I216" s="47" t="n">
        <v>24303.4</v>
      </c>
      <c r="J216" s="48" t="n">
        <v>60541</v>
      </c>
      <c r="K216" s="47" t="n">
        <v>1103896.09</v>
      </c>
      <c r="L216" s="48" t="n">
        <v>6043200</v>
      </c>
      <c r="M216" s="48" t="n">
        <v>2535075</v>
      </c>
      <c r="N216" s="47" t="n">
        <v>24167.25</v>
      </c>
      <c r="O216" s="47" t="n">
        <f aca="false">IF(AND(ISNUMBER(G216),ISNUMBER(N216)),G216-N216,"")</f>
        <v>136.150000000001</v>
      </c>
      <c r="P216" s="49" t="n">
        <f aca="false">IF(ISNUMBER(O216),O216/N216,"")</f>
        <v>0.00563365711862134</v>
      </c>
      <c r="Q216" s="50" t="n">
        <f aca="false">C216-B216</f>
        <v>37</v>
      </c>
      <c r="R216" s="51" t="n">
        <f aca="false">IF(AND(C216=C215,ISNUMBER(G216),ISNUMBER(G215)),(G216/G215-1)*100,"")</f>
        <v>0.144633122221172</v>
      </c>
      <c r="S216" s="51" t="n">
        <f aca="false">IF(AND(C216=C215,ISNUMBER(L216),ISNUMBER(L215)),(L216/L215-1)*100,"")</f>
        <v>72.2629609834313</v>
      </c>
      <c r="T216" s="51" t="n">
        <f aca="false">IF(AND(C216=C215,ISNUMBER(G216),ISNUMBER(G215)),G216-G215,"")</f>
        <v>35.1000000000022</v>
      </c>
      <c r="U216" s="1" t="str">
        <f aca="false">IF(OR(NOT(ISNUMBER(R216)),NOT(ISNUMBER(S216))),"Not classified",IF(AND(R216&gt;0,S216&gt;0),"Long buildup (interpretation)",IF(AND(R216&lt;0,S216&gt;0),"Short buildup (interpretation)",IF(AND(R216&gt;0,S216&lt;0),"Short covering (interpretation)",IF(AND(R216&lt;0,S216&lt;0),"Long unwinding (interpretation)","Neutral")))))</f>
        <v>Long buildup (interpretation)</v>
      </c>
      <c r="V216" s="52" t="str">
        <f aca="false">TEXT(B216,"yyyy-mm")</f>
        <v>2025-04</v>
      </c>
      <c r="W216" s="52" t="n">
        <f aca="false">1+COUNTIFS($B$2:$B$756,B216,$C$2:$C$756,"&lt;"&amp;C216)</f>
        <v>2</v>
      </c>
      <c r="X216" s="53" t="n">
        <f aca="false">IF(AND(ISNUMBER(P216),Q216&gt;0),P216*365/Q216,"")</f>
        <v>0.0555752661701834</v>
      </c>
      <c r="Y216" s="42" t="n">
        <f aca="false">IF(AND(C217=C216,ISNUMBER(R217)),R217,"")</f>
        <v>0.597858735814749</v>
      </c>
      <c r="Z216" s="52" t="n">
        <f aca="false">IF(AND(W216=1,Q216&gt;Basis_Analysis!$B$3,ISNUMBER(Y216)),1,0)</f>
        <v>0</v>
      </c>
      <c r="AA216" s="43" t="str">
        <f aca="false">IF(W216=1,IF(SUMIFS($L$2:$L$756,$B$2:$B$756,B216,$W$2:$W$756,2)&gt;0,SUMIFS($L$2:$L$756,$B$2:$B$756,B216,$W$2:$W$756,2),""),"")</f>
        <v/>
      </c>
      <c r="AB216" s="54" t="str">
        <f aca="false">IF(AND(W216=1,ISNUMBER(AA216)),L216/(L216+AA216),"")</f>
        <v/>
      </c>
    </row>
    <row r="217" customFormat="false" ht="15" hidden="false" customHeight="true" outlineLevel="0" collapsed="false">
      <c r="A217" s="1" t="s">
        <v>274</v>
      </c>
      <c r="B217" s="46" t="n">
        <v>45770</v>
      </c>
      <c r="C217" s="46" t="n">
        <v>45806</v>
      </c>
      <c r="D217" s="47" t="n">
        <v>24452.1</v>
      </c>
      <c r="E217" s="47" t="n">
        <v>24486.7</v>
      </c>
      <c r="F217" s="47" t="n">
        <v>24251.1</v>
      </c>
      <c r="G217" s="47" t="n">
        <v>24448.7</v>
      </c>
      <c r="H217" s="47" t="n">
        <v>24438.8</v>
      </c>
      <c r="I217" s="47" t="n">
        <v>24448.7</v>
      </c>
      <c r="J217" s="48" t="n">
        <v>85443</v>
      </c>
      <c r="K217" s="47" t="n">
        <v>1563413.21</v>
      </c>
      <c r="L217" s="48" t="n">
        <v>9082350</v>
      </c>
      <c r="M217" s="48" t="n">
        <v>3039150</v>
      </c>
      <c r="N217" s="47" t="n">
        <v>24328.95</v>
      </c>
      <c r="O217" s="47" t="n">
        <f aca="false">IF(AND(ISNUMBER(G217),ISNUMBER(N217)),G217-N217,"")</f>
        <v>119.75</v>
      </c>
      <c r="P217" s="49" t="n">
        <f aca="false">IF(ISNUMBER(O217),O217/N217,"")</f>
        <v>0.00492211953249113</v>
      </c>
      <c r="Q217" s="50" t="n">
        <f aca="false">C217-B217</f>
        <v>36</v>
      </c>
      <c r="R217" s="51" t="n">
        <f aca="false">IF(AND(C217=C216,ISNUMBER(G217),ISNUMBER(G216)),(G217/G216-1)*100,"")</f>
        <v>0.597858735814749</v>
      </c>
      <c r="S217" s="51" t="n">
        <f aca="false">IF(AND(C217=C216,ISNUMBER(L217),ISNUMBER(L216)),(L217/L216-1)*100,"")</f>
        <v>50.2904090548054</v>
      </c>
      <c r="T217" s="51" t="n">
        <f aca="false">IF(AND(C217=C216,ISNUMBER(G217),ISNUMBER(G216)),G217-G216,"")</f>
        <v>145.299999999999</v>
      </c>
      <c r="U217" s="1" t="str">
        <f aca="false">IF(OR(NOT(ISNUMBER(R217)),NOT(ISNUMBER(S217))),"Not classified",IF(AND(R217&gt;0,S217&gt;0),"Long buildup (interpretation)",IF(AND(R217&lt;0,S217&gt;0),"Short buildup (interpretation)",IF(AND(R217&gt;0,S217&lt;0),"Short covering (interpretation)",IF(AND(R217&lt;0,S217&lt;0),"Long unwinding (interpretation)","Neutral")))))</f>
        <v>Long buildup (interpretation)</v>
      </c>
      <c r="V217" s="52" t="str">
        <f aca="false">TEXT(B217,"yyyy-mm")</f>
        <v>2025-04</v>
      </c>
      <c r="W217" s="52" t="n">
        <f aca="false">1+COUNTIFS($B$2:$B$756,B217,$C$2:$C$756,"&lt;"&amp;C217)</f>
        <v>2</v>
      </c>
      <c r="X217" s="53" t="n">
        <f aca="false">IF(AND(ISNUMBER(P217),Q217&gt;0),P217*365/Q217,"")</f>
        <v>0.0499048230377573</v>
      </c>
      <c r="Y217" s="42" t="n">
        <f aca="false">IF(AND(C218=C217,ISNUMBER(R218)),R218,"")</f>
        <v>-0.309627914776656</v>
      </c>
      <c r="Z217" s="52" t="n">
        <f aca="false">IF(AND(W217=1,Q217&gt;Basis_Analysis!$B$3,ISNUMBER(Y217)),1,0)</f>
        <v>0</v>
      </c>
      <c r="AA217" s="43" t="str">
        <f aca="false">IF(W217=1,IF(SUMIFS($L$2:$L$756,$B$2:$B$756,B217,$W$2:$W$756,2)&gt;0,SUMIFS($L$2:$L$756,$B$2:$B$756,B217,$W$2:$W$756,2),""),"")</f>
        <v/>
      </c>
      <c r="AB217" s="54" t="str">
        <f aca="false">IF(AND(W217=1,ISNUMBER(AA217)),L217/(L217+AA217),"")</f>
        <v/>
      </c>
    </row>
    <row r="218" customFormat="false" ht="15" hidden="false" customHeight="true" outlineLevel="0" collapsed="false">
      <c r="A218" s="1" t="s">
        <v>274</v>
      </c>
      <c r="B218" s="46" t="n">
        <v>45771</v>
      </c>
      <c r="C218" s="46" t="n">
        <v>45806</v>
      </c>
      <c r="D218" s="47" t="n">
        <v>24450</v>
      </c>
      <c r="E218" s="47" t="n">
        <v>24499.9</v>
      </c>
      <c r="F218" s="47" t="n">
        <v>24341.5</v>
      </c>
      <c r="G218" s="47" t="n">
        <v>24373</v>
      </c>
      <c r="H218" s="47" t="n">
        <v>24375</v>
      </c>
      <c r="I218" s="47" t="n">
        <v>24373</v>
      </c>
      <c r="J218" s="48" t="n">
        <v>76312</v>
      </c>
      <c r="K218" s="47" t="n">
        <v>1396364.96</v>
      </c>
      <c r="L218" s="48" t="n">
        <v>11503875</v>
      </c>
      <c r="M218" s="48" t="n">
        <v>2421525</v>
      </c>
      <c r="N218" s="47" t="n">
        <v>24246.7</v>
      </c>
      <c r="O218" s="47" t="n">
        <f aca="false">IF(AND(ISNUMBER(G218),ISNUMBER(N218)),G218-N218,"")</f>
        <v>126.299999999999</v>
      </c>
      <c r="P218" s="49" t="n">
        <f aca="false">IF(ISNUMBER(O218),O218/N218,"")</f>
        <v>0.00520895627033779</v>
      </c>
      <c r="Q218" s="50" t="n">
        <f aca="false">C218-B218</f>
        <v>35</v>
      </c>
      <c r="R218" s="51" t="n">
        <f aca="false">IF(AND(C218=C217,ISNUMBER(G218),ISNUMBER(G217)),(G218/G217-1)*100,"")</f>
        <v>-0.309627914776656</v>
      </c>
      <c r="S218" s="51" t="n">
        <f aca="false">IF(AND(C218=C217,ISNUMBER(L218),ISNUMBER(L217)),(L218/L217-1)*100,"")</f>
        <v>26.6618771573437</v>
      </c>
      <c r="T218" s="51" t="n">
        <f aca="false">IF(AND(C218=C217,ISNUMBER(G218),ISNUMBER(G217)),G218-G217,"")</f>
        <v>-75.7000000000007</v>
      </c>
      <c r="U218" s="1" t="str">
        <f aca="false">IF(OR(NOT(ISNUMBER(R218)),NOT(ISNUMBER(S218))),"Not classified",IF(AND(R218&gt;0,S218&gt;0),"Long buildup (interpretation)",IF(AND(R218&lt;0,S218&gt;0),"Short buildup (interpretation)",IF(AND(R218&gt;0,S218&lt;0),"Short covering (interpretation)",IF(AND(R218&lt;0,S218&lt;0),"Long unwinding (interpretation)","Neutral")))))</f>
        <v>Short buildup (interpretation)</v>
      </c>
      <c r="V218" s="52" t="str">
        <f aca="false">TEXT(B218,"yyyy-mm")</f>
        <v>2025-04</v>
      </c>
      <c r="W218" s="52" t="n">
        <f aca="false">1+COUNTIFS($B$2:$B$756,B218,$C$2:$C$756,"&lt;"&amp;C218)</f>
        <v>2</v>
      </c>
      <c r="X218" s="53" t="n">
        <f aca="false">IF(AND(ISNUMBER(P218),Q218&gt;0),P218*365/Q218,"")</f>
        <v>0.0543219725335227</v>
      </c>
      <c r="Y218" s="42" t="n">
        <f aca="false">IF(AND(C219=C218,ISNUMBER(R219)),R219,"")</f>
        <v>-0.959668485619336</v>
      </c>
      <c r="Z218" s="52" t="n">
        <f aca="false">IF(AND(W218=1,Q218&gt;Basis_Analysis!$B$3,ISNUMBER(Y218)),1,0)</f>
        <v>0</v>
      </c>
      <c r="AA218" s="43" t="str">
        <f aca="false">IF(W218=1,IF(SUMIFS($L$2:$L$756,$B$2:$B$756,B218,$W$2:$W$756,2)&gt;0,SUMIFS($L$2:$L$756,$B$2:$B$756,B218,$W$2:$W$756,2),""),"")</f>
        <v/>
      </c>
      <c r="AB218" s="54" t="str">
        <f aca="false">IF(AND(W218=1,ISNUMBER(AA218)),L218/(L218+AA218),"")</f>
        <v/>
      </c>
    </row>
    <row r="219" customFormat="false" ht="15" hidden="false" customHeight="true" outlineLevel="0" collapsed="false">
      <c r="A219" s="1" t="s">
        <v>274</v>
      </c>
      <c r="B219" s="46" t="n">
        <v>45772</v>
      </c>
      <c r="C219" s="46" t="n">
        <v>45806</v>
      </c>
      <c r="D219" s="47" t="n">
        <v>24465</v>
      </c>
      <c r="E219" s="47" t="n">
        <v>24511</v>
      </c>
      <c r="F219" s="47" t="n">
        <v>23975</v>
      </c>
      <c r="G219" s="47" t="n">
        <v>24139.1</v>
      </c>
      <c r="H219" s="47" t="n">
        <v>24120</v>
      </c>
      <c r="I219" s="47" t="n">
        <v>24139.1</v>
      </c>
      <c r="J219" s="48" t="n">
        <v>168230</v>
      </c>
      <c r="K219" s="47" t="n">
        <v>3051400.26</v>
      </c>
      <c r="L219" s="48" t="n">
        <v>11736900</v>
      </c>
      <c r="M219" s="48" t="n">
        <v>233025</v>
      </c>
      <c r="N219" s="47" t="n">
        <v>24039.35</v>
      </c>
      <c r="O219" s="47" t="n">
        <f aca="false">IF(AND(ISNUMBER(G219),ISNUMBER(N219)),G219-N219,"")</f>
        <v>99.75</v>
      </c>
      <c r="P219" s="49" t="n">
        <f aca="false">IF(ISNUMBER(O219),O219/N219,"")</f>
        <v>0.00414944663645232</v>
      </c>
      <c r="Q219" s="50" t="n">
        <f aca="false">C219-B219</f>
        <v>34</v>
      </c>
      <c r="R219" s="51" t="n">
        <f aca="false">IF(AND(C219=C218,ISNUMBER(G219),ISNUMBER(G218)),(G219/G218-1)*100,"")</f>
        <v>-0.959668485619336</v>
      </c>
      <c r="S219" s="51" t="n">
        <f aca="false">IF(AND(C219=C218,ISNUMBER(L219),ISNUMBER(L218)),(L219/L218-1)*100,"")</f>
        <v>2.02562180134955</v>
      </c>
      <c r="T219" s="51" t="n">
        <f aca="false">IF(AND(C219=C218,ISNUMBER(G219),ISNUMBER(G218)),G219-G218,"")</f>
        <v>-233.900000000001</v>
      </c>
      <c r="U219" s="1" t="str">
        <f aca="false">IF(OR(NOT(ISNUMBER(R219)),NOT(ISNUMBER(S219))),"Not classified",IF(AND(R219&gt;0,S219&gt;0),"Long buildup (interpretation)",IF(AND(R219&lt;0,S219&gt;0),"Short buildup (interpretation)",IF(AND(R219&gt;0,S219&lt;0),"Short covering (interpretation)",IF(AND(R219&lt;0,S219&lt;0),"Long unwinding (interpretation)","Neutral")))))</f>
        <v>Short buildup (interpretation)</v>
      </c>
      <c r="V219" s="52" t="str">
        <f aca="false">TEXT(B219,"yyyy-mm")</f>
        <v>2025-04</v>
      </c>
      <c r="W219" s="52" t="n">
        <f aca="false">1+COUNTIFS($B$2:$B$756,B219,$C$2:$C$756,"&lt;"&amp;C219)</f>
        <v>1</v>
      </c>
      <c r="X219" s="53" t="n">
        <f aca="false">IF(AND(ISNUMBER(P219),Q219&gt;0),P219*365/Q219,"")</f>
        <v>0.0445455300677969</v>
      </c>
      <c r="Y219" s="42" t="n">
        <f aca="false">IF(AND(C220=C219,ISNUMBER(R220)),R220,"")</f>
        <v>1.29955135029889</v>
      </c>
      <c r="Z219" s="52" t="n">
        <f aca="false">IF(AND(W219=1,Q219&gt;Basis_Analysis!$B$3,ISNUMBER(Y219)),1,0)</f>
        <v>1</v>
      </c>
      <c r="AA219" s="43" t="n">
        <f aca="false">IF(W219=1,IF(SUMIFS($L$2:$L$756,$B$2:$B$756,B219,$W$2:$W$756,2)&gt;0,SUMIFS($L$2:$L$756,$B$2:$B$756,B219,$W$2:$W$756,2),""),"")</f>
        <v>1403025</v>
      </c>
      <c r="AB219" s="54" t="n">
        <f aca="false">IF(AND(W219=1,ISNUMBER(AA219)),L219/(L219+AA219),"")</f>
        <v>0.893224276394272</v>
      </c>
    </row>
    <row r="220" customFormat="false" ht="15" hidden="false" customHeight="true" outlineLevel="0" collapsed="false">
      <c r="A220" s="1" t="s">
        <v>274</v>
      </c>
      <c r="B220" s="46" t="n">
        <v>45775</v>
      </c>
      <c r="C220" s="46" t="n">
        <v>45806</v>
      </c>
      <c r="D220" s="47" t="n">
        <v>24200.2</v>
      </c>
      <c r="E220" s="47" t="n">
        <v>24489</v>
      </c>
      <c r="F220" s="47" t="n">
        <v>24140</v>
      </c>
      <c r="G220" s="47" t="n">
        <v>24452.8</v>
      </c>
      <c r="H220" s="47" t="n">
        <v>24453.1</v>
      </c>
      <c r="I220" s="47" t="n">
        <v>24452.8</v>
      </c>
      <c r="J220" s="48" t="n">
        <v>104248</v>
      </c>
      <c r="K220" s="47" t="n">
        <v>1906000.81</v>
      </c>
      <c r="L220" s="48" t="n">
        <v>12629700</v>
      </c>
      <c r="M220" s="48" t="n">
        <v>892800</v>
      </c>
      <c r="N220" s="47" t="n">
        <v>24328.5</v>
      </c>
      <c r="O220" s="47" t="n">
        <f aca="false">IF(AND(ISNUMBER(G220),ISNUMBER(N220)),G220-N220,"")</f>
        <v>124.299999999999</v>
      </c>
      <c r="P220" s="49" t="n">
        <f aca="false">IF(ISNUMBER(O220),O220/N220,"")</f>
        <v>0.00510923402593663</v>
      </c>
      <c r="Q220" s="50" t="n">
        <f aca="false">C220-B220</f>
        <v>31</v>
      </c>
      <c r="R220" s="51" t="n">
        <f aca="false">IF(AND(C220=C219,ISNUMBER(G220),ISNUMBER(G219)),(G220/G219-1)*100,"")</f>
        <v>1.29955135029889</v>
      </c>
      <c r="S220" s="51" t="n">
        <f aca="false">IF(AND(C220=C219,ISNUMBER(L220),ISNUMBER(L219)),(L220/L219-1)*100,"")</f>
        <v>7.60677862127137</v>
      </c>
      <c r="T220" s="51" t="n">
        <f aca="false">IF(AND(C220=C219,ISNUMBER(G220),ISNUMBER(G219)),G220-G219,"")</f>
        <v>313.700000000001</v>
      </c>
      <c r="U220" s="1" t="str">
        <f aca="false">IF(OR(NOT(ISNUMBER(R220)),NOT(ISNUMBER(S220))),"Not classified",IF(AND(R220&gt;0,S220&gt;0),"Long buildup (interpretation)",IF(AND(R220&lt;0,S220&gt;0),"Short buildup (interpretation)",IF(AND(R220&gt;0,S220&lt;0),"Short covering (interpretation)",IF(AND(R220&lt;0,S220&lt;0),"Long unwinding (interpretation)","Neutral")))))</f>
        <v>Long buildup (interpretation)</v>
      </c>
      <c r="V220" s="52" t="str">
        <f aca="false">TEXT(B220,"yyyy-mm")</f>
        <v>2025-04</v>
      </c>
      <c r="W220" s="52" t="n">
        <f aca="false">1+COUNTIFS($B$2:$B$756,B220,$C$2:$C$756,"&lt;"&amp;C220)</f>
        <v>1</v>
      </c>
      <c r="X220" s="53" t="n">
        <f aca="false">IF(AND(ISNUMBER(P220),Q220&gt;0),P220*365/Q220,"")</f>
        <v>0.0601571103053829</v>
      </c>
      <c r="Y220" s="42" t="n">
        <f aca="false">IF(AND(C221=C220,ISNUMBER(R221)),R221,"")</f>
        <v>-0.112461558594512</v>
      </c>
      <c r="Z220" s="52" t="n">
        <f aca="false">IF(AND(W220=1,Q220&gt;Basis_Analysis!$B$3,ISNUMBER(Y220)),1,0)</f>
        <v>1</v>
      </c>
      <c r="AA220" s="43" t="n">
        <f aca="false">IF(W220=1,IF(SUMIFS($L$2:$L$756,$B$2:$B$756,B220,$W$2:$W$756,2)&gt;0,SUMIFS($L$2:$L$756,$B$2:$B$756,B220,$W$2:$W$756,2),""),"")</f>
        <v>1484775</v>
      </c>
      <c r="AB220" s="54" t="n">
        <f aca="false">IF(AND(W220=1,ISNUMBER(AA220)),L220/(L220+AA220),"")</f>
        <v>0.894804801453827</v>
      </c>
    </row>
    <row r="221" customFormat="false" ht="15" hidden="false" customHeight="true" outlineLevel="0" collapsed="false">
      <c r="A221" s="1" t="s">
        <v>274</v>
      </c>
      <c r="B221" s="46" t="n">
        <v>45776</v>
      </c>
      <c r="C221" s="46" t="n">
        <v>45806</v>
      </c>
      <c r="D221" s="47" t="n">
        <v>24484</v>
      </c>
      <c r="E221" s="47" t="n">
        <v>24567.9</v>
      </c>
      <c r="F221" s="47" t="n">
        <v>24396.1</v>
      </c>
      <c r="G221" s="47" t="n">
        <v>24425.3</v>
      </c>
      <c r="H221" s="47" t="n">
        <v>24429</v>
      </c>
      <c r="I221" s="47" t="n">
        <v>24425.3</v>
      </c>
      <c r="J221" s="48" t="n">
        <v>79024</v>
      </c>
      <c r="K221" s="47" t="n">
        <v>1450045.87</v>
      </c>
      <c r="L221" s="48" t="n">
        <v>13070550</v>
      </c>
      <c r="M221" s="48" t="n">
        <v>440850</v>
      </c>
      <c r="N221" s="47" t="n">
        <v>24335.95</v>
      </c>
      <c r="O221" s="47" t="n">
        <f aca="false">IF(AND(ISNUMBER(G221),ISNUMBER(N221)),G221-N221,"")</f>
        <v>89.3499999999985</v>
      </c>
      <c r="P221" s="49" t="n">
        <f aca="false">IF(ISNUMBER(O221),O221/N221,"")</f>
        <v>0.0036715229937602</v>
      </c>
      <c r="Q221" s="50" t="n">
        <f aca="false">C221-B221</f>
        <v>30</v>
      </c>
      <c r="R221" s="51" t="n">
        <f aca="false">IF(AND(C221=C220,ISNUMBER(G221),ISNUMBER(G220)),(G221/G220-1)*100,"")</f>
        <v>-0.112461558594512</v>
      </c>
      <c r="S221" s="51" t="n">
        <f aca="false">IF(AND(C221=C220,ISNUMBER(L221),ISNUMBER(L220)),(L221/L220-1)*100,"")</f>
        <v>3.49058172403145</v>
      </c>
      <c r="T221" s="51" t="n">
        <f aca="false">IF(AND(C221=C220,ISNUMBER(G221),ISNUMBER(G220)),G221-G220,"")</f>
        <v>-27.5</v>
      </c>
      <c r="U221" s="1" t="str">
        <f aca="false">IF(OR(NOT(ISNUMBER(R221)),NOT(ISNUMBER(S221))),"Not classified",IF(AND(R221&gt;0,S221&gt;0),"Long buildup (interpretation)",IF(AND(R221&lt;0,S221&gt;0),"Short buildup (interpretation)",IF(AND(R221&gt;0,S221&lt;0),"Short covering (interpretation)",IF(AND(R221&lt;0,S221&lt;0),"Long unwinding (interpretation)","Neutral")))))</f>
        <v>Short buildup (interpretation)</v>
      </c>
      <c r="V221" s="52" t="str">
        <f aca="false">TEXT(B221,"yyyy-mm")</f>
        <v>2025-04</v>
      </c>
      <c r="W221" s="52" t="n">
        <f aca="false">1+COUNTIFS($B$2:$B$756,B221,$C$2:$C$756,"&lt;"&amp;C221)</f>
        <v>1</v>
      </c>
      <c r="X221" s="53" t="n">
        <f aca="false">IF(AND(ISNUMBER(P221),Q221&gt;0),P221*365/Q221,"")</f>
        <v>0.0446701964240824</v>
      </c>
      <c r="Y221" s="42" t="n">
        <f aca="false">IF(AND(C222=C221,ISNUMBER(R222)),R222,"")</f>
        <v>-0.0282493971414777</v>
      </c>
      <c r="Z221" s="52" t="n">
        <f aca="false">IF(AND(W221=1,Q221&gt;Basis_Analysis!$B$3,ISNUMBER(Y221)),1,0)</f>
        <v>1</v>
      </c>
      <c r="AA221" s="43" t="n">
        <f aca="false">IF(W221=1,IF(SUMIFS($L$2:$L$756,$B$2:$B$756,B221,$W$2:$W$756,2)&gt;0,SUMIFS($L$2:$L$756,$B$2:$B$756,B221,$W$2:$W$756,2),""),"")</f>
        <v>1550100</v>
      </c>
      <c r="AB221" s="54" t="n">
        <f aca="false">IF(AND(W221=1,ISNUMBER(AA221)),L221/(L221+AA221),"")</f>
        <v>0.89397872187625</v>
      </c>
    </row>
    <row r="222" customFormat="false" ht="15" hidden="false" customHeight="true" outlineLevel="0" collapsed="false">
      <c r="A222" s="1" t="s">
        <v>274</v>
      </c>
      <c r="B222" s="46" t="n">
        <v>45777</v>
      </c>
      <c r="C222" s="46" t="n">
        <v>45806</v>
      </c>
      <c r="D222" s="47" t="n">
        <v>24369.9</v>
      </c>
      <c r="E222" s="47" t="n">
        <v>24486</v>
      </c>
      <c r="F222" s="47" t="n">
        <v>24348.7</v>
      </c>
      <c r="G222" s="47" t="n">
        <v>24418.4</v>
      </c>
      <c r="H222" s="47" t="n">
        <v>24380.5</v>
      </c>
      <c r="I222" s="47" t="n">
        <v>24418.4</v>
      </c>
      <c r="J222" s="48" t="n">
        <v>69406</v>
      </c>
      <c r="K222" s="47" t="n">
        <v>1271398.48</v>
      </c>
      <c r="L222" s="48" t="n">
        <v>13347750</v>
      </c>
      <c r="M222" s="48" t="n">
        <v>277200</v>
      </c>
      <c r="N222" s="47" t="n">
        <v>24334.2</v>
      </c>
      <c r="O222" s="47" t="n">
        <f aca="false">IF(AND(ISNUMBER(G222),ISNUMBER(N222)),G222-N222,"")</f>
        <v>84.2000000000007</v>
      </c>
      <c r="P222" s="49" t="n">
        <f aca="false">IF(ISNUMBER(O222),O222/N222,"")</f>
        <v>0.00346015073435744</v>
      </c>
      <c r="Q222" s="50" t="n">
        <f aca="false">C222-B222</f>
        <v>29</v>
      </c>
      <c r="R222" s="51" t="n">
        <f aca="false">IF(AND(C222=C221,ISNUMBER(G222),ISNUMBER(G221)),(G222/G221-1)*100,"")</f>
        <v>-0.0282493971414777</v>
      </c>
      <c r="S222" s="51" t="n">
        <f aca="false">IF(AND(C222=C221,ISNUMBER(L222),ISNUMBER(L221)),(L222/L221-1)*100,"")</f>
        <v>2.12079828316329</v>
      </c>
      <c r="T222" s="51" t="n">
        <f aca="false">IF(AND(C222=C221,ISNUMBER(G222),ISNUMBER(G221)),G222-G221,"")</f>
        <v>-6.89999999999782</v>
      </c>
      <c r="U222" s="1" t="str">
        <f aca="false">IF(OR(NOT(ISNUMBER(R222)),NOT(ISNUMBER(S222))),"Not classified",IF(AND(R222&gt;0,S222&gt;0),"Long buildup (interpretation)",IF(AND(R222&lt;0,S222&gt;0),"Short buildup (interpretation)",IF(AND(R222&gt;0,S222&lt;0),"Short covering (interpretation)",IF(AND(R222&lt;0,S222&lt;0),"Long unwinding (interpretation)","Neutral")))))</f>
        <v>Short buildup (interpretation)</v>
      </c>
      <c r="V222" s="52" t="str">
        <f aca="false">TEXT(B222,"yyyy-mm")</f>
        <v>2025-04</v>
      </c>
      <c r="W222" s="52" t="n">
        <f aca="false">1+COUNTIFS($B$2:$B$756,B222,$C$2:$C$756,"&lt;"&amp;C222)</f>
        <v>1</v>
      </c>
      <c r="X222" s="53" t="n">
        <f aca="false">IF(AND(ISNUMBER(P222),Q222&gt;0),P222*365/Q222,"")</f>
        <v>0.0435501730358781</v>
      </c>
      <c r="Y222" s="42" t="n">
        <f aca="false">IF(AND(C223=C222,ISNUMBER(R223)),R223,"")</f>
        <v>-0.0724863217901328</v>
      </c>
      <c r="Z222" s="52" t="n">
        <f aca="false">IF(AND(W222=1,Q222&gt;Basis_Analysis!$B$3,ISNUMBER(Y222)),1,0)</f>
        <v>1</v>
      </c>
      <c r="AA222" s="43" t="n">
        <f aca="false">IF(W222=1,IF(SUMIFS($L$2:$L$756,$B$2:$B$756,B222,$W$2:$W$756,2)&gt;0,SUMIFS($L$2:$L$756,$B$2:$B$756,B222,$W$2:$W$756,2),""),"")</f>
        <v>1583625</v>
      </c>
      <c r="AB222" s="54" t="n">
        <f aca="false">IF(AND(W222=1,ISNUMBER(AA222)),L222/(L222+AA222),"")</f>
        <v>0.893939774468192</v>
      </c>
    </row>
    <row r="223" customFormat="false" ht="15" hidden="false" customHeight="true" outlineLevel="0" collapsed="false">
      <c r="A223" s="1" t="s">
        <v>274</v>
      </c>
      <c r="B223" s="46" t="n">
        <v>45779</v>
      </c>
      <c r="C223" s="46" t="n">
        <v>45806</v>
      </c>
      <c r="D223" s="47" t="n">
        <v>24399.9</v>
      </c>
      <c r="E223" s="47" t="n">
        <v>24718.3</v>
      </c>
      <c r="F223" s="47" t="n">
        <v>24310</v>
      </c>
      <c r="G223" s="47" t="n">
        <v>24400.7</v>
      </c>
      <c r="H223" s="47" t="n">
        <v>24395.1</v>
      </c>
      <c r="I223" s="47" t="n">
        <v>24400.7</v>
      </c>
      <c r="J223" s="48" t="n">
        <v>159768</v>
      </c>
      <c r="K223" s="47" t="n">
        <v>2935949.37</v>
      </c>
      <c r="L223" s="48" t="n">
        <v>12934800</v>
      </c>
      <c r="M223" s="48" t="n">
        <v>-412950</v>
      </c>
      <c r="N223" s="47" t="n">
        <v>24346.7</v>
      </c>
      <c r="O223" s="47" t="n">
        <f aca="false">IF(AND(ISNUMBER(G223),ISNUMBER(N223)),G223-N223,"")</f>
        <v>54</v>
      </c>
      <c r="P223" s="49" t="n">
        <f aca="false">IF(ISNUMBER(O223),O223/N223,"")</f>
        <v>0.00221795972349435</v>
      </c>
      <c r="Q223" s="50" t="n">
        <f aca="false">C223-B223</f>
        <v>27</v>
      </c>
      <c r="R223" s="51" t="n">
        <f aca="false">IF(AND(C223=C222,ISNUMBER(G223),ISNUMBER(G222)),(G223/G222-1)*100,"")</f>
        <v>-0.0724863217901328</v>
      </c>
      <c r="S223" s="51" t="n">
        <f aca="false">IF(AND(C223=C222,ISNUMBER(L223),ISNUMBER(L222)),(L223/L222-1)*100,"")</f>
        <v>-3.0937798505366</v>
      </c>
      <c r="T223" s="51" t="n">
        <f aca="false">IF(AND(C223=C222,ISNUMBER(G223),ISNUMBER(G222)),G223-G222,"")</f>
        <v>-17.7000000000007</v>
      </c>
      <c r="U223" s="1" t="str">
        <f aca="false">IF(OR(NOT(ISNUMBER(R223)),NOT(ISNUMBER(S223))),"Not classified",IF(AND(R223&gt;0,S223&gt;0),"Long buildup (interpretation)",IF(AND(R223&lt;0,S223&gt;0),"Short buildup (interpretation)",IF(AND(R223&gt;0,S223&lt;0),"Short covering (interpretation)",IF(AND(R223&lt;0,S223&lt;0),"Long unwinding (interpretation)","Neutral")))))</f>
        <v>Long unwinding (interpretation)</v>
      </c>
      <c r="V223" s="52" t="str">
        <f aca="false">TEXT(B223,"yyyy-mm")</f>
        <v>2025-05</v>
      </c>
      <c r="W223" s="52" t="n">
        <f aca="false">1+COUNTIFS($B$2:$B$756,B223,$C$2:$C$756,"&lt;"&amp;C223)</f>
        <v>1</v>
      </c>
      <c r="X223" s="53" t="n">
        <f aca="false">IF(AND(ISNUMBER(P223),Q223&gt;0),P223*365/Q223,"")</f>
        <v>0.0299835295953866</v>
      </c>
      <c r="Y223" s="42" t="n">
        <f aca="false">IF(AND(C224=C223,ISNUMBER(R224)),R224,"")</f>
        <v>0.627031191728111</v>
      </c>
      <c r="Z223" s="52" t="n">
        <f aca="false">IF(AND(W223=1,Q223&gt;Basis_Analysis!$B$3,ISNUMBER(Y223)),1,0)</f>
        <v>1</v>
      </c>
      <c r="AA223" s="43" t="n">
        <f aca="false">IF(W223=1,IF(SUMIFS($L$2:$L$756,$B$2:$B$756,B223,$W$2:$W$756,2)&gt;0,SUMIFS($L$2:$L$756,$B$2:$B$756,B223,$W$2:$W$756,2),""),"")</f>
        <v>1591725</v>
      </c>
      <c r="AB223" s="54" t="n">
        <f aca="false">IF(AND(W223=1,ISNUMBER(AA223)),L223/(L223+AA223),"")</f>
        <v>0.890426306360262</v>
      </c>
    </row>
    <row r="224" customFormat="false" ht="15" hidden="false" customHeight="true" outlineLevel="0" collapsed="false">
      <c r="A224" s="1" t="s">
        <v>274</v>
      </c>
      <c r="B224" s="46" t="n">
        <v>45782</v>
      </c>
      <c r="C224" s="46" t="n">
        <v>45806</v>
      </c>
      <c r="D224" s="47" t="n">
        <v>24481.1</v>
      </c>
      <c r="E224" s="47" t="n">
        <v>24630</v>
      </c>
      <c r="F224" s="47" t="n">
        <v>24471</v>
      </c>
      <c r="G224" s="47" t="n">
        <v>24553.7</v>
      </c>
      <c r="H224" s="47" t="n">
        <v>24567</v>
      </c>
      <c r="I224" s="47" t="n">
        <v>24553.7</v>
      </c>
      <c r="J224" s="48" t="n">
        <v>76211</v>
      </c>
      <c r="K224" s="47" t="n">
        <v>1403274.78</v>
      </c>
      <c r="L224" s="48" t="n">
        <v>13520250</v>
      </c>
      <c r="M224" s="48" t="n">
        <v>585450</v>
      </c>
      <c r="N224" s="47" t="n">
        <v>24461.15</v>
      </c>
      <c r="O224" s="47" t="n">
        <f aca="false">IF(AND(ISNUMBER(G224),ISNUMBER(N224)),G224-N224,"")</f>
        <v>92.5499999999993</v>
      </c>
      <c r="P224" s="49" t="n">
        <f aca="false">IF(ISNUMBER(O224),O224/N224,"")</f>
        <v>0.00378355065072571</v>
      </c>
      <c r="Q224" s="50" t="n">
        <f aca="false">C224-B224</f>
        <v>24</v>
      </c>
      <c r="R224" s="51" t="n">
        <f aca="false">IF(AND(C224=C223,ISNUMBER(G224),ISNUMBER(G223)),(G224/G223-1)*100,"")</f>
        <v>0.627031191728111</v>
      </c>
      <c r="S224" s="51" t="n">
        <f aca="false">IF(AND(C224=C223,ISNUMBER(L224),ISNUMBER(L223)),(L224/L223-1)*100,"")</f>
        <v>4.52616198163094</v>
      </c>
      <c r="T224" s="51" t="n">
        <f aca="false">IF(AND(C224=C223,ISNUMBER(G224),ISNUMBER(G223)),G224-G223,"")</f>
        <v>153</v>
      </c>
      <c r="U224" s="1" t="str">
        <f aca="false">IF(OR(NOT(ISNUMBER(R224)),NOT(ISNUMBER(S224))),"Not classified",IF(AND(R224&gt;0,S224&gt;0),"Long buildup (interpretation)",IF(AND(R224&lt;0,S224&gt;0),"Short buildup (interpretation)",IF(AND(R224&gt;0,S224&lt;0),"Short covering (interpretation)",IF(AND(R224&lt;0,S224&lt;0),"Long unwinding (interpretation)","Neutral")))))</f>
        <v>Long buildup (interpretation)</v>
      </c>
      <c r="V224" s="52" t="str">
        <f aca="false">TEXT(B224,"yyyy-mm")</f>
        <v>2025-05</v>
      </c>
      <c r="W224" s="52" t="n">
        <f aca="false">1+COUNTIFS($B$2:$B$756,B224,$C$2:$C$756,"&lt;"&amp;C224)</f>
        <v>1</v>
      </c>
      <c r="X224" s="53" t="n">
        <f aca="false">IF(AND(ISNUMBER(P224),Q224&gt;0),P224*365/Q224,"")</f>
        <v>0.0575414994797869</v>
      </c>
      <c r="Y224" s="42" t="n">
        <f aca="false">IF(AND(C225=C224,ISNUMBER(R225)),R225,"")</f>
        <v>-0.498091937264034</v>
      </c>
      <c r="Z224" s="52" t="n">
        <f aca="false">IF(AND(W224=1,Q224&gt;Basis_Analysis!$B$3,ISNUMBER(Y224)),1,0)</f>
        <v>1</v>
      </c>
      <c r="AA224" s="43" t="n">
        <f aca="false">IF(W224=1,IF(SUMIFS($L$2:$L$756,$B$2:$B$756,B224,$W$2:$W$756,2)&gt;0,SUMIFS($L$2:$L$756,$B$2:$B$756,B224,$W$2:$W$756,2),""),"")</f>
        <v>1657725</v>
      </c>
      <c r="AB224" s="54" t="n">
        <f aca="false">IF(AND(W224=1,ISNUMBER(AA224)),L224/(L224+AA224),"")</f>
        <v>0.890780884801826</v>
      </c>
    </row>
    <row r="225" customFormat="false" ht="15" hidden="false" customHeight="true" outlineLevel="0" collapsed="false">
      <c r="A225" s="1" t="s">
        <v>274</v>
      </c>
      <c r="B225" s="46" t="n">
        <v>45783</v>
      </c>
      <c r="C225" s="46" t="n">
        <v>45806</v>
      </c>
      <c r="D225" s="47" t="n">
        <v>24574.8</v>
      </c>
      <c r="E225" s="47" t="n">
        <v>24576.8</v>
      </c>
      <c r="F225" s="47" t="n">
        <v>24410</v>
      </c>
      <c r="G225" s="47" t="n">
        <v>24431.4</v>
      </c>
      <c r="H225" s="47" t="n">
        <v>24415</v>
      </c>
      <c r="I225" s="47" t="n">
        <v>24431.4</v>
      </c>
      <c r="J225" s="48" t="n">
        <v>65193</v>
      </c>
      <c r="K225" s="47" t="n">
        <v>1196571.58</v>
      </c>
      <c r="L225" s="48" t="n">
        <v>13527900</v>
      </c>
      <c r="M225" s="48" t="n">
        <v>7650</v>
      </c>
      <c r="N225" s="47" t="n">
        <v>24379.6</v>
      </c>
      <c r="O225" s="47" t="n">
        <f aca="false">IF(AND(ISNUMBER(G225),ISNUMBER(N225)),G225-N225,"")</f>
        <v>51.8000000000029</v>
      </c>
      <c r="P225" s="49" t="n">
        <f aca="false">IF(ISNUMBER(O225),O225/N225,"")</f>
        <v>0.00212472723096371</v>
      </c>
      <c r="Q225" s="50" t="n">
        <f aca="false">C225-B225</f>
        <v>23</v>
      </c>
      <c r="R225" s="51" t="n">
        <f aca="false">IF(AND(C225=C224,ISNUMBER(G225),ISNUMBER(G224)),(G225/G224-1)*100,"")</f>
        <v>-0.498091937264034</v>
      </c>
      <c r="S225" s="51" t="n">
        <f aca="false">IF(AND(C225=C224,ISNUMBER(L225),ISNUMBER(L224)),(L225/L224-1)*100,"")</f>
        <v>0.0565817939756963</v>
      </c>
      <c r="T225" s="51" t="n">
        <f aca="false">IF(AND(C225=C224,ISNUMBER(G225),ISNUMBER(G224)),G225-G224,"")</f>
        <v>-122.299999999999</v>
      </c>
      <c r="U225" s="1" t="str">
        <f aca="false">IF(OR(NOT(ISNUMBER(R225)),NOT(ISNUMBER(S225))),"Not classified",IF(AND(R225&gt;0,S225&gt;0),"Long buildup (interpretation)",IF(AND(R225&lt;0,S225&gt;0),"Short buildup (interpretation)",IF(AND(R225&gt;0,S225&lt;0),"Short covering (interpretation)",IF(AND(R225&lt;0,S225&lt;0),"Long unwinding (interpretation)","Neutral")))))</f>
        <v>Short buildup (interpretation)</v>
      </c>
      <c r="V225" s="52" t="str">
        <f aca="false">TEXT(B225,"yyyy-mm")</f>
        <v>2025-05</v>
      </c>
      <c r="W225" s="52" t="n">
        <f aca="false">1+COUNTIFS($B$2:$B$756,B225,$C$2:$C$756,"&lt;"&amp;C225)</f>
        <v>1</v>
      </c>
      <c r="X225" s="53" t="n">
        <f aca="false">IF(AND(ISNUMBER(P225),Q225&gt;0),P225*365/Q225,"")</f>
        <v>0.0337184973609459</v>
      </c>
      <c r="Y225" s="42" t="n">
        <f aca="false">IF(AND(C226=C225,ISNUMBER(R226)),R226,"")</f>
        <v>0.122792799430238</v>
      </c>
      <c r="Z225" s="52" t="n">
        <f aca="false">IF(AND(W225=1,Q225&gt;Basis_Analysis!$B$3,ISNUMBER(Y225)),1,0)</f>
        <v>1</v>
      </c>
      <c r="AA225" s="43" t="n">
        <f aca="false">IF(W225=1,IF(SUMIFS($L$2:$L$756,$B$2:$B$756,B225,$W$2:$W$756,2)&gt;0,SUMIFS($L$2:$L$756,$B$2:$B$756,B225,$W$2:$W$756,2),""),"")</f>
        <v>1711350</v>
      </c>
      <c r="AB225" s="54" t="n">
        <f aca="false">IF(AND(W225=1,ISNUMBER(AA225)),L225/(L225+AA225),"")</f>
        <v>0.887701166395984</v>
      </c>
    </row>
    <row r="226" customFormat="false" ht="15" hidden="false" customHeight="true" outlineLevel="0" collapsed="false">
      <c r="A226" s="1" t="s">
        <v>274</v>
      </c>
      <c r="B226" s="46" t="n">
        <v>45784</v>
      </c>
      <c r="C226" s="46" t="n">
        <v>45806</v>
      </c>
      <c r="D226" s="47" t="n">
        <v>24343.9</v>
      </c>
      <c r="E226" s="47" t="n">
        <v>24538.5</v>
      </c>
      <c r="F226" s="47" t="n">
        <v>24311</v>
      </c>
      <c r="G226" s="47" t="n">
        <v>24461.4</v>
      </c>
      <c r="H226" s="47" t="n">
        <v>24472</v>
      </c>
      <c r="I226" s="47" t="n">
        <v>24461.4</v>
      </c>
      <c r="J226" s="48" t="n">
        <v>99826</v>
      </c>
      <c r="K226" s="47" t="n">
        <v>1830879.98</v>
      </c>
      <c r="L226" s="48" t="n">
        <v>13159275</v>
      </c>
      <c r="M226" s="48" t="n">
        <v>-368625</v>
      </c>
      <c r="N226" s="47" t="n">
        <v>24414.4</v>
      </c>
      <c r="O226" s="47" t="n">
        <f aca="false">IF(AND(ISNUMBER(G226),ISNUMBER(N226)),G226-N226,"")</f>
        <v>47</v>
      </c>
      <c r="P226" s="49" t="n">
        <f aca="false">IF(ISNUMBER(O226),O226/N226,"")</f>
        <v>0.00192509338750901</v>
      </c>
      <c r="Q226" s="50" t="n">
        <f aca="false">C226-B226</f>
        <v>22</v>
      </c>
      <c r="R226" s="51" t="n">
        <f aca="false">IF(AND(C226=C225,ISNUMBER(G226),ISNUMBER(G225)),(G226/G225-1)*100,"")</f>
        <v>0.122792799430238</v>
      </c>
      <c r="S226" s="51" t="n">
        <f aca="false">IF(AND(C226=C225,ISNUMBER(L226),ISNUMBER(L225)),(L226/L225-1)*100,"")</f>
        <v>-2.72492404586078</v>
      </c>
      <c r="T226" s="51" t="n">
        <f aca="false">IF(AND(C226=C225,ISNUMBER(G226),ISNUMBER(G225)),G226-G225,"")</f>
        <v>30</v>
      </c>
      <c r="U226" s="1" t="str">
        <f aca="false">IF(OR(NOT(ISNUMBER(R226)),NOT(ISNUMBER(S226))),"Not classified",IF(AND(R226&gt;0,S226&gt;0),"Long buildup (interpretation)",IF(AND(R226&lt;0,S226&gt;0),"Short buildup (interpretation)",IF(AND(R226&gt;0,S226&lt;0),"Short covering (interpretation)",IF(AND(R226&lt;0,S226&lt;0),"Long unwinding (interpretation)","Neutral")))))</f>
        <v>Short covering (interpretation)</v>
      </c>
      <c r="V226" s="52" t="str">
        <f aca="false">TEXT(B226,"yyyy-mm")</f>
        <v>2025-05</v>
      </c>
      <c r="W226" s="52" t="n">
        <f aca="false">1+COUNTIFS($B$2:$B$756,B226,$C$2:$C$756,"&lt;"&amp;C226)</f>
        <v>1</v>
      </c>
      <c r="X226" s="53" t="n">
        <f aca="false">IF(AND(ISNUMBER(P226),Q226&gt;0),P226*365/Q226,"")</f>
        <v>0.0319390493836722</v>
      </c>
      <c r="Y226" s="42" t="n">
        <f aca="false">IF(AND(C227=C226,ISNUMBER(R227)),R227,"")</f>
        <v>-0.77468991962848</v>
      </c>
      <c r="Z226" s="52" t="n">
        <f aca="false">IF(AND(W226=1,Q226&gt;Basis_Analysis!$B$3,ISNUMBER(Y226)),1,0)</f>
        <v>1</v>
      </c>
      <c r="AA226" s="43" t="n">
        <f aca="false">IF(W226=1,IF(SUMIFS($L$2:$L$756,$B$2:$B$756,B226,$W$2:$W$756,2)&gt;0,SUMIFS($L$2:$L$756,$B$2:$B$756,B226,$W$2:$W$756,2),""),"")</f>
        <v>1738800</v>
      </c>
      <c r="AB226" s="54" t="n">
        <f aca="false">IF(AND(W226=1,ISNUMBER(AA226)),L226/(L226+AA226),"")</f>
        <v>0.883286934721432</v>
      </c>
    </row>
    <row r="227" customFormat="false" ht="15" hidden="false" customHeight="true" outlineLevel="0" collapsed="false">
      <c r="A227" s="1" t="s">
        <v>274</v>
      </c>
      <c r="B227" s="46" t="n">
        <v>45785</v>
      </c>
      <c r="C227" s="46" t="n">
        <v>45806</v>
      </c>
      <c r="D227" s="47" t="n">
        <v>24489</v>
      </c>
      <c r="E227" s="47" t="n">
        <v>24523.9</v>
      </c>
      <c r="F227" s="47" t="n">
        <v>24194.1</v>
      </c>
      <c r="G227" s="47" t="n">
        <v>24271.9</v>
      </c>
      <c r="H227" s="47" t="n">
        <v>24207.5</v>
      </c>
      <c r="I227" s="47" t="n">
        <v>24271.9</v>
      </c>
      <c r="J227" s="48" t="n">
        <v>113537</v>
      </c>
      <c r="K227" s="47" t="n">
        <v>2074539.41</v>
      </c>
      <c r="L227" s="48" t="n">
        <v>12776925</v>
      </c>
      <c r="M227" s="48" t="n">
        <v>-382350</v>
      </c>
      <c r="N227" s="47" t="n">
        <v>24273.8</v>
      </c>
      <c r="O227" s="47" t="n">
        <f aca="false">IF(AND(ISNUMBER(G227),ISNUMBER(N227)),G227-N227,"")</f>
        <v>-1.89999999999782</v>
      </c>
      <c r="P227" s="49" t="n">
        <f aca="false">IF(ISNUMBER(O227),O227/N227,"")</f>
        <v>-7.82736942710996E-005</v>
      </c>
      <c r="Q227" s="50" t="n">
        <f aca="false">C227-B227</f>
        <v>21</v>
      </c>
      <c r="R227" s="51" t="n">
        <f aca="false">IF(AND(C227=C226,ISNUMBER(G227),ISNUMBER(G226)),(G227/G226-1)*100,"")</f>
        <v>-0.77468991962848</v>
      </c>
      <c r="S227" s="51" t="n">
        <f aca="false">IF(AND(C227=C226,ISNUMBER(L227),ISNUMBER(L226)),(L227/L226-1)*100,"")</f>
        <v>-2.90555520725876</v>
      </c>
      <c r="T227" s="51" t="n">
        <f aca="false">IF(AND(C227=C226,ISNUMBER(G227),ISNUMBER(G226)),G227-G226,"")</f>
        <v>-189.5</v>
      </c>
      <c r="U227" s="1" t="str">
        <f aca="false">IF(OR(NOT(ISNUMBER(R227)),NOT(ISNUMBER(S227))),"Not classified",IF(AND(R227&gt;0,S227&gt;0),"Long buildup (interpretation)",IF(AND(R227&lt;0,S227&gt;0),"Short buildup (interpretation)",IF(AND(R227&gt;0,S227&lt;0),"Short covering (interpretation)",IF(AND(R227&lt;0,S227&lt;0),"Long unwinding (interpretation)","Neutral")))))</f>
        <v>Long unwinding (interpretation)</v>
      </c>
      <c r="V227" s="52" t="str">
        <f aca="false">TEXT(B227,"yyyy-mm")</f>
        <v>2025-05</v>
      </c>
      <c r="W227" s="52" t="n">
        <f aca="false">1+COUNTIFS($B$2:$B$756,B227,$C$2:$C$756,"&lt;"&amp;C227)</f>
        <v>1</v>
      </c>
      <c r="X227" s="53" t="n">
        <f aca="false">IF(AND(ISNUMBER(P227),Q227&gt;0),P227*365/Q227,"")</f>
        <v>-0.00136047135280721</v>
      </c>
      <c r="Y227" s="42" t="n">
        <f aca="false">IF(AND(C228=C227,ISNUMBER(R228)),R228,"")</f>
        <v>-0.850366061165386</v>
      </c>
      <c r="Z227" s="52" t="n">
        <f aca="false">IF(AND(W227=1,Q227&gt;Basis_Analysis!$B$3,ISNUMBER(Y227)),1,0)</f>
        <v>1</v>
      </c>
      <c r="AA227" s="43" t="n">
        <f aca="false">IF(W227=1,IF(SUMIFS($L$2:$L$756,$B$2:$B$756,B227,$W$2:$W$756,2)&gt;0,SUMIFS($L$2:$L$756,$B$2:$B$756,B227,$W$2:$W$756,2),""),"")</f>
        <v>1898850</v>
      </c>
      <c r="AB227" s="54" t="n">
        <f aca="false">IF(AND(W227=1,ISNUMBER(AA227)),L227/(L227+AA227),"")</f>
        <v>0.870613306622649</v>
      </c>
    </row>
    <row r="228" customFormat="false" ht="15" hidden="false" customHeight="true" outlineLevel="0" collapsed="false">
      <c r="A228" s="1" t="s">
        <v>274</v>
      </c>
      <c r="B228" s="46" t="n">
        <v>45786</v>
      </c>
      <c r="C228" s="46" t="n">
        <v>45806</v>
      </c>
      <c r="D228" s="47" t="n">
        <v>24063.4</v>
      </c>
      <c r="E228" s="47" t="n">
        <v>24215</v>
      </c>
      <c r="F228" s="47" t="n">
        <v>23984</v>
      </c>
      <c r="G228" s="47" t="n">
        <v>24065.5</v>
      </c>
      <c r="H228" s="47" t="n">
        <v>24092</v>
      </c>
      <c r="I228" s="47" t="n">
        <v>24065.5</v>
      </c>
      <c r="J228" s="48" t="n">
        <v>150829</v>
      </c>
      <c r="K228" s="47" t="n">
        <v>2725361.74</v>
      </c>
      <c r="L228" s="48" t="n">
        <v>12619800</v>
      </c>
      <c r="M228" s="48" t="n">
        <v>-157125</v>
      </c>
      <c r="N228" s="47" t="n">
        <v>24008</v>
      </c>
      <c r="O228" s="47" t="n">
        <f aca="false">IF(AND(ISNUMBER(G228),ISNUMBER(N228)),G228-N228,"")</f>
        <v>57.5</v>
      </c>
      <c r="P228" s="49" t="n">
        <f aca="false">IF(ISNUMBER(O228),O228/N228,"")</f>
        <v>0.00239503498833722</v>
      </c>
      <c r="Q228" s="50" t="n">
        <f aca="false">C228-B228</f>
        <v>20</v>
      </c>
      <c r="R228" s="51" t="n">
        <f aca="false">IF(AND(C228=C227,ISNUMBER(G228),ISNUMBER(G227)),(G228/G227-1)*100,"")</f>
        <v>-0.850366061165386</v>
      </c>
      <c r="S228" s="51" t="n">
        <f aca="false">IF(AND(C228=C227,ISNUMBER(L228),ISNUMBER(L227)),(L228/L227-1)*100,"")</f>
        <v>-1.22975598588863</v>
      </c>
      <c r="T228" s="51" t="n">
        <f aca="false">IF(AND(C228=C227,ISNUMBER(G228),ISNUMBER(G227)),G228-G227,"")</f>
        <v>-206.400000000001</v>
      </c>
      <c r="U228" s="1" t="str">
        <f aca="false">IF(OR(NOT(ISNUMBER(R228)),NOT(ISNUMBER(S228))),"Not classified",IF(AND(R228&gt;0,S228&gt;0),"Long buildup (interpretation)",IF(AND(R228&lt;0,S228&gt;0),"Short buildup (interpretation)",IF(AND(R228&gt;0,S228&lt;0),"Short covering (interpretation)",IF(AND(R228&lt;0,S228&lt;0),"Long unwinding (interpretation)","Neutral")))))</f>
        <v>Long unwinding (interpretation)</v>
      </c>
      <c r="V228" s="52" t="str">
        <f aca="false">TEXT(B228,"yyyy-mm")</f>
        <v>2025-05</v>
      </c>
      <c r="W228" s="52" t="n">
        <f aca="false">1+COUNTIFS($B$2:$B$756,B228,$C$2:$C$756,"&lt;"&amp;C228)</f>
        <v>1</v>
      </c>
      <c r="X228" s="53" t="n">
        <f aca="false">IF(AND(ISNUMBER(P228),Q228&gt;0),P228*365/Q228,"")</f>
        <v>0.0437093885371543</v>
      </c>
      <c r="Y228" s="42" t="n">
        <f aca="false">IF(AND(C229=C228,ISNUMBER(R229)),R229,"")</f>
        <v>4.06640211090565</v>
      </c>
      <c r="Z228" s="52" t="n">
        <f aca="false">IF(AND(W228=1,Q228&gt;Basis_Analysis!$B$3,ISNUMBER(Y228)),1,0)</f>
        <v>1</v>
      </c>
      <c r="AA228" s="43" t="n">
        <f aca="false">IF(W228=1,IF(SUMIFS($L$2:$L$756,$B$2:$B$756,B228,$W$2:$W$756,2)&gt;0,SUMIFS($L$2:$L$756,$B$2:$B$756,B228,$W$2:$W$756,2),""),"")</f>
        <v>2057625</v>
      </c>
      <c r="AB228" s="54" t="n">
        <f aca="false">IF(AND(W228=1,ISNUMBER(AA228)),L228/(L228+AA228),"")</f>
        <v>0.859810218754312</v>
      </c>
    </row>
    <row r="229" customFormat="false" ht="15" hidden="false" customHeight="true" outlineLevel="0" collapsed="false">
      <c r="A229" s="1" t="s">
        <v>274</v>
      </c>
      <c r="B229" s="46" t="n">
        <v>45789</v>
      </c>
      <c r="C229" s="46" t="n">
        <v>45806</v>
      </c>
      <c r="D229" s="47" t="n">
        <v>24476</v>
      </c>
      <c r="E229" s="47" t="n">
        <v>25069.9</v>
      </c>
      <c r="F229" s="47" t="n">
        <v>24410</v>
      </c>
      <c r="G229" s="47" t="n">
        <v>25044.1</v>
      </c>
      <c r="H229" s="47" t="n">
        <v>25051</v>
      </c>
      <c r="I229" s="47" t="n">
        <v>25044.1</v>
      </c>
      <c r="J229" s="48" t="n">
        <v>156527</v>
      </c>
      <c r="K229" s="47" t="n">
        <v>2910637.4</v>
      </c>
      <c r="L229" s="48" t="n">
        <v>12644025</v>
      </c>
      <c r="M229" s="48" t="n">
        <v>24225</v>
      </c>
      <c r="N229" s="47" t="n">
        <v>24924.7</v>
      </c>
      <c r="O229" s="47" t="n">
        <f aca="false">IF(AND(ISNUMBER(G229),ISNUMBER(N229)),G229-N229,"")</f>
        <v>119.399999999998</v>
      </c>
      <c r="P229" s="49" t="n">
        <f aca="false">IF(ISNUMBER(O229),O229/N229,"")</f>
        <v>0.00479042877145955</v>
      </c>
      <c r="Q229" s="50" t="n">
        <f aca="false">C229-B229</f>
        <v>17</v>
      </c>
      <c r="R229" s="51" t="n">
        <f aca="false">IF(AND(C229=C228,ISNUMBER(G229),ISNUMBER(G228)),(G229/G228-1)*100,"")</f>
        <v>4.06640211090565</v>
      </c>
      <c r="S229" s="51" t="n">
        <f aca="false">IF(AND(C229=C228,ISNUMBER(L229),ISNUMBER(L228)),(L229/L228-1)*100,"")</f>
        <v>0.191960252935863</v>
      </c>
      <c r="T229" s="51" t="n">
        <f aca="false">IF(AND(C229=C228,ISNUMBER(G229),ISNUMBER(G228)),G229-G228,"")</f>
        <v>978.599999999999</v>
      </c>
      <c r="U229" s="1" t="str">
        <f aca="false">IF(OR(NOT(ISNUMBER(R229)),NOT(ISNUMBER(S229))),"Not classified",IF(AND(R229&gt;0,S229&gt;0),"Long buildup (interpretation)",IF(AND(R229&lt;0,S229&gt;0),"Short buildup (interpretation)",IF(AND(R229&gt;0,S229&lt;0),"Short covering (interpretation)",IF(AND(R229&lt;0,S229&lt;0),"Long unwinding (interpretation)","Neutral")))))</f>
        <v>Long buildup (interpretation)</v>
      </c>
      <c r="V229" s="52" t="str">
        <f aca="false">TEXT(B229,"yyyy-mm")</f>
        <v>2025-05</v>
      </c>
      <c r="W229" s="52" t="n">
        <f aca="false">1+COUNTIFS($B$2:$B$756,B229,$C$2:$C$756,"&lt;"&amp;C229)</f>
        <v>1</v>
      </c>
      <c r="X229" s="53" t="n">
        <f aca="false">IF(AND(ISNUMBER(P229),Q229&gt;0),P229*365/Q229,"")</f>
        <v>0.102853323622514</v>
      </c>
      <c r="Y229" s="42" t="n">
        <f aca="false">IF(AND(C230=C229,ISNUMBER(R230)),R230,"")</f>
        <v>-1.61275510000358</v>
      </c>
      <c r="Z229" s="52" t="n">
        <f aca="false">IF(AND(W229=1,Q229&gt;Basis_Analysis!$B$3,ISNUMBER(Y229)),1,0)</f>
        <v>1</v>
      </c>
      <c r="AA229" s="43" t="n">
        <f aca="false">IF(W229=1,IF(SUMIFS($L$2:$L$756,$B$2:$B$756,B229,$W$2:$W$756,2)&gt;0,SUMIFS($L$2:$L$756,$B$2:$B$756,B229,$W$2:$W$756,2),""),"")</f>
        <v>2717475</v>
      </c>
      <c r="AB229" s="54" t="n">
        <f aca="false">IF(AND(W229=1,ISNUMBER(AA229)),L229/(L229+AA229),"")</f>
        <v>0.823098330241187</v>
      </c>
    </row>
    <row r="230" customFormat="false" ht="15" hidden="false" customHeight="true" outlineLevel="0" collapsed="false">
      <c r="A230" s="1" t="s">
        <v>274</v>
      </c>
      <c r="B230" s="46" t="n">
        <v>45790</v>
      </c>
      <c r="C230" s="46" t="n">
        <v>45806</v>
      </c>
      <c r="D230" s="47" t="n">
        <v>24960</v>
      </c>
      <c r="E230" s="47" t="n">
        <v>25044</v>
      </c>
      <c r="F230" s="47" t="n">
        <v>24613.5</v>
      </c>
      <c r="G230" s="47" t="n">
        <v>24640.2</v>
      </c>
      <c r="H230" s="47" t="n">
        <v>24646.7</v>
      </c>
      <c r="I230" s="47" t="n">
        <v>24640.2</v>
      </c>
      <c r="J230" s="48" t="n">
        <v>163428</v>
      </c>
      <c r="K230" s="47" t="n">
        <v>3036984.92</v>
      </c>
      <c r="L230" s="48" t="n">
        <v>12246525</v>
      </c>
      <c r="M230" s="48" t="n">
        <v>-397500</v>
      </c>
      <c r="N230" s="47" t="n">
        <v>24578.35</v>
      </c>
      <c r="O230" s="47" t="n">
        <f aca="false">IF(AND(ISNUMBER(G230),ISNUMBER(N230)),G230-N230,"")</f>
        <v>61.8500000000022</v>
      </c>
      <c r="P230" s="49" t="n">
        <f aca="false">IF(ISNUMBER(O230),O230/N230,"")</f>
        <v>0.00251644231610349</v>
      </c>
      <c r="Q230" s="50" t="n">
        <f aca="false">C230-B230</f>
        <v>16</v>
      </c>
      <c r="R230" s="51" t="n">
        <f aca="false">IF(AND(C230=C229,ISNUMBER(G230),ISNUMBER(G229)),(G230/G229-1)*100,"")</f>
        <v>-1.61275510000358</v>
      </c>
      <c r="S230" s="51" t="n">
        <f aca="false">IF(AND(C230=C229,ISNUMBER(L230),ISNUMBER(L229)),(L230/L229-1)*100,"")</f>
        <v>-3.14377739683368</v>
      </c>
      <c r="T230" s="51" t="n">
        <f aca="false">IF(AND(C230=C229,ISNUMBER(G230),ISNUMBER(G229)),G230-G229,"")</f>
        <v>-403.899999999998</v>
      </c>
      <c r="U230" s="1" t="str">
        <f aca="false">IF(OR(NOT(ISNUMBER(R230)),NOT(ISNUMBER(S230))),"Not classified",IF(AND(R230&gt;0,S230&gt;0),"Long buildup (interpretation)",IF(AND(R230&lt;0,S230&gt;0),"Short buildup (interpretation)",IF(AND(R230&gt;0,S230&lt;0),"Short covering (interpretation)",IF(AND(R230&lt;0,S230&lt;0),"Long unwinding (interpretation)","Neutral")))))</f>
        <v>Long unwinding (interpretation)</v>
      </c>
      <c r="V230" s="52" t="str">
        <f aca="false">TEXT(B230,"yyyy-mm")</f>
        <v>2025-05</v>
      </c>
      <c r="W230" s="52" t="n">
        <f aca="false">1+COUNTIFS($B$2:$B$756,B230,$C$2:$C$756,"&lt;"&amp;C230)</f>
        <v>1</v>
      </c>
      <c r="X230" s="53" t="n">
        <f aca="false">IF(AND(ISNUMBER(P230),Q230&gt;0),P230*365/Q230,"")</f>
        <v>0.0574063403361109</v>
      </c>
      <c r="Y230" s="42" t="n">
        <f aca="false">IF(AND(C231=C230,ISNUMBER(R231)),R231,"")</f>
        <v>0.307221532292767</v>
      </c>
      <c r="Z230" s="52" t="n">
        <f aca="false">IF(AND(W230=1,Q230&gt;Basis_Analysis!$B$3,ISNUMBER(Y230)),1,0)</f>
        <v>1</v>
      </c>
      <c r="AA230" s="43" t="n">
        <f aca="false">IF(W230=1,IF(SUMIFS($L$2:$L$756,$B$2:$B$756,B230,$W$2:$W$756,2)&gt;0,SUMIFS($L$2:$L$756,$B$2:$B$756,B230,$W$2:$W$756,2),""),"")</f>
        <v>2921325</v>
      </c>
      <c r="AB230" s="54" t="n">
        <f aca="false">IF(AND(W230=1,ISNUMBER(AA230)),L230/(L230+AA230),"")</f>
        <v>0.807400191853163</v>
      </c>
    </row>
    <row r="231" customFormat="false" ht="15" hidden="false" customHeight="true" outlineLevel="0" collapsed="false">
      <c r="A231" s="1" t="s">
        <v>274</v>
      </c>
      <c r="B231" s="46" t="n">
        <v>45791</v>
      </c>
      <c r="C231" s="46" t="n">
        <v>45806</v>
      </c>
      <c r="D231" s="47" t="n">
        <v>24670</v>
      </c>
      <c r="E231" s="47" t="n">
        <v>24834.4</v>
      </c>
      <c r="F231" s="47" t="n">
        <v>24572.3</v>
      </c>
      <c r="G231" s="47" t="n">
        <v>24715.9</v>
      </c>
      <c r="H231" s="47" t="n">
        <v>24728</v>
      </c>
      <c r="I231" s="47" t="n">
        <v>24715.9</v>
      </c>
      <c r="J231" s="48" t="n">
        <v>87780</v>
      </c>
      <c r="K231" s="47" t="n">
        <v>1627336.47</v>
      </c>
      <c r="L231" s="48" t="n">
        <v>11632575</v>
      </c>
      <c r="M231" s="48" t="n">
        <v>-613950</v>
      </c>
      <c r="N231" s="47" t="n">
        <v>24666.9</v>
      </c>
      <c r="O231" s="47" t="n">
        <f aca="false">IF(AND(ISNUMBER(G231),ISNUMBER(N231)),G231-N231,"")</f>
        <v>49</v>
      </c>
      <c r="P231" s="49" t="n">
        <f aca="false">IF(ISNUMBER(O231),O231/N231,"")</f>
        <v>0.00198646769557585</v>
      </c>
      <c r="Q231" s="50" t="n">
        <f aca="false">C231-B231</f>
        <v>15</v>
      </c>
      <c r="R231" s="51" t="n">
        <f aca="false">IF(AND(C231=C230,ISNUMBER(G231),ISNUMBER(G230)),(G231/G230-1)*100,"")</f>
        <v>0.307221532292767</v>
      </c>
      <c r="S231" s="51" t="n">
        <f aca="false">IF(AND(C231=C230,ISNUMBER(L231),ISNUMBER(L230)),(L231/L230-1)*100,"")</f>
        <v>-5.01325886322855</v>
      </c>
      <c r="T231" s="51" t="n">
        <f aca="false">IF(AND(C231=C230,ISNUMBER(G231),ISNUMBER(G230)),G231-G230,"")</f>
        <v>75.7000000000007</v>
      </c>
      <c r="U231" s="1" t="str">
        <f aca="false">IF(OR(NOT(ISNUMBER(R231)),NOT(ISNUMBER(S231))),"Not classified",IF(AND(R231&gt;0,S231&gt;0),"Long buildup (interpretation)",IF(AND(R231&lt;0,S231&gt;0),"Short buildup (interpretation)",IF(AND(R231&gt;0,S231&lt;0),"Short covering (interpretation)",IF(AND(R231&lt;0,S231&lt;0),"Long unwinding (interpretation)","Neutral")))))</f>
        <v>Short covering (interpretation)</v>
      </c>
      <c r="V231" s="52" t="str">
        <f aca="false">TEXT(B231,"yyyy-mm")</f>
        <v>2025-05</v>
      </c>
      <c r="W231" s="52" t="n">
        <f aca="false">1+COUNTIFS($B$2:$B$756,B231,$C$2:$C$756,"&lt;"&amp;C231)</f>
        <v>1</v>
      </c>
      <c r="X231" s="53" t="n">
        <f aca="false">IF(AND(ISNUMBER(P231),Q231&gt;0),P231*365/Q231,"")</f>
        <v>0.0483373805923457</v>
      </c>
      <c r="Y231" s="42" t="n">
        <f aca="false">IF(AND(C232=C231,ISNUMBER(R232)),R232,"")</f>
        <v>1.46788099968036</v>
      </c>
      <c r="Z231" s="52" t="n">
        <f aca="false">IF(AND(W231=1,Q231&gt;Basis_Analysis!$B$3,ISNUMBER(Y231)),1,0)</f>
        <v>1</v>
      </c>
      <c r="AA231" s="43" t="n">
        <f aca="false">IF(W231=1,IF(SUMIFS($L$2:$L$756,$B$2:$B$756,B231,$W$2:$W$756,2)&gt;0,SUMIFS($L$2:$L$756,$B$2:$B$756,B231,$W$2:$W$756,2),""),"")</f>
        <v>2991600</v>
      </c>
      <c r="AB231" s="54" t="n">
        <f aca="false">IF(AND(W231=1,ISNUMBER(AA231)),L231/(L231+AA231),"")</f>
        <v>0.795434614260292</v>
      </c>
    </row>
    <row r="232" customFormat="false" ht="15" hidden="false" customHeight="true" outlineLevel="0" collapsed="false">
      <c r="A232" s="1" t="s">
        <v>274</v>
      </c>
      <c r="B232" s="46" t="n">
        <v>45792</v>
      </c>
      <c r="C232" s="46" t="n">
        <v>45806</v>
      </c>
      <c r="D232" s="47" t="n">
        <v>24733.9</v>
      </c>
      <c r="E232" s="47" t="n">
        <v>25144.9</v>
      </c>
      <c r="F232" s="47" t="n">
        <v>24600</v>
      </c>
      <c r="G232" s="47" t="n">
        <v>25078.7</v>
      </c>
      <c r="H232" s="47" t="n">
        <v>25075</v>
      </c>
      <c r="I232" s="47" t="n">
        <v>25078.7</v>
      </c>
      <c r="J232" s="48" t="n">
        <v>186214</v>
      </c>
      <c r="K232" s="47" t="n">
        <v>3477416.13</v>
      </c>
      <c r="L232" s="48" t="n">
        <v>12191025</v>
      </c>
      <c r="M232" s="48" t="n">
        <v>558450</v>
      </c>
      <c r="N232" s="47" t="n">
        <v>25062.1</v>
      </c>
      <c r="O232" s="47" t="n">
        <f aca="false">IF(AND(ISNUMBER(G232),ISNUMBER(N232)),G232-N232,"")</f>
        <v>16.6000000000022</v>
      </c>
      <c r="P232" s="49" t="n">
        <f aca="false">IF(ISNUMBER(O232),O232/N232,"")</f>
        <v>0.000662354710898216</v>
      </c>
      <c r="Q232" s="50" t="n">
        <f aca="false">C232-B232</f>
        <v>14</v>
      </c>
      <c r="R232" s="51" t="n">
        <f aca="false">IF(AND(C232=C231,ISNUMBER(G232),ISNUMBER(G231)),(G232/G231-1)*100,"")</f>
        <v>1.46788099968036</v>
      </c>
      <c r="S232" s="51" t="n">
        <f aca="false">IF(AND(C232=C231,ISNUMBER(L232),ISNUMBER(L231)),(L232/L231-1)*100,"")</f>
        <v>4.80074274182629</v>
      </c>
      <c r="T232" s="51" t="n">
        <f aca="false">IF(AND(C232=C231,ISNUMBER(G232),ISNUMBER(G231)),G232-G231,"")</f>
        <v>362.799999999999</v>
      </c>
      <c r="U232" s="1" t="str">
        <f aca="false">IF(OR(NOT(ISNUMBER(R232)),NOT(ISNUMBER(S232))),"Not classified",IF(AND(R232&gt;0,S232&gt;0),"Long buildup (interpretation)",IF(AND(R232&lt;0,S232&gt;0),"Short buildup (interpretation)",IF(AND(R232&gt;0,S232&lt;0),"Short covering (interpretation)",IF(AND(R232&lt;0,S232&lt;0),"Long unwinding (interpretation)","Neutral")))))</f>
        <v>Long buildup (interpretation)</v>
      </c>
      <c r="V232" s="52" t="str">
        <f aca="false">TEXT(B232,"yyyy-mm")</f>
        <v>2025-05</v>
      </c>
      <c r="W232" s="52" t="n">
        <f aca="false">1+COUNTIFS($B$2:$B$756,B232,$C$2:$C$756,"&lt;"&amp;C232)</f>
        <v>1</v>
      </c>
      <c r="X232" s="53" t="n">
        <f aca="false">IF(AND(ISNUMBER(P232),Q232&gt;0),P232*365/Q232,"")</f>
        <v>0.0172685335341321</v>
      </c>
      <c r="Y232" s="42" t="n">
        <f aca="false">IF(AND(C233=C232,ISNUMBER(R233)),R233,"")</f>
        <v>0</v>
      </c>
      <c r="Z232" s="52" t="n">
        <f aca="false">IF(AND(W232=1,Q232&gt;Basis_Analysis!$B$3,ISNUMBER(Y232)),1,0)</f>
        <v>1</v>
      </c>
      <c r="AA232" s="43" t="n">
        <f aca="false">IF(W232=1,IF(SUMIFS($L$2:$L$756,$B$2:$B$756,B232,$W$2:$W$756,2)&gt;0,SUMIFS($L$2:$L$756,$B$2:$B$756,B232,$W$2:$W$756,2),""),"")</f>
        <v>3400800</v>
      </c>
      <c r="AB232" s="54" t="n">
        <f aca="false">IF(AND(W232=1,ISNUMBER(AA232)),L232/(L232+AA232),"")</f>
        <v>0.781885699717641</v>
      </c>
    </row>
    <row r="233" customFormat="false" ht="15" hidden="false" customHeight="true" outlineLevel="0" collapsed="false">
      <c r="A233" s="1" t="s">
        <v>274</v>
      </c>
      <c r="B233" s="46" t="n">
        <v>45793</v>
      </c>
      <c r="C233" s="46" t="n">
        <v>45806</v>
      </c>
      <c r="D233" s="47" t="n">
        <v>25126.1</v>
      </c>
      <c r="E233" s="47" t="n">
        <v>25149</v>
      </c>
      <c r="F233" s="47" t="n">
        <v>25006</v>
      </c>
      <c r="G233" s="47" t="n">
        <v>25078.7</v>
      </c>
      <c r="H233" s="47" t="n">
        <v>25081.9</v>
      </c>
      <c r="I233" s="47" t="n">
        <v>25078.7</v>
      </c>
      <c r="J233" s="48" t="n">
        <v>62198</v>
      </c>
      <c r="K233" s="47" t="n">
        <v>1169354.06</v>
      </c>
      <c r="L233" s="48" t="n">
        <v>11973975</v>
      </c>
      <c r="M233" s="48" t="n">
        <v>-217050</v>
      </c>
      <c r="N233" s="47" t="n">
        <v>25019.8</v>
      </c>
      <c r="O233" s="47" t="n">
        <f aca="false">IF(AND(ISNUMBER(G233),ISNUMBER(N233)),G233-N233,"")</f>
        <v>58.9000000000015</v>
      </c>
      <c r="P233" s="49" t="n">
        <f aca="false">IF(ISNUMBER(O233),O233/N233,"")</f>
        <v>0.00235413552466452</v>
      </c>
      <c r="Q233" s="50" t="n">
        <f aca="false">C233-B233</f>
        <v>13</v>
      </c>
      <c r="R233" s="51" t="n">
        <f aca="false">IF(AND(C233=C232,ISNUMBER(G233),ISNUMBER(G232)),(G233/G232-1)*100,"")</f>
        <v>0</v>
      </c>
      <c r="S233" s="51" t="n">
        <f aca="false">IF(AND(C233=C232,ISNUMBER(L233),ISNUMBER(L232)),(L233/L232-1)*100,"")</f>
        <v>-1.78040812811064</v>
      </c>
      <c r="T233" s="51" t="n">
        <f aca="false">IF(AND(C233=C232,ISNUMBER(G233),ISNUMBER(G232)),G233-G232,"")</f>
        <v>0</v>
      </c>
      <c r="U233" s="1" t="str">
        <f aca="false">IF(OR(NOT(ISNUMBER(R233)),NOT(ISNUMBER(S233))),"Not classified",IF(AND(R233&gt;0,S233&gt;0),"Long buildup (interpretation)",IF(AND(R233&lt;0,S233&gt;0),"Short buildup (interpretation)",IF(AND(R233&gt;0,S233&lt;0),"Short covering (interpretation)",IF(AND(R233&lt;0,S233&lt;0),"Long unwinding (interpretation)","Neutral")))))</f>
        <v>Neutral</v>
      </c>
      <c r="V233" s="52" t="str">
        <f aca="false">TEXT(B233,"yyyy-mm")</f>
        <v>2025-05</v>
      </c>
      <c r="W233" s="52" t="n">
        <f aca="false">1+COUNTIFS($B$2:$B$756,B233,$C$2:$C$756,"&lt;"&amp;C233)</f>
        <v>1</v>
      </c>
      <c r="X233" s="53" t="n">
        <f aca="false">IF(AND(ISNUMBER(P233),Q233&gt;0),P233*365/Q233,"")</f>
        <v>0.0660968820386578</v>
      </c>
      <c r="Y233" s="42" t="n">
        <f aca="false">IF(AND(C234=C233,ISNUMBER(R234)),R234,"")</f>
        <v>-0.407915880807219</v>
      </c>
      <c r="Z233" s="52" t="n">
        <f aca="false">IF(AND(W233=1,Q233&gt;Basis_Analysis!$B$3,ISNUMBER(Y233)),1,0)</f>
        <v>1</v>
      </c>
      <c r="AA233" s="43" t="n">
        <f aca="false">IF(W233=1,IF(SUMIFS($L$2:$L$756,$B$2:$B$756,B233,$W$2:$W$756,2)&gt;0,SUMIFS($L$2:$L$756,$B$2:$B$756,B233,$W$2:$W$756,2),""),"")</f>
        <v>3611400</v>
      </c>
      <c r="AB233" s="54" t="n">
        <f aca="false">IF(AND(W233=1,ISNUMBER(AA233)),L233/(L233+AA233),"")</f>
        <v>0.768282765092274</v>
      </c>
    </row>
    <row r="234" customFormat="false" ht="15" hidden="false" customHeight="true" outlineLevel="0" collapsed="false">
      <c r="A234" s="1" t="s">
        <v>274</v>
      </c>
      <c r="B234" s="46" t="n">
        <v>45796</v>
      </c>
      <c r="C234" s="46" t="n">
        <v>45806</v>
      </c>
      <c r="D234" s="47" t="n">
        <v>25060.1</v>
      </c>
      <c r="E234" s="47" t="n">
        <v>25117.2</v>
      </c>
      <c r="F234" s="47" t="n">
        <v>24952.7</v>
      </c>
      <c r="G234" s="47" t="n">
        <v>24976.4</v>
      </c>
      <c r="H234" s="47" t="n">
        <v>24965</v>
      </c>
      <c r="I234" s="47" t="n">
        <v>24976.4</v>
      </c>
      <c r="J234" s="48" t="n">
        <v>52956</v>
      </c>
      <c r="K234" s="47" t="n">
        <v>994256.3</v>
      </c>
      <c r="L234" s="48" t="n">
        <v>11775375</v>
      </c>
      <c r="M234" s="48" t="n">
        <v>-198600</v>
      </c>
      <c r="N234" s="47" t="n">
        <v>24945.45</v>
      </c>
      <c r="O234" s="47" t="n">
        <f aca="false">IF(AND(ISNUMBER(G234),ISNUMBER(N234)),G234-N234,"")</f>
        <v>30.9500000000007</v>
      </c>
      <c r="P234" s="49" t="n">
        <f aca="false">IF(ISNUMBER(O234),O234/N234,"")</f>
        <v>0.00124070722316097</v>
      </c>
      <c r="Q234" s="50" t="n">
        <f aca="false">C234-B234</f>
        <v>10</v>
      </c>
      <c r="R234" s="51" t="n">
        <f aca="false">IF(AND(C234=C233,ISNUMBER(G234),ISNUMBER(G233)),(G234/G233-1)*100,"")</f>
        <v>-0.407915880807219</v>
      </c>
      <c r="S234" s="51" t="n">
        <f aca="false">IF(AND(C234=C233,ISNUMBER(L234),ISNUMBER(L233)),(L234/L233-1)*100,"")</f>
        <v>-1.65859708242251</v>
      </c>
      <c r="T234" s="51" t="n">
        <f aca="false">IF(AND(C234=C233,ISNUMBER(G234),ISNUMBER(G233)),G234-G233,"")</f>
        <v>-102.299999999999</v>
      </c>
      <c r="U234" s="1" t="str">
        <f aca="false">IF(OR(NOT(ISNUMBER(R234)),NOT(ISNUMBER(S234))),"Not classified",IF(AND(R234&gt;0,S234&gt;0),"Long buildup (interpretation)",IF(AND(R234&lt;0,S234&gt;0),"Short buildup (interpretation)",IF(AND(R234&gt;0,S234&lt;0),"Short covering (interpretation)",IF(AND(R234&lt;0,S234&lt;0),"Long unwinding (interpretation)","Neutral")))))</f>
        <v>Long unwinding (interpretation)</v>
      </c>
      <c r="V234" s="52" t="str">
        <f aca="false">TEXT(B234,"yyyy-mm")</f>
        <v>2025-05</v>
      </c>
      <c r="W234" s="52" t="n">
        <f aca="false">1+COUNTIFS($B$2:$B$756,B234,$C$2:$C$756,"&lt;"&amp;C234)</f>
        <v>1</v>
      </c>
      <c r="X234" s="53" t="n">
        <f aca="false">IF(AND(ISNUMBER(P234),Q234&gt;0),P234*365/Q234,"")</f>
        <v>0.0452858136453753</v>
      </c>
      <c r="Y234" s="42" t="n">
        <f aca="false">IF(AND(C235=C234,ISNUMBER(R235)),R235,"")</f>
        <v>-0.807962716804678</v>
      </c>
      <c r="Z234" s="52" t="n">
        <f aca="false">IF(AND(W234=1,Q234&gt;Basis_Analysis!$B$3,ISNUMBER(Y234)),1,0)</f>
        <v>1</v>
      </c>
      <c r="AA234" s="43" t="n">
        <f aca="false">IF(W234=1,IF(SUMIFS($L$2:$L$756,$B$2:$B$756,B234,$W$2:$W$756,2)&gt;0,SUMIFS($L$2:$L$756,$B$2:$B$756,B234,$W$2:$W$756,2),""),"")</f>
        <v>3729150</v>
      </c>
      <c r="AB234" s="54" t="n">
        <f aca="false">IF(AND(W234=1,ISNUMBER(AA234)),L234/(L234+AA234),"")</f>
        <v>0.759479893772947</v>
      </c>
    </row>
    <row r="235" customFormat="false" ht="15" hidden="false" customHeight="true" outlineLevel="0" collapsed="false">
      <c r="A235" s="1" t="s">
        <v>274</v>
      </c>
      <c r="B235" s="46" t="n">
        <v>45797</v>
      </c>
      <c r="C235" s="46" t="n">
        <v>45806</v>
      </c>
      <c r="D235" s="47" t="n">
        <v>25040.2</v>
      </c>
      <c r="E235" s="47" t="n">
        <v>25059.9</v>
      </c>
      <c r="F235" s="47" t="n">
        <v>24745</v>
      </c>
      <c r="G235" s="47" t="n">
        <v>24774.6</v>
      </c>
      <c r="H235" s="47" t="n">
        <v>24782</v>
      </c>
      <c r="I235" s="47" t="n">
        <v>24774.6</v>
      </c>
      <c r="J235" s="48" t="n">
        <v>96523</v>
      </c>
      <c r="K235" s="47" t="n">
        <v>1800846.85</v>
      </c>
      <c r="L235" s="48" t="n">
        <v>11175975</v>
      </c>
      <c r="M235" s="48" t="n">
        <v>-599400</v>
      </c>
      <c r="N235" s="47" t="n">
        <v>24683.9</v>
      </c>
      <c r="O235" s="47" t="n">
        <f aca="false">IF(AND(ISNUMBER(G235),ISNUMBER(N235)),G235-N235,"")</f>
        <v>90.6999999999971</v>
      </c>
      <c r="P235" s="49" t="n">
        <f aca="false">IF(ISNUMBER(O235),O235/N235,"")</f>
        <v>0.0036744598706038</v>
      </c>
      <c r="Q235" s="50" t="n">
        <f aca="false">C235-B235</f>
        <v>9</v>
      </c>
      <c r="R235" s="51" t="n">
        <f aca="false">IF(AND(C235=C234,ISNUMBER(G235),ISNUMBER(G234)),(G235/G234-1)*100,"")</f>
        <v>-0.807962716804678</v>
      </c>
      <c r="S235" s="51" t="n">
        <f aca="false">IF(AND(C235=C234,ISNUMBER(L235),ISNUMBER(L234)),(L235/L234-1)*100,"")</f>
        <v>-5.0902837489252</v>
      </c>
      <c r="T235" s="51" t="n">
        <f aca="false">IF(AND(C235=C234,ISNUMBER(G235),ISNUMBER(G234)),G235-G234,"")</f>
        <v>-201.800000000003</v>
      </c>
      <c r="U235" s="1" t="str">
        <f aca="false">IF(OR(NOT(ISNUMBER(R235)),NOT(ISNUMBER(S235))),"Not classified",IF(AND(R235&gt;0,S235&gt;0),"Long buildup (interpretation)",IF(AND(R235&lt;0,S235&gt;0),"Short buildup (interpretation)",IF(AND(R235&gt;0,S235&lt;0),"Short covering (interpretation)",IF(AND(R235&lt;0,S235&lt;0),"Long unwinding (interpretation)","Neutral")))))</f>
        <v>Long unwinding (interpretation)</v>
      </c>
      <c r="V235" s="52" t="str">
        <f aca="false">TEXT(B235,"yyyy-mm")</f>
        <v>2025-05</v>
      </c>
      <c r="W235" s="52" t="n">
        <f aca="false">1+COUNTIFS($B$2:$B$756,B235,$C$2:$C$756,"&lt;"&amp;C235)</f>
        <v>1</v>
      </c>
      <c r="X235" s="53" t="n">
        <f aca="false">IF(AND(ISNUMBER(P235),Q235&gt;0),P235*365/Q235,"")</f>
        <v>0.149019761418932</v>
      </c>
      <c r="Y235" s="42" t="n">
        <f aca="false">IF(AND(C236=C235,ISNUMBER(R236)),R236,"")</f>
        <v>0.232496185609454</v>
      </c>
      <c r="Z235" s="52" t="n">
        <f aca="false">IF(AND(W235=1,Q235&gt;Basis_Analysis!$B$3,ISNUMBER(Y235)),1,0)</f>
        <v>1</v>
      </c>
      <c r="AA235" s="43" t="n">
        <f aca="false">IF(W235=1,IF(SUMIFS($L$2:$L$756,$B$2:$B$756,B235,$W$2:$W$756,2)&gt;0,SUMIFS($L$2:$L$756,$B$2:$B$756,B235,$W$2:$W$756,2),""),"")</f>
        <v>5784750</v>
      </c>
      <c r="AB235" s="54" t="n">
        <f aca="false">IF(AND(W235=1,ISNUMBER(AA235)),L235/(L235+AA235),"")</f>
        <v>0.658932622278824</v>
      </c>
    </row>
    <row r="236" customFormat="false" ht="15" hidden="false" customHeight="true" outlineLevel="0" collapsed="false">
      <c r="A236" s="1" t="s">
        <v>274</v>
      </c>
      <c r="B236" s="46" t="n">
        <v>45798</v>
      </c>
      <c r="C236" s="46" t="n">
        <v>45806</v>
      </c>
      <c r="D236" s="47" t="n">
        <v>24755.3</v>
      </c>
      <c r="E236" s="47" t="n">
        <v>25019</v>
      </c>
      <c r="F236" s="47" t="n">
        <v>24720</v>
      </c>
      <c r="G236" s="47" t="n">
        <v>24832.2</v>
      </c>
      <c r="H236" s="47" t="n">
        <v>24817.3</v>
      </c>
      <c r="I236" s="47" t="n">
        <v>24832.2</v>
      </c>
      <c r="J236" s="48" t="n">
        <v>104176</v>
      </c>
      <c r="K236" s="47" t="n">
        <v>1942324.4</v>
      </c>
      <c r="L236" s="48" t="n">
        <v>10785750</v>
      </c>
      <c r="M236" s="48" t="n">
        <v>-390225</v>
      </c>
      <c r="N236" s="47" t="n">
        <v>24813.45</v>
      </c>
      <c r="O236" s="47" t="n">
        <f aca="false">IF(AND(ISNUMBER(G236),ISNUMBER(N236)),G236-N236,"")</f>
        <v>18.75</v>
      </c>
      <c r="P236" s="49" t="n">
        <f aca="false">IF(ISNUMBER(O236),O236/N236,"")</f>
        <v>0.000755638575047001</v>
      </c>
      <c r="Q236" s="50" t="n">
        <f aca="false">C236-B236</f>
        <v>8</v>
      </c>
      <c r="R236" s="51" t="n">
        <f aca="false">IF(AND(C236=C235,ISNUMBER(G236),ISNUMBER(G235)),(G236/G235-1)*100,"")</f>
        <v>0.232496185609454</v>
      </c>
      <c r="S236" s="51" t="n">
        <f aca="false">IF(AND(C236=C235,ISNUMBER(L236),ISNUMBER(L235)),(L236/L235-1)*100,"")</f>
        <v>-3.49164166884769</v>
      </c>
      <c r="T236" s="51" t="n">
        <f aca="false">IF(AND(C236=C235,ISNUMBER(G236),ISNUMBER(G235)),G236-G235,"")</f>
        <v>57.6000000000022</v>
      </c>
      <c r="U236" s="1" t="str">
        <f aca="false">IF(OR(NOT(ISNUMBER(R236)),NOT(ISNUMBER(S236))),"Not classified",IF(AND(R236&gt;0,S236&gt;0),"Long buildup (interpretation)",IF(AND(R236&lt;0,S236&gt;0),"Short buildup (interpretation)",IF(AND(R236&gt;0,S236&lt;0),"Short covering (interpretation)",IF(AND(R236&lt;0,S236&lt;0),"Long unwinding (interpretation)","Neutral")))))</f>
        <v>Short covering (interpretation)</v>
      </c>
      <c r="V236" s="52" t="str">
        <f aca="false">TEXT(B236,"yyyy-mm")</f>
        <v>2025-05</v>
      </c>
      <c r="W236" s="52" t="n">
        <f aca="false">1+COUNTIFS($B$2:$B$756,B236,$C$2:$C$756,"&lt;"&amp;C236)</f>
        <v>1</v>
      </c>
      <c r="X236" s="53" t="n">
        <f aca="false">IF(AND(ISNUMBER(P236),Q236&gt;0),P236*365/Q236,"")</f>
        <v>0.0344760099865194</v>
      </c>
      <c r="Y236" s="42" t="n">
        <f aca="false">IF(AND(C237=C236,ISNUMBER(R237)),R237,"")</f>
        <v>-0.724865295865851</v>
      </c>
      <c r="Z236" s="52" t="n">
        <f aca="false">IF(AND(W236=1,Q236&gt;Basis_Analysis!$B$3,ISNUMBER(Y236)),1,0)</f>
        <v>1</v>
      </c>
      <c r="AA236" s="43" t="n">
        <f aca="false">IF(W236=1,IF(SUMIFS($L$2:$L$756,$B$2:$B$756,B236,$W$2:$W$756,2)&gt;0,SUMIFS($L$2:$L$756,$B$2:$B$756,B236,$W$2:$W$756,2),""),"")</f>
        <v>7192725</v>
      </c>
      <c r="AB236" s="54" t="n">
        <f aca="false">IF(AND(W236=1,ISNUMBER(AA236)),L236/(L236+AA236),"")</f>
        <v>0.599925744536175</v>
      </c>
    </row>
    <row r="237" customFormat="false" ht="15" hidden="false" customHeight="true" outlineLevel="0" collapsed="false">
      <c r="A237" s="1" t="s">
        <v>274</v>
      </c>
      <c r="B237" s="46" t="n">
        <v>45799</v>
      </c>
      <c r="C237" s="46" t="n">
        <v>45806</v>
      </c>
      <c r="D237" s="47" t="n">
        <v>24778</v>
      </c>
      <c r="E237" s="47" t="n">
        <v>24792.9</v>
      </c>
      <c r="F237" s="47" t="n">
        <v>24515</v>
      </c>
      <c r="G237" s="47" t="n">
        <v>24652.2</v>
      </c>
      <c r="H237" s="47" t="n">
        <v>24665.1</v>
      </c>
      <c r="I237" s="47" t="n">
        <v>24652.2</v>
      </c>
      <c r="J237" s="48" t="n">
        <v>113872</v>
      </c>
      <c r="K237" s="47" t="n">
        <v>2102988.25</v>
      </c>
      <c r="L237" s="48" t="n">
        <v>10423125</v>
      </c>
      <c r="M237" s="48" t="n">
        <v>-362625</v>
      </c>
      <c r="N237" s="47" t="n">
        <v>24609.7</v>
      </c>
      <c r="O237" s="47" t="n">
        <f aca="false">IF(AND(ISNUMBER(G237),ISNUMBER(N237)),G237-N237,"")</f>
        <v>42.5</v>
      </c>
      <c r="P237" s="49" t="n">
        <f aca="false">IF(ISNUMBER(O237),O237/N237,"")</f>
        <v>0.00172696132012987</v>
      </c>
      <c r="Q237" s="50" t="n">
        <f aca="false">C237-B237</f>
        <v>7</v>
      </c>
      <c r="R237" s="51" t="n">
        <f aca="false">IF(AND(C237=C236,ISNUMBER(G237),ISNUMBER(G236)),(G237/G236-1)*100,"")</f>
        <v>-0.724865295865851</v>
      </c>
      <c r="S237" s="51" t="n">
        <f aca="false">IF(AND(C237=C236,ISNUMBER(L237),ISNUMBER(L236)),(L237/L236-1)*100,"")</f>
        <v>-3.36207496001669</v>
      </c>
      <c r="T237" s="51" t="n">
        <f aca="false">IF(AND(C237=C236,ISNUMBER(G237),ISNUMBER(G236)),G237-G236,"")</f>
        <v>-180</v>
      </c>
      <c r="U237" s="1" t="str">
        <f aca="false">IF(OR(NOT(ISNUMBER(R237)),NOT(ISNUMBER(S237))),"Not classified",IF(AND(R237&gt;0,S237&gt;0),"Long buildup (interpretation)",IF(AND(R237&lt;0,S237&gt;0),"Short buildup (interpretation)",IF(AND(R237&gt;0,S237&lt;0),"Short covering (interpretation)",IF(AND(R237&lt;0,S237&lt;0),"Long unwinding (interpretation)","Neutral")))))</f>
        <v>Long unwinding (interpretation)</v>
      </c>
      <c r="V237" s="52" t="str">
        <f aca="false">TEXT(B237,"yyyy-mm")</f>
        <v>2025-05</v>
      </c>
      <c r="W237" s="52" t="n">
        <f aca="false">1+COUNTIFS($B$2:$B$756,B237,$C$2:$C$756,"&lt;"&amp;C237)</f>
        <v>1</v>
      </c>
      <c r="X237" s="53" t="n">
        <f aca="false">IF(AND(ISNUMBER(P237),Q237&gt;0),P237*365/Q237,"")</f>
        <v>0.0900486974067717</v>
      </c>
      <c r="Y237" s="42" t="n">
        <f aca="false">IF(AND(C238=C237,ISNUMBER(R238)),R238,"")</f>
        <v>0.923649816243577</v>
      </c>
      <c r="Z237" s="52" t="n">
        <f aca="false">IF(AND(W237=1,Q237&gt;Basis_Analysis!$B$3,ISNUMBER(Y237)),1,0)</f>
        <v>1</v>
      </c>
      <c r="AA237" s="43" t="n">
        <f aca="false">IF(W237=1,IF(SUMIFS($L$2:$L$756,$B$2:$B$756,B237,$W$2:$W$756,2)&gt;0,SUMIFS($L$2:$L$756,$B$2:$B$756,B237,$W$2:$W$756,2),""),"")</f>
        <v>7801050</v>
      </c>
      <c r="AB237" s="54" t="n">
        <f aca="false">IF(AND(W237=1,ISNUMBER(AA237)),L237/(L237+AA237),"")</f>
        <v>0.571939470511011</v>
      </c>
    </row>
    <row r="238" customFormat="false" ht="15" hidden="false" customHeight="true" outlineLevel="0" collapsed="false">
      <c r="A238" s="1" t="s">
        <v>274</v>
      </c>
      <c r="B238" s="46" t="n">
        <v>45800</v>
      </c>
      <c r="C238" s="46" t="n">
        <v>45806</v>
      </c>
      <c r="D238" s="47" t="n">
        <v>24656.5</v>
      </c>
      <c r="E238" s="47" t="n">
        <v>24961.7</v>
      </c>
      <c r="F238" s="47" t="n">
        <v>24634.9</v>
      </c>
      <c r="G238" s="47" t="n">
        <v>24879.9</v>
      </c>
      <c r="H238" s="47" t="n">
        <v>24890</v>
      </c>
      <c r="I238" s="47" t="n">
        <v>24879.9</v>
      </c>
      <c r="J238" s="48" t="n">
        <v>95920</v>
      </c>
      <c r="K238" s="47" t="n">
        <v>1788077.18</v>
      </c>
      <c r="L238" s="48" t="n">
        <v>10398000</v>
      </c>
      <c r="M238" s="48" t="n">
        <v>-25125</v>
      </c>
      <c r="N238" s="47" t="n">
        <v>24853.15</v>
      </c>
      <c r="O238" s="47" t="n">
        <f aca="false">IF(AND(ISNUMBER(G238),ISNUMBER(N238)),G238-N238,"")</f>
        <v>26.75</v>
      </c>
      <c r="P238" s="49" t="n">
        <f aca="false">IF(ISNUMBER(O238),O238/N238,"")</f>
        <v>0.00107632231729177</v>
      </c>
      <c r="Q238" s="50" t="n">
        <f aca="false">C238-B238</f>
        <v>6</v>
      </c>
      <c r="R238" s="51" t="n">
        <f aca="false">IF(AND(C238=C237,ISNUMBER(G238),ISNUMBER(G237)),(G238/G237-1)*100,"")</f>
        <v>0.923649816243577</v>
      </c>
      <c r="S238" s="51" t="n">
        <f aca="false">IF(AND(C238=C237,ISNUMBER(L238),ISNUMBER(L237)),(L238/L237-1)*100,"")</f>
        <v>-0.241050548659827</v>
      </c>
      <c r="T238" s="51" t="n">
        <f aca="false">IF(AND(C238=C237,ISNUMBER(G238),ISNUMBER(G237)),G238-G237,"")</f>
        <v>227.700000000001</v>
      </c>
      <c r="U238" s="1" t="str">
        <f aca="false">IF(OR(NOT(ISNUMBER(R238)),NOT(ISNUMBER(S238))),"Not classified",IF(AND(R238&gt;0,S238&gt;0),"Long buildup (interpretation)",IF(AND(R238&lt;0,S238&gt;0),"Short buildup (interpretation)",IF(AND(R238&gt;0,S238&lt;0),"Short covering (interpretation)",IF(AND(R238&lt;0,S238&lt;0),"Long unwinding (interpretation)","Neutral")))))</f>
        <v>Short covering (interpretation)</v>
      </c>
      <c r="V238" s="52" t="str">
        <f aca="false">TEXT(B238,"yyyy-mm")</f>
        <v>2025-05</v>
      </c>
      <c r="W238" s="52" t="n">
        <f aca="false">1+COUNTIFS($B$2:$B$756,B238,$C$2:$C$756,"&lt;"&amp;C238)</f>
        <v>1</v>
      </c>
      <c r="X238" s="53" t="n">
        <f aca="false">IF(AND(ISNUMBER(P238),Q238&gt;0),P238*365/Q238,"")</f>
        <v>0.0654762743019161</v>
      </c>
      <c r="Y238" s="42" t="n">
        <f aca="false">IF(AND(C239=C238,ISNUMBER(R239)),R239,"")</f>
        <v>0.627012166447605</v>
      </c>
      <c r="Z238" s="52" t="n">
        <f aca="false">IF(AND(W238=1,Q238&gt;Basis_Analysis!$B$3,ISNUMBER(Y238)),1,0)</f>
        <v>1</v>
      </c>
      <c r="AA238" s="43" t="n">
        <f aca="false">IF(W238=1,IF(SUMIFS($L$2:$L$756,$B$2:$B$756,B238,$W$2:$W$756,2)&gt;0,SUMIFS($L$2:$L$756,$B$2:$B$756,B238,$W$2:$W$756,2),""),"")</f>
        <v>8199150</v>
      </c>
      <c r="AB238" s="54" t="n">
        <f aca="false">IF(AND(W238=1,ISNUMBER(AA238)),L238/(L238+AA238),"")</f>
        <v>0.559117929360144</v>
      </c>
    </row>
    <row r="239" customFormat="false" ht="15" hidden="false" customHeight="true" outlineLevel="0" collapsed="false">
      <c r="A239" s="1" t="s">
        <v>274</v>
      </c>
      <c r="B239" s="46" t="n">
        <v>45803</v>
      </c>
      <c r="C239" s="46" t="n">
        <v>45806</v>
      </c>
      <c r="D239" s="47" t="n">
        <v>24950</v>
      </c>
      <c r="E239" s="47" t="n">
        <v>25123.9</v>
      </c>
      <c r="F239" s="47" t="n">
        <v>24935.2</v>
      </c>
      <c r="G239" s="47" t="n">
        <v>25035.9</v>
      </c>
      <c r="H239" s="47" t="n">
        <v>25035</v>
      </c>
      <c r="I239" s="47" t="n">
        <v>25035.9</v>
      </c>
      <c r="J239" s="48" t="n">
        <v>75338</v>
      </c>
      <c r="K239" s="47" t="n">
        <v>1414463.93</v>
      </c>
      <c r="L239" s="48" t="n">
        <v>9418875</v>
      </c>
      <c r="M239" s="48" t="n">
        <v>-979125</v>
      </c>
      <c r="N239" s="47" t="n">
        <v>25001.15</v>
      </c>
      <c r="O239" s="47" t="n">
        <f aca="false">IF(AND(ISNUMBER(G239),ISNUMBER(N239)),G239-N239,"")</f>
        <v>34.75</v>
      </c>
      <c r="P239" s="49" t="n">
        <f aca="false">IF(ISNUMBER(O239),O239/N239,"")</f>
        <v>0.0013899360629411</v>
      </c>
      <c r="Q239" s="50" t="n">
        <f aca="false">C239-B239</f>
        <v>3</v>
      </c>
      <c r="R239" s="51" t="n">
        <f aca="false">IF(AND(C239=C238,ISNUMBER(G239),ISNUMBER(G238)),(G239/G238-1)*100,"")</f>
        <v>0.627012166447605</v>
      </c>
      <c r="S239" s="51" t="n">
        <f aca="false">IF(AND(C239=C238,ISNUMBER(L239),ISNUMBER(L238)),(L239/L238-1)*100,"")</f>
        <v>-9.416474321985</v>
      </c>
      <c r="T239" s="51" t="n">
        <f aca="false">IF(AND(C239=C238,ISNUMBER(G239),ISNUMBER(G238)),G239-G238,"")</f>
        <v>156</v>
      </c>
      <c r="U239" s="1" t="str">
        <f aca="false">IF(OR(NOT(ISNUMBER(R239)),NOT(ISNUMBER(S239))),"Not classified",IF(AND(R239&gt;0,S239&gt;0),"Long buildup (interpretation)",IF(AND(R239&lt;0,S239&gt;0),"Short buildup (interpretation)",IF(AND(R239&gt;0,S239&lt;0),"Short covering (interpretation)",IF(AND(R239&lt;0,S239&lt;0),"Long unwinding (interpretation)","Neutral")))))</f>
        <v>Short covering (interpretation)</v>
      </c>
      <c r="V239" s="52" t="str">
        <f aca="false">TEXT(B239,"yyyy-mm")</f>
        <v>2025-05</v>
      </c>
      <c r="W239" s="52" t="n">
        <f aca="false">1+COUNTIFS($B$2:$B$756,B239,$C$2:$C$756,"&lt;"&amp;C239)</f>
        <v>1</v>
      </c>
      <c r="X239" s="53" t="n">
        <f aca="false">IF(AND(ISNUMBER(P239),Q239&gt;0),P239*365/Q239,"")</f>
        <v>0.169108887657834</v>
      </c>
      <c r="Y239" s="42" t="n">
        <f aca="false">IF(AND(C240=C239,ISNUMBER(R240)),R240,"")</f>
        <v>-0.692205992195216</v>
      </c>
      <c r="Z239" s="52" t="n">
        <f aca="false">IF(AND(W239=1,Q239&gt;Basis_Analysis!$B$3,ISNUMBER(Y239)),1,0)</f>
        <v>0</v>
      </c>
      <c r="AA239" s="43" t="n">
        <f aca="false">IF(W239=1,IF(SUMIFS($L$2:$L$756,$B$2:$B$756,B239,$W$2:$W$756,2)&gt;0,SUMIFS($L$2:$L$756,$B$2:$B$756,B239,$W$2:$W$756,2),""),"")</f>
        <v>9353700</v>
      </c>
      <c r="AB239" s="54" t="n">
        <f aca="false">IF(AND(W239=1,ISNUMBER(AA239)),L239/(L239+AA239),"")</f>
        <v>0.501735909964403</v>
      </c>
    </row>
    <row r="240" customFormat="false" ht="15" hidden="false" customHeight="true" outlineLevel="0" collapsed="false">
      <c r="A240" s="1" t="s">
        <v>274</v>
      </c>
      <c r="B240" s="46" t="n">
        <v>45804</v>
      </c>
      <c r="C240" s="46" t="n">
        <v>45806</v>
      </c>
      <c r="D240" s="47" t="n">
        <v>25000</v>
      </c>
      <c r="E240" s="47" t="n">
        <v>25108.8</v>
      </c>
      <c r="F240" s="47" t="n">
        <v>24739</v>
      </c>
      <c r="G240" s="47" t="n">
        <v>24862.6</v>
      </c>
      <c r="H240" s="47" t="n">
        <v>24860</v>
      </c>
      <c r="I240" s="47" t="n">
        <v>24862.6</v>
      </c>
      <c r="J240" s="48" t="n">
        <v>146382</v>
      </c>
      <c r="K240" s="47" t="n">
        <v>2731054.98</v>
      </c>
      <c r="L240" s="48" t="n">
        <v>7685625</v>
      </c>
      <c r="M240" s="48" t="n">
        <v>-1733250</v>
      </c>
      <c r="N240" s="47" t="n">
        <v>24826.2</v>
      </c>
      <c r="O240" s="47" t="n">
        <f aca="false">IF(AND(ISNUMBER(G240),ISNUMBER(N240)),G240-N240,"")</f>
        <v>36.3999999999978</v>
      </c>
      <c r="P240" s="49" t="n">
        <f aca="false">IF(ISNUMBER(O240),O240/N240,"")</f>
        <v>0.00146619297355205</v>
      </c>
      <c r="Q240" s="50" t="n">
        <f aca="false">C240-B240</f>
        <v>2</v>
      </c>
      <c r="R240" s="51" t="n">
        <f aca="false">IF(AND(C240=C239,ISNUMBER(G240),ISNUMBER(G239)),(G240/G239-1)*100,"")</f>
        <v>-0.692205992195216</v>
      </c>
      <c r="S240" s="51" t="n">
        <f aca="false">IF(AND(C240=C239,ISNUMBER(L240),ISNUMBER(L239)),(L240/L239-1)*100,"")</f>
        <v>-18.4018792053191</v>
      </c>
      <c r="T240" s="51" t="n">
        <f aca="false">IF(AND(C240=C239,ISNUMBER(G240),ISNUMBER(G239)),G240-G239,"")</f>
        <v>-173.300000000003</v>
      </c>
      <c r="U240" s="1" t="str">
        <f aca="false">IF(OR(NOT(ISNUMBER(R240)),NOT(ISNUMBER(S240))),"Not classified",IF(AND(R240&gt;0,S240&gt;0),"Long buildup (interpretation)",IF(AND(R240&lt;0,S240&gt;0),"Short buildup (interpretation)",IF(AND(R240&gt;0,S240&lt;0),"Short covering (interpretation)",IF(AND(R240&lt;0,S240&lt;0),"Long unwinding (interpretation)","Neutral")))))</f>
        <v>Long unwinding (interpretation)</v>
      </c>
      <c r="V240" s="52" t="str">
        <f aca="false">TEXT(B240,"yyyy-mm")</f>
        <v>2025-05</v>
      </c>
      <c r="W240" s="52" t="n">
        <f aca="false">1+COUNTIFS($B$2:$B$756,B240,$C$2:$C$756,"&lt;"&amp;C240)</f>
        <v>1</v>
      </c>
      <c r="X240" s="53" t="n">
        <f aca="false">IF(AND(ISNUMBER(P240),Q240&gt;0),P240*365/Q240,"")</f>
        <v>0.267580217673249</v>
      </c>
      <c r="Y240" s="42" t="n">
        <f aca="false">IF(AND(C241=C240,ISNUMBER(R241)),R241,"")</f>
        <v>-0.402612759727461</v>
      </c>
      <c r="Z240" s="52" t="n">
        <f aca="false">IF(AND(W240=1,Q240&gt;Basis_Analysis!$B$3,ISNUMBER(Y240)),1,0)</f>
        <v>0</v>
      </c>
      <c r="AA240" s="43" t="n">
        <f aca="false">IF(W240=1,IF(SUMIFS($L$2:$L$756,$B$2:$B$756,B240,$W$2:$W$756,2)&gt;0,SUMIFS($L$2:$L$756,$B$2:$B$756,B240,$W$2:$W$756,2),""),"")</f>
        <v>10191375</v>
      </c>
      <c r="AB240" s="54" t="n">
        <f aca="false">IF(AND(W240=1,ISNUMBER(AA240)),L240/(L240+AA240),"")</f>
        <v>0.429916932371203</v>
      </c>
    </row>
    <row r="241" customFormat="false" ht="15" hidden="false" customHeight="true" outlineLevel="0" collapsed="false">
      <c r="A241" s="1" t="s">
        <v>274</v>
      </c>
      <c r="B241" s="46" t="n">
        <v>45805</v>
      </c>
      <c r="C241" s="46" t="n">
        <v>45806</v>
      </c>
      <c r="D241" s="47" t="n">
        <v>24772.6</v>
      </c>
      <c r="E241" s="47" t="n">
        <v>24896</v>
      </c>
      <c r="F241" s="47" t="n">
        <v>24742.5</v>
      </c>
      <c r="G241" s="47" t="n">
        <v>24762.5</v>
      </c>
      <c r="H241" s="47" t="n">
        <v>24747.7</v>
      </c>
      <c r="I241" s="47" t="n">
        <v>24762.5</v>
      </c>
      <c r="J241" s="48" t="n">
        <v>78611</v>
      </c>
      <c r="K241" s="47" t="n">
        <v>1461925.76</v>
      </c>
      <c r="L241" s="48" t="n">
        <v>5931375</v>
      </c>
      <c r="M241" s="48" t="n">
        <v>-1754250</v>
      </c>
      <c r="N241" s="47" t="n">
        <v>24752.45</v>
      </c>
      <c r="O241" s="47" t="n">
        <f aca="false">IF(AND(ISNUMBER(G241),ISNUMBER(N241)),G241-N241,"")</f>
        <v>10.0499999999993</v>
      </c>
      <c r="P241" s="49" t="n">
        <f aca="false">IF(ISNUMBER(O241),O241/N241,"")</f>
        <v>0.000406020414140793</v>
      </c>
      <c r="Q241" s="50" t="n">
        <f aca="false">C241-B241</f>
        <v>1</v>
      </c>
      <c r="R241" s="51" t="n">
        <f aca="false">IF(AND(C241=C240,ISNUMBER(G241),ISNUMBER(G240)),(G241/G240-1)*100,"")</f>
        <v>-0.402612759727461</v>
      </c>
      <c r="S241" s="51" t="n">
        <f aca="false">IF(AND(C241=C240,ISNUMBER(L241),ISNUMBER(L240)),(L241/L240-1)*100,"")</f>
        <v>-22.8250792876311</v>
      </c>
      <c r="T241" s="51" t="n">
        <f aca="false">IF(AND(C241=C240,ISNUMBER(G241),ISNUMBER(G240)),G241-G240,"")</f>
        <v>-100.099999999999</v>
      </c>
      <c r="U241" s="1" t="str">
        <f aca="false">IF(OR(NOT(ISNUMBER(R241)),NOT(ISNUMBER(S241))),"Not classified",IF(AND(R241&gt;0,S241&gt;0),"Long buildup (interpretation)",IF(AND(R241&lt;0,S241&gt;0),"Short buildup (interpretation)",IF(AND(R241&gt;0,S241&lt;0),"Short covering (interpretation)",IF(AND(R241&lt;0,S241&lt;0),"Long unwinding (interpretation)","Neutral")))))</f>
        <v>Long unwinding (interpretation)</v>
      </c>
      <c r="V241" s="52" t="str">
        <f aca="false">TEXT(B241,"yyyy-mm")</f>
        <v>2025-05</v>
      </c>
      <c r="W241" s="52" t="n">
        <f aca="false">1+COUNTIFS($B$2:$B$756,B241,$C$2:$C$756,"&lt;"&amp;C241)</f>
        <v>1</v>
      </c>
      <c r="X241" s="53" t="n">
        <f aca="false">IF(AND(ISNUMBER(P241),Q241&gt;0),P241*365/Q241,"")</f>
        <v>0.148197451161389</v>
      </c>
      <c r="Y241" s="42" t="n">
        <f aca="false">IF(AND(C242=C241,ISNUMBER(R242)),R242,"")</f>
        <v>0.208783442705718</v>
      </c>
      <c r="Z241" s="52" t="n">
        <f aca="false">IF(AND(W241=1,Q241&gt;Basis_Analysis!$B$3,ISNUMBER(Y241)),1,0)</f>
        <v>0</v>
      </c>
      <c r="AA241" s="43" t="n">
        <f aca="false">IF(W241=1,IF(SUMIFS($L$2:$L$756,$B$2:$B$756,B241,$W$2:$W$756,2)&gt;0,SUMIFS($L$2:$L$756,$B$2:$B$756,B241,$W$2:$W$756,2),""),"")</f>
        <v>12391350</v>
      </c>
      <c r="AB241" s="54" t="n">
        <f aca="false">IF(AND(W241=1,ISNUMBER(AA241)),L241/(L241+AA241),"")</f>
        <v>0.323716859801149</v>
      </c>
    </row>
    <row r="242" customFormat="false" ht="15" hidden="false" customHeight="true" outlineLevel="0" collapsed="false">
      <c r="A242" s="1" t="s">
        <v>274</v>
      </c>
      <c r="B242" s="46" t="n">
        <v>45806</v>
      </c>
      <c r="C242" s="46" t="n">
        <v>45806</v>
      </c>
      <c r="D242" s="47" t="n">
        <v>24828.6</v>
      </c>
      <c r="E242" s="47" t="n">
        <v>24900</v>
      </c>
      <c r="F242" s="47" t="n">
        <v>24661</v>
      </c>
      <c r="G242" s="47" t="n">
        <v>24814.2</v>
      </c>
      <c r="H242" s="47" t="n">
        <v>24831.8</v>
      </c>
      <c r="I242" s="47" t="n">
        <v>24833.6</v>
      </c>
      <c r="J242" s="48" t="n">
        <v>81101</v>
      </c>
      <c r="K242" s="47" t="n">
        <v>1507119.66</v>
      </c>
      <c r="L242" s="48" t="n">
        <v>3945300</v>
      </c>
      <c r="M242" s="48" t="n">
        <v>-1986075</v>
      </c>
      <c r="N242" s="47" t="n">
        <v>24833.6</v>
      </c>
      <c r="O242" s="47" t="n">
        <f aca="false">IF(AND(ISNUMBER(G242),ISNUMBER(N242)),G242-N242,"")</f>
        <v>-19.3999999999978</v>
      </c>
      <c r="P242" s="49" t="n">
        <f aca="false">IF(ISNUMBER(O242),O242/N242,"")</f>
        <v>-0.000781199664969953</v>
      </c>
      <c r="Q242" s="50" t="n">
        <f aca="false">C242-B242</f>
        <v>0</v>
      </c>
      <c r="R242" s="51" t="n">
        <f aca="false">IF(AND(C242=C241,ISNUMBER(G242),ISNUMBER(G241)),(G242/G241-1)*100,"")</f>
        <v>0.208783442705718</v>
      </c>
      <c r="S242" s="51" t="n">
        <f aca="false">IF(AND(C242=C241,ISNUMBER(L242),ISNUMBER(L241)),(L242/L241-1)*100,"")</f>
        <v>-33.4842258329645</v>
      </c>
      <c r="T242" s="51" t="n">
        <f aca="false">IF(AND(C242=C241,ISNUMBER(G242),ISNUMBER(G241)),G242-G241,"")</f>
        <v>51.7000000000007</v>
      </c>
      <c r="U242" s="1" t="str">
        <f aca="false">IF(OR(NOT(ISNUMBER(R242)),NOT(ISNUMBER(S242))),"Not classified",IF(AND(R242&gt;0,S242&gt;0),"Long buildup (interpretation)",IF(AND(R242&lt;0,S242&gt;0),"Short buildup (interpretation)",IF(AND(R242&gt;0,S242&lt;0),"Short covering (interpretation)",IF(AND(R242&lt;0,S242&lt;0),"Long unwinding (interpretation)","Neutral")))))</f>
        <v>Short covering (interpretation)</v>
      </c>
      <c r="V242" s="52" t="str">
        <f aca="false">TEXT(B242,"yyyy-mm")</f>
        <v>2025-05</v>
      </c>
      <c r="W242" s="52" t="n">
        <f aca="false">1+COUNTIFS($B$2:$B$756,B242,$C$2:$C$756,"&lt;"&amp;C242)</f>
        <v>1</v>
      </c>
      <c r="X242" s="53" t="str">
        <f aca="false">IF(AND(ISNUMBER(P242),Q242&gt;0),P242*365/Q242,"")</f>
        <v/>
      </c>
      <c r="Y242" s="42" t="str">
        <f aca="false">IF(AND(C243=C242,ISNUMBER(R243)),R243,"")</f>
        <v/>
      </c>
      <c r="Z242" s="52" t="n">
        <f aca="false">IF(AND(W242=1,Q242&gt;Basis_Analysis!$B$3,ISNUMBER(Y242)),1,0)</f>
        <v>0</v>
      </c>
      <c r="AA242" s="43" t="n">
        <f aca="false">IF(W242=1,IF(SUMIFS($L$2:$L$756,$B$2:$B$756,B242,$W$2:$W$756,2)&gt;0,SUMIFS($L$2:$L$756,$B$2:$B$756,B242,$W$2:$W$756,2),""),"")</f>
        <v>12683625</v>
      </c>
      <c r="AB242" s="54" t="n">
        <f aca="false">IF(AND(W242=1,ISNUMBER(AA242)),L242/(L242+AA242),"")</f>
        <v>0.237255264546566</v>
      </c>
    </row>
    <row r="243" customFormat="false" ht="15" hidden="false" customHeight="true" outlineLevel="0" collapsed="false">
      <c r="A243" s="1" t="s">
        <v>274</v>
      </c>
      <c r="B243" s="46" t="n">
        <v>45743</v>
      </c>
      <c r="C243" s="46" t="n">
        <v>45834</v>
      </c>
      <c r="D243" s="47"/>
      <c r="E243" s="47"/>
      <c r="F243" s="47"/>
      <c r="G243" s="47"/>
      <c r="H243" s="47"/>
      <c r="I243" s="47"/>
      <c r="J243" s="48"/>
      <c r="K243" s="47"/>
      <c r="L243" s="48"/>
      <c r="M243" s="48"/>
      <c r="N243" s="47"/>
      <c r="O243" s="47" t="str">
        <f aca="false">IF(AND(ISNUMBER(G243),ISNUMBER(N243)),G243-N243,"")</f>
        <v/>
      </c>
      <c r="P243" s="49" t="str">
        <f aca="false">IF(ISNUMBER(O243),O243/N243,"")</f>
        <v/>
      </c>
      <c r="Q243" s="50" t="n">
        <f aca="false">C243-B243</f>
        <v>91</v>
      </c>
      <c r="R243" s="51" t="str">
        <f aca="false">IF(AND(C243=C242,ISNUMBER(G243),ISNUMBER(G242)),(G243/G242-1)*100,"")</f>
        <v/>
      </c>
      <c r="S243" s="51" t="str">
        <f aca="false">IF(AND(C243=C242,ISNUMBER(L243),ISNUMBER(L242)),(L243/L242-1)*100,"")</f>
        <v/>
      </c>
      <c r="T243" s="51" t="str">
        <f aca="false">IF(AND(C243=C242,ISNUMBER(G243),ISNUMBER(G242)),G243-G242,"")</f>
        <v/>
      </c>
      <c r="U243" s="1" t="str">
        <f aca="false">IF(OR(NOT(ISNUMBER(R243)),NOT(ISNUMBER(S243))),"Not classified",IF(AND(R243&gt;0,S243&gt;0),"Long buildup (interpretation)",IF(AND(R243&lt;0,S243&gt;0),"Short buildup (interpretation)",IF(AND(R243&gt;0,S243&lt;0),"Short covering (interpretation)",IF(AND(R243&lt;0,S243&lt;0),"Long unwinding (interpretation)","Neutral")))))</f>
        <v>Not classified</v>
      </c>
      <c r="V243" s="52" t="str">
        <f aca="false">TEXT(B243,"yyyy-mm")</f>
        <v>2025-03</v>
      </c>
      <c r="W243" s="52" t="n">
        <f aca="false">1+COUNTIFS($B$2:$B$756,B243,$C$2:$C$756,"&lt;"&amp;C243)</f>
        <v>4</v>
      </c>
      <c r="X243" s="53" t="str">
        <f aca="false">IF(AND(ISNUMBER(P243),Q243&gt;0),P243*365/Q243,"")</f>
        <v/>
      </c>
      <c r="Y243" s="42" t="str">
        <f aca="false">IF(AND(C244=C243,ISNUMBER(R244)),R244,"")</f>
        <v/>
      </c>
      <c r="Z243" s="52" t="n">
        <f aca="false">IF(AND(W243=1,Q243&gt;Basis_Analysis!$B$3,ISNUMBER(Y243)),1,0)</f>
        <v>0</v>
      </c>
      <c r="AA243" s="43" t="str">
        <f aca="false">IF(W243=1,IF(SUMIFS($L$2:$L$756,$B$2:$B$756,B243,$W$2:$W$756,2)&gt;0,SUMIFS($L$2:$L$756,$B$2:$B$756,B243,$W$2:$W$756,2),""),"")</f>
        <v/>
      </c>
      <c r="AB243" s="54" t="str">
        <f aca="false">IF(AND(W243=1,ISNUMBER(AA243)),L243/(L243+AA243),"")</f>
        <v/>
      </c>
    </row>
    <row r="244" customFormat="false" ht="15" hidden="false" customHeight="true" outlineLevel="0" collapsed="false">
      <c r="A244" s="1" t="s">
        <v>274</v>
      </c>
      <c r="B244" s="46" t="n">
        <v>45744</v>
      </c>
      <c r="C244" s="46" t="n">
        <v>45834</v>
      </c>
      <c r="D244" s="47" t="n">
        <v>24050.05</v>
      </c>
      <c r="E244" s="47" t="n">
        <v>24070</v>
      </c>
      <c r="F244" s="47" t="n">
        <v>23804.1</v>
      </c>
      <c r="G244" s="47" t="n">
        <v>23874.9</v>
      </c>
      <c r="H244" s="47" t="n">
        <v>23880</v>
      </c>
      <c r="I244" s="47" t="n">
        <v>23874.9</v>
      </c>
      <c r="J244" s="48" t="n">
        <v>3576</v>
      </c>
      <c r="K244" s="47" t="n">
        <v>64156.01</v>
      </c>
      <c r="L244" s="48" t="n">
        <v>172650</v>
      </c>
      <c r="M244" s="48" t="n">
        <v>172650</v>
      </c>
      <c r="N244" s="47"/>
      <c r="O244" s="47" t="str">
        <f aca="false">IF(AND(ISNUMBER(G244),ISNUMBER(N244)),G244-N244,"")</f>
        <v/>
      </c>
      <c r="P244" s="49" t="str">
        <f aca="false">IF(ISNUMBER(O244),O244/N244,"")</f>
        <v/>
      </c>
      <c r="Q244" s="50" t="n">
        <f aca="false">C244-B244</f>
        <v>90</v>
      </c>
      <c r="R244" s="51" t="str">
        <f aca="false">IF(AND(C244=C243,ISNUMBER(G244),ISNUMBER(G243)),(G244/G243-1)*100,"")</f>
        <v/>
      </c>
      <c r="S244" s="51" t="str">
        <f aca="false">IF(AND(C244=C243,ISNUMBER(L244),ISNUMBER(L243)),(L244/L243-1)*100,"")</f>
        <v/>
      </c>
      <c r="T244" s="51" t="str">
        <f aca="false">IF(AND(C244=C243,ISNUMBER(G244),ISNUMBER(G243)),G244-G243,"")</f>
        <v/>
      </c>
      <c r="U244" s="1" t="str">
        <f aca="false">IF(OR(NOT(ISNUMBER(R244)),NOT(ISNUMBER(S244))),"Not classified",IF(AND(R244&gt;0,S244&gt;0),"Long buildup (interpretation)",IF(AND(R244&lt;0,S244&gt;0),"Short buildup (interpretation)",IF(AND(R244&gt;0,S244&lt;0),"Short covering (interpretation)",IF(AND(R244&lt;0,S244&lt;0),"Long unwinding (interpretation)","Neutral")))))</f>
        <v>Not classified</v>
      </c>
      <c r="V244" s="52" t="str">
        <f aca="false">TEXT(B244,"yyyy-mm")</f>
        <v>2025-03</v>
      </c>
      <c r="W244" s="52" t="n">
        <f aca="false">1+COUNTIFS($B$2:$B$756,B244,$C$2:$C$756,"&lt;"&amp;C244)</f>
        <v>3</v>
      </c>
      <c r="X244" s="53" t="str">
        <f aca="false">IF(AND(ISNUMBER(P244),Q244&gt;0),P244*365/Q244,"")</f>
        <v/>
      </c>
      <c r="Y244" s="42" t="n">
        <f aca="false">IF(AND(C245=C244,ISNUMBER(R245)),R245,"")</f>
        <v>-1.36963924456228</v>
      </c>
      <c r="Z244" s="52" t="n">
        <f aca="false">IF(AND(W244=1,Q244&gt;Basis_Analysis!$B$3,ISNUMBER(Y244)),1,0)</f>
        <v>0</v>
      </c>
      <c r="AA244" s="43" t="str">
        <f aca="false">IF(W244=1,IF(SUMIFS($L$2:$L$756,$B$2:$B$756,B244,$W$2:$W$756,2)&gt;0,SUMIFS($L$2:$L$756,$B$2:$B$756,B244,$W$2:$W$756,2),""),"")</f>
        <v/>
      </c>
      <c r="AB244" s="54" t="str">
        <f aca="false">IF(AND(W244=1,ISNUMBER(AA244)),L244/(L244+AA244),"")</f>
        <v/>
      </c>
    </row>
    <row r="245" customFormat="false" ht="15" hidden="false" customHeight="true" outlineLevel="0" collapsed="false">
      <c r="A245" s="1" t="s">
        <v>274</v>
      </c>
      <c r="B245" s="46" t="n">
        <v>45748</v>
      </c>
      <c r="C245" s="46" t="n">
        <v>45834</v>
      </c>
      <c r="D245" s="47" t="n">
        <v>23800</v>
      </c>
      <c r="E245" s="47" t="n">
        <v>23885</v>
      </c>
      <c r="F245" s="47" t="n">
        <v>23519.55</v>
      </c>
      <c r="G245" s="47" t="n">
        <v>23547.9</v>
      </c>
      <c r="H245" s="47" t="n">
        <v>23550</v>
      </c>
      <c r="I245" s="47" t="n">
        <v>23547.9</v>
      </c>
      <c r="J245" s="48" t="n">
        <v>4041</v>
      </c>
      <c r="K245" s="47" t="n">
        <v>71744.72</v>
      </c>
      <c r="L245" s="48" t="n">
        <v>371175</v>
      </c>
      <c r="M245" s="48" t="n">
        <v>198525</v>
      </c>
      <c r="N245" s="47" t="n">
        <v>23165.7</v>
      </c>
      <c r="O245" s="47" t="n">
        <f aca="false">IF(AND(ISNUMBER(G245),ISNUMBER(N245)),G245-N245,"")</f>
        <v>382.200000000001</v>
      </c>
      <c r="P245" s="49" t="n">
        <f aca="false">IF(ISNUMBER(O245),O245/N245,"")</f>
        <v>0.0164985301544957</v>
      </c>
      <c r="Q245" s="50" t="n">
        <f aca="false">C245-B245</f>
        <v>86</v>
      </c>
      <c r="R245" s="51" t="n">
        <f aca="false">IF(AND(C245=C244,ISNUMBER(G245),ISNUMBER(G244)),(G245/G244-1)*100,"")</f>
        <v>-1.36963924456228</v>
      </c>
      <c r="S245" s="51" t="n">
        <f aca="false">IF(AND(C245=C244,ISNUMBER(L245),ISNUMBER(L244)),(L245/L244-1)*100,"")</f>
        <v>114.98696785404</v>
      </c>
      <c r="T245" s="51" t="n">
        <f aca="false">IF(AND(C245=C244,ISNUMBER(G245),ISNUMBER(G244)),G245-G244,"")</f>
        <v>-327</v>
      </c>
      <c r="U245" s="1" t="str">
        <f aca="false">IF(OR(NOT(ISNUMBER(R245)),NOT(ISNUMBER(S245))),"Not classified",IF(AND(R245&gt;0,S245&gt;0),"Long buildup (interpretation)",IF(AND(R245&lt;0,S245&gt;0),"Short buildup (interpretation)",IF(AND(R245&gt;0,S245&lt;0),"Short covering (interpretation)",IF(AND(R245&lt;0,S245&lt;0),"Long unwinding (interpretation)","Neutral")))))</f>
        <v>Short buildup (interpretation)</v>
      </c>
      <c r="V245" s="52" t="str">
        <f aca="false">TEXT(B245,"yyyy-mm")</f>
        <v>2025-04</v>
      </c>
      <c r="W245" s="52" t="n">
        <f aca="false">1+COUNTIFS($B$2:$B$756,B245,$C$2:$C$756,"&lt;"&amp;C245)</f>
        <v>3</v>
      </c>
      <c r="X245" s="53" t="n">
        <f aca="false">IF(AND(ISNUMBER(P245),Q245&gt;0),P245*365/Q245,"")</f>
        <v>0.0700228314696619</v>
      </c>
      <c r="Y245" s="42" t="n">
        <f aca="false">IF(AND(C246=C245,ISNUMBER(R246)),R246,"")</f>
        <v>0.439954305904133</v>
      </c>
      <c r="Z245" s="52" t="n">
        <f aca="false">IF(AND(W245=1,Q245&gt;Basis_Analysis!$B$3,ISNUMBER(Y245)),1,0)</f>
        <v>0</v>
      </c>
      <c r="AA245" s="43" t="str">
        <f aca="false">IF(W245=1,IF(SUMIFS($L$2:$L$756,$B$2:$B$756,B245,$W$2:$W$756,2)&gt;0,SUMIFS($L$2:$L$756,$B$2:$B$756,B245,$W$2:$W$756,2),""),"")</f>
        <v/>
      </c>
      <c r="AB245" s="54" t="str">
        <f aca="false">IF(AND(W245=1,ISNUMBER(AA245)),L245/(L245+AA245),"")</f>
        <v/>
      </c>
    </row>
    <row r="246" customFormat="false" ht="15" hidden="false" customHeight="true" outlineLevel="0" collapsed="false">
      <c r="A246" s="1" t="s">
        <v>274</v>
      </c>
      <c r="B246" s="46" t="n">
        <v>45749</v>
      </c>
      <c r="C246" s="46" t="n">
        <v>45834</v>
      </c>
      <c r="D246" s="47" t="n">
        <v>23505.45</v>
      </c>
      <c r="E246" s="47" t="n">
        <v>23662</v>
      </c>
      <c r="F246" s="47" t="n">
        <v>23505.45</v>
      </c>
      <c r="G246" s="47" t="n">
        <v>23651.5</v>
      </c>
      <c r="H246" s="47" t="n">
        <v>23656.15</v>
      </c>
      <c r="I246" s="47" t="n">
        <v>23651.5</v>
      </c>
      <c r="J246" s="48" t="n">
        <v>1777</v>
      </c>
      <c r="K246" s="47" t="n">
        <v>31472.3</v>
      </c>
      <c r="L246" s="48" t="n">
        <v>443475</v>
      </c>
      <c r="M246" s="48" t="n">
        <v>72300</v>
      </c>
      <c r="N246" s="47" t="n">
        <v>23332.35</v>
      </c>
      <c r="O246" s="47" t="n">
        <f aca="false">IF(AND(ISNUMBER(G246),ISNUMBER(N246)),G246-N246,"")</f>
        <v>319.150000000001</v>
      </c>
      <c r="P246" s="49" t="n">
        <f aca="false">IF(ISNUMBER(O246),O246/N246,"")</f>
        <v>0.01367843359113</v>
      </c>
      <c r="Q246" s="50" t="n">
        <f aca="false">C246-B246</f>
        <v>85</v>
      </c>
      <c r="R246" s="51" t="n">
        <f aca="false">IF(AND(C246=C245,ISNUMBER(G246),ISNUMBER(G245)),(G246/G245-1)*100,"")</f>
        <v>0.439954305904133</v>
      </c>
      <c r="S246" s="51" t="n">
        <f aca="false">IF(AND(C246=C245,ISNUMBER(L246),ISNUMBER(L245)),(L246/L245-1)*100,"")</f>
        <v>19.4786825621338</v>
      </c>
      <c r="T246" s="51" t="n">
        <f aca="false">IF(AND(C246=C245,ISNUMBER(G246),ISNUMBER(G245)),G246-G245,"")</f>
        <v>103.599999999999</v>
      </c>
      <c r="U246" s="1" t="str">
        <f aca="false">IF(OR(NOT(ISNUMBER(R246)),NOT(ISNUMBER(S246))),"Not classified",IF(AND(R246&gt;0,S246&gt;0),"Long buildup (interpretation)",IF(AND(R246&lt;0,S246&gt;0),"Short buildup (interpretation)",IF(AND(R246&gt;0,S246&lt;0),"Short covering (interpretation)",IF(AND(R246&lt;0,S246&lt;0),"Long unwinding (interpretation)","Neutral")))))</f>
        <v>Long buildup (interpretation)</v>
      </c>
      <c r="V246" s="52" t="str">
        <f aca="false">TEXT(B246,"yyyy-mm")</f>
        <v>2025-04</v>
      </c>
      <c r="W246" s="52" t="n">
        <f aca="false">1+COUNTIFS($B$2:$B$756,B246,$C$2:$C$756,"&lt;"&amp;C246)</f>
        <v>3</v>
      </c>
      <c r="X246" s="53" t="n">
        <f aca="false">IF(AND(ISNUMBER(P246),Q246&gt;0),P246*365/Q246,"")</f>
        <v>0.0587368030677934</v>
      </c>
      <c r="Y246" s="42" t="n">
        <f aca="false">IF(AND(C247=C246,ISNUMBER(R247)),R247,"")</f>
        <v>-0.384753609707633</v>
      </c>
      <c r="Z246" s="52" t="n">
        <f aca="false">IF(AND(W246=1,Q246&gt;Basis_Analysis!$B$3,ISNUMBER(Y246)),1,0)</f>
        <v>0</v>
      </c>
      <c r="AA246" s="43" t="str">
        <f aca="false">IF(W246=1,IF(SUMIFS($L$2:$L$756,$B$2:$B$756,B246,$W$2:$W$756,2)&gt;0,SUMIFS($L$2:$L$756,$B$2:$B$756,B246,$W$2:$W$756,2),""),"")</f>
        <v/>
      </c>
      <c r="AB246" s="54" t="str">
        <f aca="false">IF(AND(W246=1,ISNUMBER(AA246)),L246/(L246+AA246),"")</f>
        <v/>
      </c>
    </row>
    <row r="247" customFormat="false" ht="15" hidden="false" customHeight="true" outlineLevel="0" collapsed="false">
      <c r="A247" s="1" t="s">
        <v>274</v>
      </c>
      <c r="B247" s="46" t="n">
        <v>45750</v>
      </c>
      <c r="C247" s="46" t="n">
        <v>45834</v>
      </c>
      <c r="D247" s="47" t="n">
        <v>23500.1</v>
      </c>
      <c r="E247" s="47" t="n">
        <v>23622.95</v>
      </c>
      <c r="F247" s="47" t="n">
        <v>23470</v>
      </c>
      <c r="G247" s="47" t="n">
        <v>23560.5</v>
      </c>
      <c r="H247" s="47" t="n">
        <v>23551</v>
      </c>
      <c r="I247" s="47" t="n">
        <v>23560.5</v>
      </c>
      <c r="J247" s="48" t="n">
        <v>1188</v>
      </c>
      <c r="K247" s="47" t="n">
        <v>20997.63</v>
      </c>
      <c r="L247" s="48" t="n">
        <v>462075</v>
      </c>
      <c r="M247" s="48" t="n">
        <v>18600</v>
      </c>
      <c r="N247" s="47" t="n">
        <v>23250.1</v>
      </c>
      <c r="O247" s="47" t="n">
        <f aca="false">IF(AND(ISNUMBER(G247),ISNUMBER(N247)),G247-N247,"")</f>
        <v>310.400000000001</v>
      </c>
      <c r="P247" s="49" t="n">
        <f aca="false">IF(ISNUMBER(O247),O247/N247,"")</f>
        <v>0.0133504802129884</v>
      </c>
      <c r="Q247" s="50" t="n">
        <f aca="false">C247-B247</f>
        <v>84</v>
      </c>
      <c r="R247" s="51" t="n">
        <f aca="false">IF(AND(C247=C246,ISNUMBER(G247),ISNUMBER(G246)),(G247/G246-1)*100,"")</f>
        <v>-0.384753609707633</v>
      </c>
      <c r="S247" s="51" t="n">
        <f aca="false">IF(AND(C247=C246,ISNUMBER(L247),ISNUMBER(L246)),(L247/L246-1)*100,"")</f>
        <v>4.19414848638593</v>
      </c>
      <c r="T247" s="51" t="n">
        <f aca="false">IF(AND(C247=C246,ISNUMBER(G247),ISNUMBER(G246)),G247-G246,"")</f>
        <v>-91</v>
      </c>
      <c r="U247" s="1" t="str">
        <f aca="false">IF(OR(NOT(ISNUMBER(R247)),NOT(ISNUMBER(S247))),"Not classified",IF(AND(R247&gt;0,S247&gt;0),"Long buildup (interpretation)",IF(AND(R247&lt;0,S247&gt;0),"Short buildup (interpretation)",IF(AND(R247&gt;0,S247&lt;0),"Short covering (interpretation)",IF(AND(R247&lt;0,S247&lt;0),"Long unwinding (interpretation)","Neutral")))))</f>
        <v>Short buildup (interpretation)</v>
      </c>
      <c r="V247" s="52" t="str">
        <f aca="false">TEXT(B247,"yyyy-mm")</f>
        <v>2025-04</v>
      </c>
      <c r="W247" s="52" t="n">
        <f aca="false">1+COUNTIFS($B$2:$B$756,B247,$C$2:$C$756,"&lt;"&amp;C247)</f>
        <v>3</v>
      </c>
      <c r="X247" s="53" t="n">
        <f aca="false">IF(AND(ISNUMBER(P247),Q247&gt;0),P247*365/Q247,"")</f>
        <v>0.0580110152111996</v>
      </c>
      <c r="Y247" s="42" t="n">
        <f aca="false">IF(AND(C248=C247,ISNUMBER(R248)),R248,"")</f>
        <v>-1.6109590203943</v>
      </c>
      <c r="Z247" s="52" t="n">
        <f aca="false">IF(AND(W247=1,Q247&gt;Basis_Analysis!$B$3,ISNUMBER(Y247)),1,0)</f>
        <v>0</v>
      </c>
      <c r="AA247" s="43" t="str">
        <f aca="false">IF(W247=1,IF(SUMIFS($L$2:$L$756,$B$2:$B$756,B247,$W$2:$W$756,2)&gt;0,SUMIFS($L$2:$L$756,$B$2:$B$756,B247,$W$2:$W$756,2),""),"")</f>
        <v/>
      </c>
      <c r="AB247" s="54" t="str">
        <f aca="false">IF(AND(W247=1,ISNUMBER(AA247)),L247/(L247+AA247),"")</f>
        <v/>
      </c>
    </row>
    <row r="248" customFormat="false" ht="15" hidden="false" customHeight="true" outlineLevel="0" collapsed="false">
      <c r="A248" s="1" t="s">
        <v>274</v>
      </c>
      <c r="B248" s="46" t="n">
        <v>45751</v>
      </c>
      <c r="C248" s="46" t="n">
        <v>45834</v>
      </c>
      <c r="D248" s="47" t="n">
        <v>23410</v>
      </c>
      <c r="E248" s="47" t="n">
        <v>23486.55</v>
      </c>
      <c r="F248" s="47" t="n">
        <v>23151.25</v>
      </c>
      <c r="G248" s="47" t="n">
        <v>23180.95</v>
      </c>
      <c r="H248" s="47" t="n">
        <v>23191</v>
      </c>
      <c r="I248" s="47" t="n">
        <v>23180.95</v>
      </c>
      <c r="J248" s="48" t="n">
        <v>3616</v>
      </c>
      <c r="K248" s="47" t="n">
        <v>63117.11</v>
      </c>
      <c r="L248" s="48" t="n">
        <v>561450</v>
      </c>
      <c r="M248" s="48" t="n">
        <v>99375</v>
      </c>
      <c r="N248" s="47" t="n">
        <v>22904.45</v>
      </c>
      <c r="O248" s="47" t="n">
        <f aca="false">IF(AND(ISNUMBER(G248),ISNUMBER(N248)),G248-N248,"")</f>
        <v>276.5</v>
      </c>
      <c r="P248" s="49" t="n">
        <f aca="false">IF(ISNUMBER(O248),O248/N248,"")</f>
        <v>0.0120718899602479</v>
      </c>
      <c r="Q248" s="50" t="n">
        <f aca="false">C248-B248</f>
        <v>83</v>
      </c>
      <c r="R248" s="51" t="n">
        <f aca="false">IF(AND(C248=C247,ISNUMBER(G248),ISNUMBER(G247)),(G248/G247-1)*100,"")</f>
        <v>-1.6109590203943</v>
      </c>
      <c r="S248" s="51" t="n">
        <f aca="false">IF(AND(C248=C247,ISNUMBER(L248),ISNUMBER(L247)),(L248/L247-1)*100,"")</f>
        <v>21.5062489855543</v>
      </c>
      <c r="T248" s="51" t="n">
        <f aca="false">IF(AND(C248=C247,ISNUMBER(G248),ISNUMBER(G247)),G248-G247,"")</f>
        <v>-379.549999999999</v>
      </c>
      <c r="U248" s="1" t="str">
        <f aca="false">IF(OR(NOT(ISNUMBER(R248)),NOT(ISNUMBER(S248))),"Not classified",IF(AND(R248&gt;0,S248&gt;0),"Long buildup (interpretation)",IF(AND(R248&lt;0,S248&gt;0),"Short buildup (interpretation)",IF(AND(R248&gt;0,S248&lt;0),"Short covering (interpretation)",IF(AND(R248&lt;0,S248&lt;0),"Long unwinding (interpretation)","Neutral")))))</f>
        <v>Short buildup (interpretation)</v>
      </c>
      <c r="V248" s="52" t="str">
        <f aca="false">TEXT(B248,"yyyy-mm")</f>
        <v>2025-04</v>
      </c>
      <c r="W248" s="52" t="n">
        <f aca="false">1+COUNTIFS($B$2:$B$756,B248,$C$2:$C$756,"&lt;"&amp;C248)</f>
        <v>3</v>
      </c>
      <c r="X248" s="53" t="n">
        <f aca="false">IF(AND(ISNUMBER(P248),Q248&gt;0),P248*365/Q248,"")</f>
        <v>0.0530872269336203</v>
      </c>
      <c r="Y248" s="42" t="n">
        <f aca="false">IF(AND(C249=C248,ISNUMBER(R249)),R249,"")</f>
        <v>-3.10815561916142</v>
      </c>
      <c r="Z248" s="52" t="n">
        <f aca="false">IF(AND(W248=1,Q248&gt;Basis_Analysis!$B$3,ISNUMBER(Y248)),1,0)</f>
        <v>0</v>
      </c>
      <c r="AA248" s="43" t="str">
        <f aca="false">IF(W248=1,IF(SUMIFS($L$2:$L$756,$B$2:$B$756,B248,$W$2:$W$756,2)&gt;0,SUMIFS($L$2:$L$756,$B$2:$B$756,B248,$W$2:$W$756,2),""),"")</f>
        <v/>
      </c>
      <c r="AB248" s="54" t="str">
        <f aca="false">IF(AND(W248=1,ISNUMBER(AA248)),L248/(L248+AA248),"")</f>
        <v/>
      </c>
    </row>
    <row r="249" customFormat="false" ht="15" hidden="false" customHeight="true" outlineLevel="0" collapsed="false">
      <c r="A249" s="1" t="s">
        <v>274</v>
      </c>
      <c r="B249" s="46" t="n">
        <v>45754</v>
      </c>
      <c r="C249" s="46" t="n">
        <v>45834</v>
      </c>
      <c r="D249" s="47" t="n">
        <v>22402</v>
      </c>
      <c r="E249" s="47" t="n">
        <v>22532</v>
      </c>
      <c r="F249" s="47" t="n">
        <v>21646.3</v>
      </c>
      <c r="G249" s="47" t="n">
        <v>22460.45</v>
      </c>
      <c r="H249" s="47" t="n">
        <v>22525.05</v>
      </c>
      <c r="I249" s="47" t="n">
        <v>22460.45</v>
      </c>
      <c r="J249" s="48" t="n">
        <v>12199</v>
      </c>
      <c r="K249" s="47" t="n">
        <v>203977.74</v>
      </c>
      <c r="L249" s="48" t="n">
        <v>926400</v>
      </c>
      <c r="M249" s="48" t="n">
        <v>364950</v>
      </c>
      <c r="N249" s="47"/>
      <c r="O249" s="47" t="str">
        <f aca="false">IF(AND(ISNUMBER(G249),ISNUMBER(N249)),G249-N249,"")</f>
        <v/>
      </c>
      <c r="P249" s="49" t="str">
        <f aca="false">IF(ISNUMBER(O249),O249/N249,"")</f>
        <v/>
      </c>
      <c r="Q249" s="50" t="n">
        <f aca="false">C249-B249</f>
        <v>80</v>
      </c>
      <c r="R249" s="51" t="n">
        <f aca="false">IF(AND(C249=C248,ISNUMBER(G249),ISNUMBER(G248)),(G249/G248-1)*100,"")</f>
        <v>-3.10815561916142</v>
      </c>
      <c r="S249" s="51" t="n">
        <f aca="false">IF(AND(C249=C248,ISNUMBER(L249),ISNUMBER(L248)),(L249/L248-1)*100,"")</f>
        <v>65.0013358268768</v>
      </c>
      <c r="T249" s="51" t="n">
        <f aca="false">IF(AND(C249=C248,ISNUMBER(G249),ISNUMBER(G248)),G249-G248,"")</f>
        <v>-720.5</v>
      </c>
      <c r="U249" s="1" t="str">
        <f aca="false">IF(OR(NOT(ISNUMBER(R249)),NOT(ISNUMBER(S249))),"Not classified",IF(AND(R249&gt;0,S249&gt;0),"Long buildup (interpretation)",IF(AND(R249&lt;0,S249&gt;0),"Short buildup (interpretation)",IF(AND(R249&gt;0,S249&lt;0),"Short covering (interpretation)",IF(AND(R249&lt;0,S249&lt;0),"Long unwinding (interpretation)","Neutral")))))</f>
        <v>Short buildup (interpretation)</v>
      </c>
      <c r="V249" s="52" t="str">
        <f aca="false">TEXT(B249,"yyyy-mm")</f>
        <v>2025-04</v>
      </c>
      <c r="W249" s="52" t="n">
        <f aca="false">1+COUNTIFS($B$2:$B$756,B249,$C$2:$C$756,"&lt;"&amp;C249)</f>
        <v>3</v>
      </c>
      <c r="X249" s="53" t="str">
        <f aca="false">IF(AND(ISNUMBER(P249),Q249&gt;0),P249*365/Q249,"")</f>
        <v/>
      </c>
      <c r="Y249" s="42" t="n">
        <f aca="false">IF(AND(C250=C249,ISNUMBER(R250)),R250,"")</f>
        <v>1.73482721851075</v>
      </c>
      <c r="Z249" s="52" t="n">
        <f aca="false">IF(AND(W249=1,Q249&gt;Basis_Analysis!$B$3,ISNUMBER(Y249)),1,0)</f>
        <v>0</v>
      </c>
      <c r="AA249" s="43" t="str">
        <f aca="false">IF(W249=1,IF(SUMIFS($L$2:$L$756,$B$2:$B$756,B249,$W$2:$W$756,2)&gt;0,SUMIFS($L$2:$L$756,$B$2:$B$756,B249,$W$2:$W$756,2),""),"")</f>
        <v/>
      </c>
      <c r="AB249" s="54" t="str">
        <f aca="false">IF(AND(W249=1,ISNUMBER(AA249)),L249/(L249+AA249),"")</f>
        <v/>
      </c>
    </row>
    <row r="250" customFormat="false" ht="15" hidden="false" customHeight="true" outlineLevel="0" collapsed="false">
      <c r="A250" s="1" t="s">
        <v>274</v>
      </c>
      <c r="B250" s="46" t="n">
        <v>45755</v>
      </c>
      <c r="C250" s="46" t="n">
        <v>45834</v>
      </c>
      <c r="D250" s="47" t="n">
        <v>22600</v>
      </c>
      <c r="E250" s="47" t="n">
        <v>22945</v>
      </c>
      <c r="F250" s="47" t="n">
        <v>22557.95</v>
      </c>
      <c r="G250" s="47" t="n">
        <v>22850.1</v>
      </c>
      <c r="H250" s="47" t="n">
        <v>22871.95</v>
      </c>
      <c r="I250" s="47" t="n">
        <v>22850.1</v>
      </c>
      <c r="J250" s="48" t="n">
        <v>6159</v>
      </c>
      <c r="K250" s="47" t="n">
        <v>105295.56</v>
      </c>
      <c r="L250" s="48" t="n">
        <v>909075</v>
      </c>
      <c r="M250" s="48" t="n">
        <v>-17325</v>
      </c>
      <c r="N250" s="47"/>
      <c r="O250" s="47" t="str">
        <f aca="false">IF(AND(ISNUMBER(G250),ISNUMBER(N250)),G250-N250,"")</f>
        <v/>
      </c>
      <c r="P250" s="49" t="str">
        <f aca="false">IF(ISNUMBER(O250),O250/N250,"")</f>
        <v/>
      </c>
      <c r="Q250" s="50" t="n">
        <f aca="false">C250-B250</f>
        <v>79</v>
      </c>
      <c r="R250" s="51" t="n">
        <f aca="false">IF(AND(C250=C249,ISNUMBER(G250),ISNUMBER(G249)),(G250/G249-1)*100,"")</f>
        <v>1.73482721851075</v>
      </c>
      <c r="S250" s="51" t="n">
        <f aca="false">IF(AND(C250=C249,ISNUMBER(L250),ISNUMBER(L249)),(L250/L249-1)*100,"")</f>
        <v>-1.87014248704663</v>
      </c>
      <c r="T250" s="51" t="n">
        <f aca="false">IF(AND(C250=C249,ISNUMBER(G250),ISNUMBER(G249)),G250-G249,"")</f>
        <v>389.649999999998</v>
      </c>
      <c r="U250" s="1" t="str">
        <f aca="false">IF(OR(NOT(ISNUMBER(R250)),NOT(ISNUMBER(S250))),"Not classified",IF(AND(R250&gt;0,S250&gt;0),"Long buildup (interpretation)",IF(AND(R250&lt;0,S250&gt;0),"Short buildup (interpretation)",IF(AND(R250&gt;0,S250&lt;0),"Short covering (interpretation)",IF(AND(R250&lt;0,S250&lt;0),"Long unwinding (interpretation)","Neutral")))))</f>
        <v>Short covering (interpretation)</v>
      </c>
      <c r="V250" s="52" t="str">
        <f aca="false">TEXT(B250,"yyyy-mm")</f>
        <v>2025-04</v>
      </c>
      <c r="W250" s="52" t="n">
        <f aca="false">1+COUNTIFS($B$2:$B$756,B250,$C$2:$C$756,"&lt;"&amp;C250)</f>
        <v>3</v>
      </c>
      <c r="X250" s="53" t="str">
        <f aca="false">IF(AND(ISNUMBER(P250),Q250&gt;0),P250*365/Q250,"")</f>
        <v/>
      </c>
      <c r="Y250" s="42" t="n">
        <f aca="false">IF(AND(C251=C250,ISNUMBER(R251)),R251,"")</f>
        <v>-0.679646916206056</v>
      </c>
      <c r="Z250" s="52" t="n">
        <f aca="false">IF(AND(W250=1,Q250&gt;Basis_Analysis!$B$3,ISNUMBER(Y250)),1,0)</f>
        <v>0</v>
      </c>
      <c r="AA250" s="43" t="str">
        <f aca="false">IF(W250=1,IF(SUMIFS($L$2:$L$756,$B$2:$B$756,B250,$W$2:$W$756,2)&gt;0,SUMIFS($L$2:$L$756,$B$2:$B$756,B250,$W$2:$W$756,2),""),"")</f>
        <v/>
      </c>
      <c r="AB250" s="54" t="str">
        <f aca="false">IF(AND(W250=1,ISNUMBER(AA250)),L250/(L250+AA250),"")</f>
        <v/>
      </c>
    </row>
    <row r="251" customFormat="false" ht="15" hidden="false" customHeight="true" outlineLevel="0" collapsed="false">
      <c r="A251" s="1" t="s">
        <v>274</v>
      </c>
      <c r="B251" s="46" t="n">
        <v>45756</v>
      </c>
      <c r="C251" s="46" t="n">
        <v>45834</v>
      </c>
      <c r="D251" s="47" t="n">
        <v>22770.7</v>
      </c>
      <c r="E251" s="47" t="n">
        <v>22770.7</v>
      </c>
      <c r="F251" s="47" t="n">
        <v>22631</v>
      </c>
      <c r="G251" s="47" t="n">
        <v>22694.8</v>
      </c>
      <c r="H251" s="47" t="n">
        <v>22717.7</v>
      </c>
      <c r="I251" s="47" t="n">
        <v>22694.8</v>
      </c>
      <c r="J251" s="48" t="n">
        <v>2226</v>
      </c>
      <c r="K251" s="47" t="n">
        <v>37881.78</v>
      </c>
      <c r="L251" s="48" t="n">
        <v>936525</v>
      </c>
      <c r="M251" s="48" t="n">
        <v>27450</v>
      </c>
      <c r="N251" s="47" t="n">
        <v>22399.15</v>
      </c>
      <c r="O251" s="47" t="n">
        <f aca="false">IF(AND(ISNUMBER(G251),ISNUMBER(N251)),G251-N251,"")</f>
        <v>295.649999999998</v>
      </c>
      <c r="P251" s="49" t="n">
        <f aca="false">IF(ISNUMBER(O251),O251/N251,"")</f>
        <v>0.0131991615753275</v>
      </c>
      <c r="Q251" s="50" t="n">
        <f aca="false">C251-B251</f>
        <v>78</v>
      </c>
      <c r="R251" s="51" t="n">
        <f aca="false">IF(AND(C251=C250,ISNUMBER(G251),ISNUMBER(G250)),(G251/G250-1)*100,"")</f>
        <v>-0.679646916206056</v>
      </c>
      <c r="S251" s="51" t="n">
        <f aca="false">IF(AND(C251=C250,ISNUMBER(L251),ISNUMBER(L250)),(L251/L250-1)*100,"")</f>
        <v>3.01955284217474</v>
      </c>
      <c r="T251" s="51" t="n">
        <f aca="false">IF(AND(C251=C250,ISNUMBER(G251),ISNUMBER(G250)),G251-G250,"")</f>
        <v>-155.299999999999</v>
      </c>
      <c r="U251" s="1" t="str">
        <f aca="false">IF(OR(NOT(ISNUMBER(R251)),NOT(ISNUMBER(S251))),"Not classified",IF(AND(R251&gt;0,S251&gt;0),"Long buildup (interpretation)",IF(AND(R251&lt;0,S251&gt;0),"Short buildup (interpretation)",IF(AND(R251&gt;0,S251&lt;0),"Short covering (interpretation)",IF(AND(R251&lt;0,S251&lt;0),"Long unwinding (interpretation)","Neutral")))))</f>
        <v>Short buildup (interpretation)</v>
      </c>
      <c r="V251" s="52" t="str">
        <f aca="false">TEXT(B251,"yyyy-mm")</f>
        <v>2025-04</v>
      </c>
      <c r="W251" s="52" t="n">
        <f aca="false">1+COUNTIFS($B$2:$B$756,B251,$C$2:$C$756,"&lt;"&amp;C251)</f>
        <v>3</v>
      </c>
      <c r="X251" s="53" t="n">
        <f aca="false">IF(AND(ISNUMBER(P251),Q251&gt;0),P251*365/Q251,"")</f>
        <v>0.061765307371725</v>
      </c>
      <c r="Y251" s="42" t="n">
        <f aca="false">IF(AND(C252=C251,ISNUMBER(R252)),R252,"")</f>
        <v>1.90351974901739</v>
      </c>
      <c r="Z251" s="52" t="n">
        <f aca="false">IF(AND(W251=1,Q251&gt;Basis_Analysis!$B$3,ISNUMBER(Y251)),1,0)</f>
        <v>0</v>
      </c>
      <c r="AA251" s="43" t="str">
        <f aca="false">IF(W251=1,IF(SUMIFS($L$2:$L$756,$B$2:$B$756,B251,$W$2:$W$756,2)&gt;0,SUMIFS($L$2:$L$756,$B$2:$B$756,B251,$W$2:$W$756,2),""),"")</f>
        <v/>
      </c>
      <c r="AB251" s="54" t="str">
        <f aca="false">IF(AND(W251=1,ISNUMBER(AA251)),L251/(L251+AA251),"")</f>
        <v/>
      </c>
    </row>
    <row r="252" customFormat="false" ht="15" hidden="false" customHeight="true" outlineLevel="0" collapsed="false">
      <c r="A252" s="1" t="s">
        <v>274</v>
      </c>
      <c r="B252" s="46" t="n">
        <v>45758</v>
      </c>
      <c r="C252" s="46" t="n">
        <v>45834</v>
      </c>
      <c r="D252" s="47" t="n">
        <v>23000</v>
      </c>
      <c r="E252" s="47" t="n">
        <v>23218.95</v>
      </c>
      <c r="F252" s="47" t="n">
        <v>23000</v>
      </c>
      <c r="G252" s="47" t="n">
        <v>23126.8</v>
      </c>
      <c r="H252" s="47" t="n">
        <v>23149.5</v>
      </c>
      <c r="I252" s="47" t="n">
        <v>23126.8</v>
      </c>
      <c r="J252" s="48" t="n">
        <v>3545</v>
      </c>
      <c r="K252" s="47" t="n">
        <v>61449.68</v>
      </c>
      <c r="L252" s="48" t="n">
        <v>967800</v>
      </c>
      <c r="M252" s="48" t="n">
        <v>31275</v>
      </c>
      <c r="N252" s="47" t="n">
        <v>22828.55</v>
      </c>
      <c r="O252" s="47" t="n">
        <f aca="false">IF(AND(ISNUMBER(G252),ISNUMBER(N252)),G252-N252,"")</f>
        <v>298.25</v>
      </c>
      <c r="P252" s="49" t="n">
        <f aca="false">IF(ISNUMBER(O252),O252/N252,"")</f>
        <v>0.0130647807241371</v>
      </c>
      <c r="Q252" s="50" t="n">
        <f aca="false">C252-B252</f>
        <v>76</v>
      </c>
      <c r="R252" s="51" t="n">
        <f aca="false">IF(AND(C252=C251,ISNUMBER(G252),ISNUMBER(G251)),(G252/G251-1)*100,"")</f>
        <v>1.90351974901739</v>
      </c>
      <c r="S252" s="51" t="n">
        <f aca="false">IF(AND(C252=C251,ISNUMBER(L252),ISNUMBER(L251)),(L252/L251-1)*100,"")</f>
        <v>3.33947305197406</v>
      </c>
      <c r="T252" s="51" t="n">
        <f aca="false">IF(AND(C252=C251,ISNUMBER(G252),ISNUMBER(G251)),G252-G251,"")</f>
        <v>432</v>
      </c>
      <c r="U252" s="1" t="str">
        <f aca="false">IF(OR(NOT(ISNUMBER(R252)),NOT(ISNUMBER(S252))),"Not classified",IF(AND(R252&gt;0,S252&gt;0),"Long buildup (interpretation)",IF(AND(R252&lt;0,S252&gt;0),"Short buildup (interpretation)",IF(AND(R252&gt;0,S252&lt;0),"Short covering (interpretation)",IF(AND(R252&lt;0,S252&lt;0),"Long unwinding (interpretation)","Neutral")))))</f>
        <v>Long buildup (interpretation)</v>
      </c>
      <c r="V252" s="52" t="str">
        <f aca="false">TEXT(B252,"yyyy-mm")</f>
        <v>2025-04</v>
      </c>
      <c r="W252" s="52" t="n">
        <f aca="false">1+COUNTIFS($B$2:$B$756,B252,$C$2:$C$756,"&lt;"&amp;C252)</f>
        <v>3</v>
      </c>
      <c r="X252" s="53" t="n">
        <f aca="false">IF(AND(ISNUMBER(P252),Q252&gt;0),P252*365/Q252,"")</f>
        <v>0.0627453284777637</v>
      </c>
      <c r="Y252" s="42" t="n">
        <f aca="false">IF(AND(C253=C252,ISNUMBER(R253)),R253,"")</f>
        <v>1.83596520054656</v>
      </c>
      <c r="Z252" s="52" t="n">
        <f aca="false">IF(AND(W252=1,Q252&gt;Basis_Analysis!$B$3,ISNUMBER(Y252)),1,0)</f>
        <v>0</v>
      </c>
      <c r="AA252" s="43" t="str">
        <f aca="false">IF(W252=1,IF(SUMIFS($L$2:$L$756,$B$2:$B$756,B252,$W$2:$W$756,2)&gt;0,SUMIFS($L$2:$L$756,$B$2:$B$756,B252,$W$2:$W$756,2),""),"")</f>
        <v/>
      </c>
      <c r="AB252" s="54" t="str">
        <f aca="false">IF(AND(W252=1,ISNUMBER(AA252)),L252/(L252+AA252),"")</f>
        <v/>
      </c>
    </row>
    <row r="253" customFormat="false" ht="15" hidden="false" customHeight="true" outlineLevel="0" collapsed="false">
      <c r="A253" s="1" t="s">
        <v>274</v>
      </c>
      <c r="B253" s="46" t="n">
        <v>45762</v>
      </c>
      <c r="C253" s="46" t="n">
        <v>45834</v>
      </c>
      <c r="D253" s="47" t="n">
        <v>23450</v>
      </c>
      <c r="E253" s="47" t="n">
        <v>23598</v>
      </c>
      <c r="F253" s="47" t="n">
        <v>23450</v>
      </c>
      <c r="G253" s="47" t="n">
        <v>23551.4</v>
      </c>
      <c r="H253" s="47" t="n">
        <v>23560.3</v>
      </c>
      <c r="I253" s="47" t="n">
        <v>23551.4</v>
      </c>
      <c r="J253" s="48" t="n">
        <v>3253</v>
      </c>
      <c r="K253" s="47" t="n">
        <v>57470.48</v>
      </c>
      <c r="L253" s="48" t="n">
        <v>970200</v>
      </c>
      <c r="M253" s="48" t="n">
        <v>2400</v>
      </c>
      <c r="N253" s="47" t="n">
        <v>23328.55</v>
      </c>
      <c r="O253" s="47" t="n">
        <f aca="false">IF(AND(ISNUMBER(G253),ISNUMBER(N253)),G253-N253,"")</f>
        <v>222.850000000002</v>
      </c>
      <c r="P253" s="49" t="n">
        <f aca="false">IF(ISNUMBER(O253),O253/N253,"")</f>
        <v>0.00955267258359402</v>
      </c>
      <c r="Q253" s="50" t="n">
        <f aca="false">C253-B253</f>
        <v>72</v>
      </c>
      <c r="R253" s="51" t="n">
        <f aca="false">IF(AND(C253=C252,ISNUMBER(G253),ISNUMBER(G252)),(G253/G252-1)*100,"")</f>
        <v>1.83596520054656</v>
      </c>
      <c r="S253" s="51" t="n">
        <f aca="false">IF(AND(C253=C252,ISNUMBER(L253),ISNUMBER(L252)),(L253/L252-1)*100,"")</f>
        <v>0.247985120892746</v>
      </c>
      <c r="T253" s="51" t="n">
        <f aca="false">IF(AND(C253=C252,ISNUMBER(G253),ISNUMBER(G252)),G253-G252,"")</f>
        <v>424.600000000002</v>
      </c>
      <c r="U253" s="1" t="str">
        <f aca="false">IF(OR(NOT(ISNUMBER(R253)),NOT(ISNUMBER(S253))),"Not classified",IF(AND(R253&gt;0,S253&gt;0),"Long buildup (interpretation)",IF(AND(R253&lt;0,S253&gt;0),"Short buildup (interpretation)",IF(AND(R253&gt;0,S253&lt;0),"Short covering (interpretation)",IF(AND(R253&lt;0,S253&lt;0),"Long unwinding (interpretation)","Neutral")))))</f>
        <v>Long buildup (interpretation)</v>
      </c>
      <c r="V253" s="52" t="str">
        <f aca="false">TEXT(B253,"yyyy-mm")</f>
        <v>2025-04</v>
      </c>
      <c r="W253" s="52" t="n">
        <f aca="false">1+COUNTIFS($B$2:$B$756,B253,$C$2:$C$756,"&lt;"&amp;C253)</f>
        <v>3</v>
      </c>
      <c r="X253" s="53" t="n">
        <f aca="false">IF(AND(ISNUMBER(P253),Q253&gt;0),P253*365/Q253,"")</f>
        <v>0.0484267429584974</v>
      </c>
      <c r="Y253" s="42" t="n">
        <f aca="false">IF(AND(C254=C253,ISNUMBER(R254)),R254,"")</f>
        <v>0.444134955883713</v>
      </c>
      <c r="Z253" s="52" t="n">
        <f aca="false">IF(AND(W253=1,Q253&gt;Basis_Analysis!$B$3,ISNUMBER(Y253)),1,0)</f>
        <v>0</v>
      </c>
      <c r="AA253" s="43" t="str">
        <f aca="false">IF(W253=1,IF(SUMIFS($L$2:$L$756,$B$2:$B$756,B253,$W$2:$W$756,2)&gt;0,SUMIFS($L$2:$L$756,$B$2:$B$756,B253,$W$2:$W$756,2),""),"")</f>
        <v/>
      </c>
      <c r="AB253" s="54" t="str">
        <f aca="false">IF(AND(W253=1,ISNUMBER(AA253)),L253/(L253+AA253),"")</f>
        <v/>
      </c>
    </row>
    <row r="254" customFormat="false" ht="15" hidden="false" customHeight="true" outlineLevel="0" collapsed="false">
      <c r="A254" s="1" t="s">
        <v>274</v>
      </c>
      <c r="B254" s="46" t="n">
        <v>45763</v>
      </c>
      <c r="C254" s="46" t="n">
        <v>45834</v>
      </c>
      <c r="D254" s="47" t="n">
        <v>23552</v>
      </c>
      <c r="E254" s="47" t="n">
        <v>23671.5</v>
      </c>
      <c r="F254" s="47" t="n">
        <v>23489</v>
      </c>
      <c r="G254" s="47" t="n">
        <v>23656</v>
      </c>
      <c r="H254" s="47" t="n">
        <v>23660</v>
      </c>
      <c r="I254" s="47" t="n">
        <v>23656</v>
      </c>
      <c r="J254" s="48" t="n">
        <v>3321</v>
      </c>
      <c r="K254" s="47" t="n">
        <v>58726.81</v>
      </c>
      <c r="L254" s="48" t="n">
        <v>989325</v>
      </c>
      <c r="M254" s="48" t="n">
        <v>19125</v>
      </c>
      <c r="N254" s="47" t="n">
        <v>23437.2</v>
      </c>
      <c r="O254" s="47" t="n">
        <f aca="false">IF(AND(ISNUMBER(G254),ISNUMBER(N254)),G254-N254,"")</f>
        <v>218.799999999999</v>
      </c>
      <c r="P254" s="49" t="n">
        <f aca="false">IF(ISNUMBER(O254),O254/N254,"")</f>
        <v>0.00933558616216951</v>
      </c>
      <c r="Q254" s="50" t="n">
        <f aca="false">C254-B254</f>
        <v>71</v>
      </c>
      <c r="R254" s="51" t="n">
        <f aca="false">IF(AND(C254=C253,ISNUMBER(G254),ISNUMBER(G253)),(G254/G253-1)*100,"")</f>
        <v>0.444134955883713</v>
      </c>
      <c r="S254" s="51" t="n">
        <f aca="false">IF(AND(C254=C253,ISNUMBER(L254),ISNUMBER(L253)),(L254/L253-1)*100,"")</f>
        <v>1.97124304267162</v>
      </c>
      <c r="T254" s="51" t="n">
        <f aca="false">IF(AND(C254=C253,ISNUMBER(G254),ISNUMBER(G253)),G254-G253,"")</f>
        <v>104.599999999999</v>
      </c>
      <c r="U254" s="1" t="str">
        <f aca="false">IF(OR(NOT(ISNUMBER(R254)),NOT(ISNUMBER(S254))),"Not classified",IF(AND(R254&gt;0,S254&gt;0),"Long buildup (interpretation)",IF(AND(R254&lt;0,S254&gt;0),"Short buildup (interpretation)",IF(AND(R254&gt;0,S254&lt;0),"Short covering (interpretation)",IF(AND(R254&lt;0,S254&lt;0),"Long unwinding (interpretation)","Neutral")))))</f>
        <v>Long buildup (interpretation)</v>
      </c>
      <c r="V254" s="52" t="str">
        <f aca="false">TEXT(B254,"yyyy-mm")</f>
        <v>2025-04</v>
      </c>
      <c r="W254" s="52" t="n">
        <f aca="false">1+COUNTIFS($B$2:$B$756,B254,$C$2:$C$756,"&lt;"&amp;C254)</f>
        <v>3</v>
      </c>
      <c r="X254" s="53" t="n">
        <f aca="false">IF(AND(ISNUMBER(P254),Q254&gt;0),P254*365/Q254,"")</f>
        <v>0.047992802101294</v>
      </c>
      <c r="Y254" s="42" t="n">
        <f aca="false">IF(AND(C255=C254,ISNUMBER(R255)),R255,"")</f>
        <v>1.70865742306392</v>
      </c>
      <c r="Z254" s="52" t="n">
        <f aca="false">IF(AND(W254=1,Q254&gt;Basis_Analysis!$B$3,ISNUMBER(Y254)),1,0)</f>
        <v>0</v>
      </c>
      <c r="AA254" s="43" t="str">
        <f aca="false">IF(W254=1,IF(SUMIFS($L$2:$L$756,$B$2:$B$756,B254,$W$2:$W$756,2)&gt;0,SUMIFS($L$2:$L$756,$B$2:$B$756,B254,$W$2:$W$756,2),""),"")</f>
        <v/>
      </c>
      <c r="AB254" s="54" t="str">
        <f aca="false">IF(AND(W254=1,ISNUMBER(AA254)),L254/(L254+AA254),"")</f>
        <v/>
      </c>
    </row>
    <row r="255" customFormat="false" ht="15" hidden="false" customHeight="true" outlineLevel="0" collapsed="false">
      <c r="A255" s="1" t="s">
        <v>274</v>
      </c>
      <c r="B255" s="46" t="n">
        <v>45764</v>
      </c>
      <c r="C255" s="46" t="n">
        <v>45834</v>
      </c>
      <c r="D255" s="47" t="n">
        <v>23644.1</v>
      </c>
      <c r="E255" s="47" t="n">
        <v>24080</v>
      </c>
      <c r="F255" s="47" t="n">
        <v>23561.3</v>
      </c>
      <c r="G255" s="47" t="n">
        <v>24060.2</v>
      </c>
      <c r="H255" s="47" t="n">
        <v>24060.1</v>
      </c>
      <c r="I255" s="47" t="n">
        <v>24060.2</v>
      </c>
      <c r="J255" s="48" t="n">
        <v>9294</v>
      </c>
      <c r="K255" s="47" t="n">
        <v>166004.18</v>
      </c>
      <c r="L255" s="48" t="n">
        <v>1144350</v>
      </c>
      <c r="M255" s="48" t="n">
        <v>155025</v>
      </c>
      <c r="N255" s="47" t="n">
        <v>23851.65</v>
      </c>
      <c r="O255" s="47" t="n">
        <f aca="false">IF(AND(ISNUMBER(G255),ISNUMBER(N255)),G255-N255,"")</f>
        <v>208.549999999999</v>
      </c>
      <c r="P255" s="49" t="n">
        <f aca="false">IF(ISNUMBER(O255),O255/N255,"")</f>
        <v>0.00874362989562564</v>
      </c>
      <c r="Q255" s="50" t="n">
        <f aca="false">C255-B255</f>
        <v>70</v>
      </c>
      <c r="R255" s="51" t="n">
        <f aca="false">IF(AND(C255=C254,ISNUMBER(G255),ISNUMBER(G254)),(G255/G254-1)*100,"")</f>
        <v>1.70865742306392</v>
      </c>
      <c r="S255" s="51" t="n">
        <f aca="false">IF(AND(C255=C254,ISNUMBER(L255),ISNUMBER(L254)),(L255/L254-1)*100,"")</f>
        <v>15.6697748464862</v>
      </c>
      <c r="T255" s="51" t="n">
        <f aca="false">IF(AND(C255=C254,ISNUMBER(G255),ISNUMBER(G254)),G255-G254,"")</f>
        <v>404.200000000001</v>
      </c>
      <c r="U255" s="1" t="str">
        <f aca="false">IF(OR(NOT(ISNUMBER(R255)),NOT(ISNUMBER(S255))),"Not classified",IF(AND(R255&gt;0,S255&gt;0),"Long buildup (interpretation)",IF(AND(R255&lt;0,S255&gt;0),"Short buildup (interpretation)",IF(AND(R255&gt;0,S255&lt;0),"Short covering (interpretation)",IF(AND(R255&lt;0,S255&lt;0),"Long unwinding (interpretation)","Neutral")))))</f>
        <v>Long buildup (interpretation)</v>
      </c>
      <c r="V255" s="52" t="str">
        <f aca="false">TEXT(B255,"yyyy-mm")</f>
        <v>2025-04</v>
      </c>
      <c r="W255" s="52" t="n">
        <f aca="false">1+COUNTIFS($B$2:$B$756,B255,$C$2:$C$756,"&lt;"&amp;C255)</f>
        <v>3</v>
      </c>
      <c r="X255" s="53" t="n">
        <f aca="false">IF(AND(ISNUMBER(P255),Q255&gt;0),P255*365/Q255,"")</f>
        <v>0.0455917844557623</v>
      </c>
      <c r="Y255" s="42" t="n">
        <f aca="false">IF(AND(C256=C255,ISNUMBER(R256)),R256,"")</f>
        <v>1.28510984946093</v>
      </c>
      <c r="Z255" s="52" t="n">
        <f aca="false">IF(AND(W255=1,Q255&gt;Basis_Analysis!$B$3,ISNUMBER(Y255)),1,0)</f>
        <v>0</v>
      </c>
      <c r="AA255" s="43" t="str">
        <f aca="false">IF(W255=1,IF(SUMIFS($L$2:$L$756,$B$2:$B$756,B255,$W$2:$W$756,2)&gt;0,SUMIFS($L$2:$L$756,$B$2:$B$756,B255,$W$2:$W$756,2),""),"")</f>
        <v/>
      </c>
      <c r="AB255" s="54" t="str">
        <f aca="false">IF(AND(W255=1,ISNUMBER(AA255)),L255/(L255+AA255),"")</f>
        <v/>
      </c>
    </row>
    <row r="256" customFormat="false" ht="15" hidden="false" customHeight="true" outlineLevel="0" collapsed="false">
      <c r="A256" s="1" t="s">
        <v>274</v>
      </c>
      <c r="B256" s="46" t="n">
        <v>45768</v>
      </c>
      <c r="C256" s="46" t="n">
        <v>45834</v>
      </c>
      <c r="D256" s="47" t="n">
        <v>24100.8</v>
      </c>
      <c r="E256" s="47" t="n">
        <v>24426.7</v>
      </c>
      <c r="F256" s="47" t="n">
        <v>24099.9</v>
      </c>
      <c r="G256" s="47" t="n">
        <v>24369.4</v>
      </c>
      <c r="H256" s="47" t="n">
        <v>24372</v>
      </c>
      <c r="I256" s="47" t="n">
        <v>24369.4</v>
      </c>
      <c r="J256" s="48" t="n">
        <v>6570</v>
      </c>
      <c r="K256" s="47" t="n">
        <v>119753.19</v>
      </c>
      <c r="L256" s="48" t="n">
        <v>1185750</v>
      </c>
      <c r="M256" s="48" t="n">
        <v>41400</v>
      </c>
      <c r="N256" s="47" t="n">
        <v>24125.55</v>
      </c>
      <c r="O256" s="47" t="n">
        <f aca="false">IF(AND(ISNUMBER(G256),ISNUMBER(N256)),G256-N256,"")</f>
        <v>243.850000000002</v>
      </c>
      <c r="P256" s="49" t="n">
        <f aca="false">IF(ISNUMBER(O256),O256/N256,"")</f>
        <v>0.0101075415897255</v>
      </c>
      <c r="Q256" s="50" t="n">
        <f aca="false">C256-B256</f>
        <v>66</v>
      </c>
      <c r="R256" s="51" t="n">
        <f aca="false">IF(AND(C256=C255,ISNUMBER(G256),ISNUMBER(G255)),(G256/G255-1)*100,"")</f>
        <v>1.28510984946093</v>
      </c>
      <c r="S256" s="51" t="n">
        <f aca="false">IF(AND(C256=C255,ISNUMBER(L256),ISNUMBER(L255)),(L256/L255-1)*100,"")</f>
        <v>3.61777428234369</v>
      </c>
      <c r="T256" s="51" t="n">
        <f aca="false">IF(AND(C256=C255,ISNUMBER(G256),ISNUMBER(G255)),G256-G255,"")</f>
        <v>309.200000000001</v>
      </c>
      <c r="U256" s="1" t="str">
        <f aca="false">IF(OR(NOT(ISNUMBER(R256)),NOT(ISNUMBER(S256))),"Not classified",IF(AND(R256&gt;0,S256&gt;0),"Long buildup (interpretation)",IF(AND(R256&lt;0,S256&gt;0),"Short buildup (interpretation)",IF(AND(R256&gt;0,S256&lt;0),"Short covering (interpretation)",IF(AND(R256&lt;0,S256&lt;0),"Long unwinding (interpretation)","Neutral")))))</f>
        <v>Long buildup (interpretation)</v>
      </c>
      <c r="V256" s="52" t="str">
        <f aca="false">TEXT(B256,"yyyy-mm")</f>
        <v>2025-04</v>
      </c>
      <c r="W256" s="52" t="n">
        <f aca="false">1+COUNTIFS($B$2:$B$756,B256,$C$2:$C$756,"&lt;"&amp;C256)</f>
        <v>3</v>
      </c>
      <c r="X256" s="53" t="n">
        <f aca="false">IF(AND(ISNUMBER(P256),Q256&gt;0),P256*365/Q256,"")</f>
        <v>0.0558977678825729</v>
      </c>
      <c r="Y256" s="42" t="n">
        <f aca="false">IF(AND(C257=C256,ISNUMBER(R257)),R257,"")</f>
        <v>0.184247457877484</v>
      </c>
      <c r="Z256" s="52" t="n">
        <f aca="false">IF(AND(W256=1,Q256&gt;Basis_Analysis!$B$3,ISNUMBER(Y256)),1,0)</f>
        <v>0</v>
      </c>
      <c r="AA256" s="43" t="str">
        <f aca="false">IF(W256=1,IF(SUMIFS($L$2:$L$756,$B$2:$B$756,B256,$W$2:$W$756,2)&gt;0,SUMIFS($L$2:$L$756,$B$2:$B$756,B256,$W$2:$W$756,2),""),"")</f>
        <v/>
      </c>
      <c r="AB256" s="54" t="str">
        <f aca="false">IF(AND(W256=1,ISNUMBER(AA256)),L256/(L256+AA256),"")</f>
        <v/>
      </c>
    </row>
    <row r="257" customFormat="false" ht="15" hidden="false" customHeight="true" outlineLevel="0" collapsed="false">
      <c r="A257" s="1" t="s">
        <v>274</v>
      </c>
      <c r="B257" s="46" t="n">
        <v>45769</v>
      </c>
      <c r="C257" s="46" t="n">
        <v>45834</v>
      </c>
      <c r="D257" s="47" t="n">
        <v>24400</v>
      </c>
      <c r="E257" s="47" t="n">
        <v>24480</v>
      </c>
      <c r="F257" s="47" t="n">
        <v>24311.6</v>
      </c>
      <c r="G257" s="47" t="n">
        <v>24414.3</v>
      </c>
      <c r="H257" s="47" t="n">
        <v>24400</v>
      </c>
      <c r="I257" s="47" t="n">
        <v>24414.3</v>
      </c>
      <c r="J257" s="48" t="n">
        <v>3750</v>
      </c>
      <c r="K257" s="47" t="n">
        <v>68668.87</v>
      </c>
      <c r="L257" s="48" t="n">
        <v>1230450</v>
      </c>
      <c r="M257" s="48" t="n">
        <v>44700</v>
      </c>
      <c r="N257" s="47" t="n">
        <v>24167.25</v>
      </c>
      <c r="O257" s="47" t="n">
        <f aca="false">IF(AND(ISNUMBER(G257),ISNUMBER(N257)),G257-N257,"")</f>
        <v>247.049999999999</v>
      </c>
      <c r="P257" s="49" t="n">
        <f aca="false">IF(ISNUMBER(O257),O257/N257,"")</f>
        <v>0.0102225118704031</v>
      </c>
      <c r="Q257" s="50" t="n">
        <f aca="false">C257-B257</f>
        <v>65</v>
      </c>
      <c r="R257" s="51" t="n">
        <f aca="false">IF(AND(C257=C256,ISNUMBER(G257),ISNUMBER(G256)),(G257/G256-1)*100,"")</f>
        <v>0.184247457877484</v>
      </c>
      <c r="S257" s="51" t="n">
        <f aca="false">IF(AND(C257=C256,ISNUMBER(L257),ISNUMBER(L256)),(L257/L256-1)*100,"")</f>
        <v>3.76976597090448</v>
      </c>
      <c r="T257" s="51" t="n">
        <f aca="false">IF(AND(C257=C256,ISNUMBER(G257),ISNUMBER(G256)),G257-G256,"")</f>
        <v>44.8999999999978</v>
      </c>
      <c r="U257" s="1" t="str">
        <f aca="false">IF(OR(NOT(ISNUMBER(R257)),NOT(ISNUMBER(S257))),"Not classified",IF(AND(R257&gt;0,S257&gt;0),"Long buildup (interpretation)",IF(AND(R257&lt;0,S257&gt;0),"Short buildup (interpretation)",IF(AND(R257&gt;0,S257&lt;0),"Short covering (interpretation)",IF(AND(R257&lt;0,S257&lt;0),"Long unwinding (interpretation)","Neutral")))))</f>
        <v>Long buildup (interpretation)</v>
      </c>
      <c r="V257" s="52" t="str">
        <f aca="false">TEXT(B257,"yyyy-mm")</f>
        <v>2025-04</v>
      </c>
      <c r="W257" s="52" t="n">
        <f aca="false">1+COUNTIFS($B$2:$B$756,B257,$C$2:$C$756,"&lt;"&amp;C257)</f>
        <v>3</v>
      </c>
      <c r="X257" s="53" t="n">
        <f aca="false">IF(AND(ISNUMBER(P257),Q257&gt;0),P257*365/Q257,"")</f>
        <v>0.0574033358876482</v>
      </c>
      <c r="Y257" s="42" t="n">
        <f aca="false">IF(AND(C258=C257,ISNUMBER(R258)),R258,"")</f>
        <v>0.585312706078001</v>
      </c>
      <c r="Z257" s="52" t="n">
        <f aca="false">IF(AND(W257=1,Q257&gt;Basis_Analysis!$B$3,ISNUMBER(Y257)),1,0)</f>
        <v>0</v>
      </c>
      <c r="AA257" s="43" t="str">
        <f aca="false">IF(W257=1,IF(SUMIFS($L$2:$L$756,$B$2:$B$756,B257,$W$2:$W$756,2)&gt;0,SUMIFS($L$2:$L$756,$B$2:$B$756,B257,$W$2:$W$756,2),""),"")</f>
        <v/>
      </c>
      <c r="AB257" s="54" t="str">
        <f aca="false">IF(AND(W257=1,ISNUMBER(AA257)),L257/(L257+AA257),"")</f>
        <v/>
      </c>
    </row>
    <row r="258" customFormat="false" ht="15" hidden="false" customHeight="true" outlineLevel="0" collapsed="false">
      <c r="A258" s="1" t="s">
        <v>274</v>
      </c>
      <c r="B258" s="46" t="n">
        <v>45770</v>
      </c>
      <c r="C258" s="46" t="n">
        <v>45834</v>
      </c>
      <c r="D258" s="47" t="n">
        <v>24500</v>
      </c>
      <c r="E258" s="47" t="n">
        <v>24598.6</v>
      </c>
      <c r="F258" s="47" t="n">
        <v>24370</v>
      </c>
      <c r="G258" s="47" t="n">
        <v>24557.2</v>
      </c>
      <c r="H258" s="47" t="n">
        <v>24548</v>
      </c>
      <c r="I258" s="47" t="n">
        <v>24557.2</v>
      </c>
      <c r="J258" s="48" t="n">
        <v>5463</v>
      </c>
      <c r="K258" s="47" t="n">
        <v>100436.08</v>
      </c>
      <c r="L258" s="48" t="n">
        <v>1280850</v>
      </c>
      <c r="M258" s="48" t="n">
        <v>50400</v>
      </c>
      <c r="N258" s="47" t="n">
        <v>24328.95</v>
      </c>
      <c r="O258" s="47" t="n">
        <f aca="false">IF(AND(ISNUMBER(G258),ISNUMBER(N258)),G258-N258,"")</f>
        <v>228.25</v>
      </c>
      <c r="P258" s="49" t="n">
        <f aca="false">IF(ISNUMBER(O258),O258/N258,"")</f>
        <v>0.00938182700034321</v>
      </c>
      <c r="Q258" s="50" t="n">
        <f aca="false">C258-B258</f>
        <v>64</v>
      </c>
      <c r="R258" s="51" t="n">
        <f aca="false">IF(AND(C258=C257,ISNUMBER(G258),ISNUMBER(G257)),(G258/G257-1)*100,"")</f>
        <v>0.585312706078001</v>
      </c>
      <c r="S258" s="51" t="n">
        <f aca="false">IF(AND(C258=C257,ISNUMBER(L258),ISNUMBER(L257)),(L258/L257-1)*100,"")</f>
        <v>4.09606241618921</v>
      </c>
      <c r="T258" s="51" t="n">
        <f aca="false">IF(AND(C258=C257,ISNUMBER(G258),ISNUMBER(G257)),G258-G257,"")</f>
        <v>142.900000000001</v>
      </c>
      <c r="U258" s="1" t="str">
        <f aca="false">IF(OR(NOT(ISNUMBER(R258)),NOT(ISNUMBER(S258))),"Not classified",IF(AND(R258&gt;0,S258&gt;0),"Long buildup (interpretation)",IF(AND(R258&lt;0,S258&gt;0),"Short buildup (interpretation)",IF(AND(R258&gt;0,S258&lt;0),"Short covering (interpretation)",IF(AND(R258&lt;0,S258&lt;0),"Long unwinding (interpretation)","Neutral")))))</f>
        <v>Long buildup (interpretation)</v>
      </c>
      <c r="V258" s="52" t="str">
        <f aca="false">TEXT(B258,"yyyy-mm")</f>
        <v>2025-04</v>
      </c>
      <c r="W258" s="52" t="n">
        <f aca="false">1+COUNTIFS($B$2:$B$756,B258,$C$2:$C$756,"&lt;"&amp;C258)</f>
        <v>3</v>
      </c>
      <c r="X258" s="53" t="n">
        <f aca="false">IF(AND(ISNUMBER(P258),Q258&gt;0),P258*365/Q258,"")</f>
        <v>0.0535057321113324</v>
      </c>
      <c r="Y258" s="42" t="n">
        <f aca="false">IF(AND(C259=C258,ISNUMBER(R259)),R259,"")</f>
        <v>-0.336764777743392</v>
      </c>
      <c r="Z258" s="52" t="n">
        <f aca="false">IF(AND(W258=1,Q258&gt;Basis_Analysis!$B$3,ISNUMBER(Y258)),1,0)</f>
        <v>0</v>
      </c>
      <c r="AA258" s="43" t="str">
        <f aca="false">IF(W258=1,IF(SUMIFS($L$2:$L$756,$B$2:$B$756,B258,$W$2:$W$756,2)&gt;0,SUMIFS($L$2:$L$756,$B$2:$B$756,B258,$W$2:$W$756,2),""),"")</f>
        <v/>
      </c>
      <c r="AB258" s="54" t="str">
        <f aca="false">IF(AND(W258=1,ISNUMBER(AA258)),L258/(L258+AA258),"")</f>
        <v/>
      </c>
    </row>
    <row r="259" customFormat="false" ht="15" hidden="false" customHeight="true" outlineLevel="0" collapsed="false">
      <c r="A259" s="1" t="s">
        <v>274</v>
      </c>
      <c r="B259" s="46" t="n">
        <v>45771</v>
      </c>
      <c r="C259" s="46" t="n">
        <v>45834</v>
      </c>
      <c r="D259" s="47" t="n">
        <v>24569.7</v>
      </c>
      <c r="E259" s="47" t="n">
        <v>24609.1</v>
      </c>
      <c r="F259" s="47" t="n">
        <v>24461.9</v>
      </c>
      <c r="G259" s="47" t="n">
        <v>24474.5</v>
      </c>
      <c r="H259" s="47" t="n">
        <v>24486</v>
      </c>
      <c r="I259" s="47" t="n">
        <v>24474.5</v>
      </c>
      <c r="J259" s="48" t="n">
        <v>3761</v>
      </c>
      <c r="K259" s="47" t="n">
        <v>69141.99</v>
      </c>
      <c r="L259" s="48" t="n">
        <v>1321575</v>
      </c>
      <c r="M259" s="48" t="n">
        <v>40725</v>
      </c>
      <c r="N259" s="47" t="n">
        <v>24246.7</v>
      </c>
      <c r="O259" s="47" t="n">
        <f aca="false">IF(AND(ISNUMBER(G259),ISNUMBER(N259)),G259-N259,"")</f>
        <v>227.799999999999</v>
      </c>
      <c r="P259" s="49" t="n">
        <f aca="false">IF(ISNUMBER(O259),O259/N259,"")</f>
        <v>0.00939509294048259</v>
      </c>
      <c r="Q259" s="50" t="n">
        <f aca="false">C259-B259</f>
        <v>63</v>
      </c>
      <c r="R259" s="51" t="n">
        <f aca="false">IF(AND(C259=C258,ISNUMBER(G259),ISNUMBER(G258)),(G259/G258-1)*100,"")</f>
        <v>-0.336764777743392</v>
      </c>
      <c r="S259" s="51" t="n">
        <f aca="false">IF(AND(C259=C258,ISNUMBER(L259),ISNUMBER(L258)),(L259/L258-1)*100,"")</f>
        <v>3.1795292188781</v>
      </c>
      <c r="T259" s="51" t="n">
        <f aca="false">IF(AND(C259=C258,ISNUMBER(G259),ISNUMBER(G258)),G259-G258,"")</f>
        <v>-82.7000000000007</v>
      </c>
      <c r="U259" s="1" t="str">
        <f aca="false">IF(OR(NOT(ISNUMBER(R259)),NOT(ISNUMBER(S259))),"Not classified",IF(AND(R259&gt;0,S259&gt;0),"Long buildup (interpretation)",IF(AND(R259&lt;0,S259&gt;0),"Short buildup (interpretation)",IF(AND(R259&gt;0,S259&lt;0),"Short covering (interpretation)",IF(AND(R259&lt;0,S259&lt;0),"Long unwinding (interpretation)","Neutral")))))</f>
        <v>Short buildup (interpretation)</v>
      </c>
      <c r="V259" s="52" t="str">
        <f aca="false">TEXT(B259,"yyyy-mm")</f>
        <v>2025-04</v>
      </c>
      <c r="W259" s="52" t="n">
        <f aca="false">1+COUNTIFS($B$2:$B$756,B259,$C$2:$C$756,"&lt;"&amp;C259)</f>
        <v>3</v>
      </c>
      <c r="X259" s="53" t="n">
        <f aca="false">IF(AND(ISNUMBER(P259),Q259&gt;0),P259*365/Q259,"")</f>
        <v>0.0544318876710499</v>
      </c>
      <c r="Y259" s="42" t="n">
        <f aca="false">IF(AND(C260=C259,ISNUMBER(R260)),R260,"")</f>
        <v>-0.944248094955968</v>
      </c>
      <c r="Z259" s="52" t="n">
        <f aca="false">IF(AND(W259=1,Q259&gt;Basis_Analysis!$B$3,ISNUMBER(Y259)),1,0)</f>
        <v>0</v>
      </c>
      <c r="AA259" s="43" t="str">
        <f aca="false">IF(W259=1,IF(SUMIFS($L$2:$L$756,$B$2:$B$756,B259,$W$2:$W$756,2)&gt;0,SUMIFS($L$2:$L$756,$B$2:$B$756,B259,$W$2:$W$756,2),""),"")</f>
        <v/>
      </c>
      <c r="AB259" s="54" t="str">
        <f aca="false">IF(AND(W259=1,ISNUMBER(AA259)),L259/(L259+AA259),"")</f>
        <v/>
      </c>
    </row>
    <row r="260" customFormat="false" ht="15" hidden="false" customHeight="true" outlineLevel="0" collapsed="false">
      <c r="A260" s="1" t="s">
        <v>274</v>
      </c>
      <c r="B260" s="46" t="n">
        <v>45772</v>
      </c>
      <c r="C260" s="46" t="n">
        <v>45834</v>
      </c>
      <c r="D260" s="47" t="n">
        <v>24450</v>
      </c>
      <c r="E260" s="47" t="n">
        <v>24598.9</v>
      </c>
      <c r="F260" s="47" t="n">
        <v>24082.4</v>
      </c>
      <c r="G260" s="47" t="n">
        <v>24243.4</v>
      </c>
      <c r="H260" s="47" t="n">
        <v>24212</v>
      </c>
      <c r="I260" s="47" t="n">
        <v>24243.4</v>
      </c>
      <c r="J260" s="48" t="n">
        <v>9543</v>
      </c>
      <c r="K260" s="47" t="n">
        <v>173857.49</v>
      </c>
      <c r="L260" s="48" t="n">
        <v>1403025</v>
      </c>
      <c r="M260" s="48" t="n">
        <v>81450</v>
      </c>
      <c r="N260" s="47" t="n">
        <v>24039.35</v>
      </c>
      <c r="O260" s="47" t="n">
        <f aca="false">IF(AND(ISNUMBER(G260),ISNUMBER(N260)),G260-N260,"")</f>
        <v>204.050000000003</v>
      </c>
      <c r="P260" s="49" t="n">
        <f aca="false">IF(ISNUMBER(O260),O260/N260,"")</f>
        <v>0.00848816627737451</v>
      </c>
      <c r="Q260" s="50" t="n">
        <f aca="false">C260-B260</f>
        <v>62</v>
      </c>
      <c r="R260" s="51" t="n">
        <f aca="false">IF(AND(C260=C259,ISNUMBER(G260),ISNUMBER(G259)),(G260/G259-1)*100,"")</f>
        <v>-0.944248094955968</v>
      </c>
      <c r="S260" s="51" t="n">
        <f aca="false">IF(AND(C260=C259,ISNUMBER(L260),ISNUMBER(L259)),(L260/L259-1)*100,"")</f>
        <v>6.16310084558198</v>
      </c>
      <c r="T260" s="51" t="n">
        <f aca="false">IF(AND(C260=C259,ISNUMBER(G260),ISNUMBER(G259)),G260-G259,"")</f>
        <v>-231.099999999999</v>
      </c>
      <c r="U260" s="1" t="str">
        <f aca="false">IF(OR(NOT(ISNUMBER(R260)),NOT(ISNUMBER(S260))),"Not classified",IF(AND(R260&gt;0,S260&gt;0),"Long buildup (interpretation)",IF(AND(R260&lt;0,S260&gt;0),"Short buildup (interpretation)",IF(AND(R260&gt;0,S260&lt;0),"Short covering (interpretation)",IF(AND(R260&lt;0,S260&lt;0),"Long unwinding (interpretation)","Neutral")))))</f>
        <v>Short buildup (interpretation)</v>
      </c>
      <c r="V260" s="52" t="str">
        <f aca="false">TEXT(B260,"yyyy-mm")</f>
        <v>2025-04</v>
      </c>
      <c r="W260" s="52" t="n">
        <f aca="false">1+COUNTIFS($B$2:$B$756,B260,$C$2:$C$756,"&lt;"&amp;C260)</f>
        <v>2</v>
      </c>
      <c r="X260" s="53" t="n">
        <f aca="false">IF(AND(ISNUMBER(P260),Q260&gt;0),P260*365/Q260,"")</f>
        <v>0.0499706563103499</v>
      </c>
      <c r="Y260" s="42" t="n">
        <f aca="false">IF(AND(C261=C260,ISNUMBER(R261)),R261,"")</f>
        <v>1.29684780187596</v>
      </c>
      <c r="Z260" s="52" t="n">
        <f aca="false">IF(AND(W260=1,Q260&gt;Basis_Analysis!$B$3,ISNUMBER(Y260)),1,0)</f>
        <v>0</v>
      </c>
      <c r="AA260" s="43" t="str">
        <f aca="false">IF(W260=1,IF(SUMIFS($L$2:$L$756,$B$2:$B$756,B260,$W$2:$W$756,2)&gt;0,SUMIFS($L$2:$L$756,$B$2:$B$756,B260,$W$2:$W$756,2),""),"")</f>
        <v/>
      </c>
      <c r="AB260" s="54" t="str">
        <f aca="false">IF(AND(W260=1,ISNUMBER(AA260)),L260/(L260+AA260),"")</f>
        <v/>
      </c>
    </row>
    <row r="261" customFormat="false" ht="15" hidden="false" customHeight="true" outlineLevel="0" collapsed="false">
      <c r="A261" s="1" t="s">
        <v>274</v>
      </c>
      <c r="B261" s="46" t="n">
        <v>45775</v>
      </c>
      <c r="C261" s="46" t="n">
        <v>45834</v>
      </c>
      <c r="D261" s="47" t="n">
        <v>24288.8</v>
      </c>
      <c r="E261" s="47" t="n">
        <v>24586.9</v>
      </c>
      <c r="F261" s="47" t="n">
        <v>24261.9</v>
      </c>
      <c r="G261" s="47" t="n">
        <v>24557.8</v>
      </c>
      <c r="H261" s="47" t="n">
        <v>24562</v>
      </c>
      <c r="I261" s="47" t="n">
        <v>24557.8</v>
      </c>
      <c r="J261" s="48" t="n">
        <v>6655</v>
      </c>
      <c r="K261" s="47" t="n">
        <v>122222.31</v>
      </c>
      <c r="L261" s="48" t="n">
        <v>1484775</v>
      </c>
      <c r="M261" s="48" t="n">
        <v>81750</v>
      </c>
      <c r="N261" s="47" t="n">
        <v>24328.5</v>
      </c>
      <c r="O261" s="47" t="n">
        <f aca="false">IF(AND(ISNUMBER(G261),ISNUMBER(N261)),G261-N261,"")</f>
        <v>229.299999999999</v>
      </c>
      <c r="P261" s="49" t="n">
        <f aca="false">IF(ISNUMBER(O261),O261/N261,"")</f>
        <v>0.00942515979201345</v>
      </c>
      <c r="Q261" s="50" t="n">
        <f aca="false">C261-B261</f>
        <v>59</v>
      </c>
      <c r="R261" s="51" t="n">
        <f aca="false">IF(AND(C261=C260,ISNUMBER(G261),ISNUMBER(G260)),(G261/G260-1)*100,"")</f>
        <v>1.29684780187596</v>
      </c>
      <c r="S261" s="51" t="n">
        <f aca="false">IF(AND(C261=C260,ISNUMBER(L261),ISNUMBER(L260)),(L261/L260-1)*100,"")</f>
        <v>5.82669588923932</v>
      </c>
      <c r="T261" s="51" t="n">
        <f aca="false">IF(AND(C261=C260,ISNUMBER(G261),ISNUMBER(G260)),G261-G260,"")</f>
        <v>314.399999999998</v>
      </c>
      <c r="U261" s="1" t="str">
        <f aca="false">IF(OR(NOT(ISNUMBER(R261)),NOT(ISNUMBER(S261))),"Not classified",IF(AND(R261&gt;0,S261&gt;0),"Long buildup (interpretation)",IF(AND(R261&lt;0,S261&gt;0),"Short buildup (interpretation)",IF(AND(R261&gt;0,S261&lt;0),"Short covering (interpretation)",IF(AND(R261&lt;0,S261&lt;0),"Long unwinding (interpretation)","Neutral")))))</f>
        <v>Long buildup (interpretation)</v>
      </c>
      <c r="V261" s="52" t="str">
        <f aca="false">TEXT(B261,"yyyy-mm")</f>
        <v>2025-04</v>
      </c>
      <c r="W261" s="52" t="n">
        <f aca="false">1+COUNTIFS($B$2:$B$756,B261,$C$2:$C$756,"&lt;"&amp;C261)</f>
        <v>2</v>
      </c>
      <c r="X261" s="53" t="n">
        <f aca="false">IF(AND(ISNUMBER(P261),Q261&gt;0),P261*365/Q261,"")</f>
        <v>0.0583081919336425</v>
      </c>
      <c r="Y261" s="42" t="n">
        <f aca="false">IF(AND(C262=C261,ISNUMBER(R262)),R262,"")</f>
        <v>-0.12501119807149</v>
      </c>
      <c r="Z261" s="52" t="n">
        <f aca="false">IF(AND(W261=1,Q261&gt;Basis_Analysis!$B$3,ISNUMBER(Y261)),1,0)</f>
        <v>0</v>
      </c>
      <c r="AA261" s="43" t="str">
        <f aca="false">IF(W261=1,IF(SUMIFS($L$2:$L$756,$B$2:$B$756,B261,$W$2:$W$756,2)&gt;0,SUMIFS($L$2:$L$756,$B$2:$B$756,B261,$W$2:$W$756,2),""),"")</f>
        <v/>
      </c>
      <c r="AB261" s="54" t="str">
        <f aca="false">IF(AND(W261=1,ISNUMBER(AA261)),L261/(L261+AA261),"")</f>
        <v/>
      </c>
    </row>
    <row r="262" customFormat="false" ht="15" hidden="false" customHeight="true" outlineLevel="0" collapsed="false">
      <c r="A262" s="1" t="s">
        <v>274</v>
      </c>
      <c r="B262" s="46" t="n">
        <v>45776</v>
      </c>
      <c r="C262" s="46" t="n">
        <v>45834</v>
      </c>
      <c r="D262" s="47" t="n">
        <v>24586.7</v>
      </c>
      <c r="E262" s="47" t="n">
        <v>24675.4</v>
      </c>
      <c r="F262" s="47" t="n">
        <v>24506</v>
      </c>
      <c r="G262" s="47" t="n">
        <v>24527.1</v>
      </c>
      <c r="H262" s="47" t="n">
        <v>24538</v>
      </c>
      <c r="I262" s="47" t="n">
        <v>24527.1</v>
      </c>
      <c r="J262" s="48" t="n">
        <v>5702</v>
      </c>
      <c r="K262" s="47" t="n">
        <v>105106.06</v>
      </c>
      <c r="L262" s="48" t="n">
        <v>1550100</v>
      </c>
      <c r="M262" s="48" t="n">
        <v>65325</v>
      </c>
      <c r="N262" s="47" t="n">
        <v>24335.95</v>
      </c>
      <c r="O262" s="47" t="n">
        <f aca="false">IF(AND(ISNUMBER(G262),ISNUMBER(N262)),G262-N262,"")</f>
        <v>191.149999999998</v>
      </c>
      <c r="P262" s="49" t="n">
        <f aca="false">IF(ISNUMBER(O262),O262/N262,"")</f>
        <v>0.00785463480981831</v>
      </c>
      <c r="Q262" s="50" t="n">
        <f aca="false">C262-B262</f>
        <v>58</v>
      </c>
      <c r="R262" s="51" t="n">
        <f aca="false">IF(AND(C262=C261,ISNUMBER(G262),ISNUMBER(G261)),(G262/G261-1)*100,"")</f>
        <v>-0.12501119807149</v>
      </c>
      <c r="S262" s="51" t="n">
        <f aca="false">IF(AND(C262=C261,ISNUMBER(L262),ISNUMBER(L261)),(L262/L261-1)*100,"")</f>
        <v>4.39965651361318</v>
      </c>
      <c r="T262" s="51" t="n">
        <f aca="false">IF(AND(C262=C261,ISNUMBER(G262),ISNUMBER(G261)),G262-G261,"")</f>
        <v>-30.7000000000007</v>
      </c>
      <c r="U262" s="1" t="str">
        <f aca="false">IF(OR(NOT(ISNUMBER(R262)),NOT(ISNUMBER(S262))),"Not classified",IF(AND(R262&gt;0,S262&gt;0),"Long buildup (interpretation)",IF(AND(R262&lt;0,S262&gt;0),"Short buildup (interpretation)",IF(AND(R262&gt;0,S262&lt;0),"Short covering (interpretation)",IF(AND(R262&lt;0,S262&lt;0),"Long unwinding (interpretation)","Neutral")))))</f>
        <v>Short buildup (interpretation)</v>
      </c>
      <c r="V262" s="52" t="str">
        <f aca="false">TEXT(B262,"yyyy-mm")</f>
        <v>2025-04</v>
      </c>
      <c r="W262" s="52" t="n">
        <f aca="false">1+COUNTIFS($B$2:$B$756,B262,$C$2:$C$756,"&lt;"&amp;C262)</f>
        <v>2</v>
      </c>
      <c r="X262" s="53" t="n">
        <f aca="false">IF(AND(ISNUMBER(P262),Q262&gt;0),P262*365/Q262,"")</f>
        <v>0.0494300294066152</v>
      </c>
      <c r="Y262" s="42" t="n">
        <f aca="false">IF(AND(C263=C262,ISNUMBER(R263)),R263,"")</f>
        <v>-0.0269090108492187</v>
      </c>
      <c r="Z262" s="52" t="n">
        <f aca="false">IF(AND(W262=1,Q262&gt;Basis_Analysis!$B$3,ISNUMBER(Y262)),1,0)</f>
        <v>0</v>
      </c>
      <c r="AA262" s="43" t="str">
        <f aca="false">IF(W262=1,IF(SUMIFS($L$2:$L$756,$B$2:$B$756,B262,$W$2:$W$756,2)&gt;0,SUMIFS($L$2:$L$756,$B$2:$B$756,B262,$W$2:$W$756,2),""),"")</f>
        <v/>
      </c>
      <c r="AB262" s="54" t="str">
        <f aca="false">IF(AND(W262=1,ISNUMBER(AA262)),L262/(L262+AA262),"")</f>
        <v/>
      </c>
    </row>
    <row r="263" customFormat="false" ht="15" hidden="false" customHeight="true" outlineLevel="0" collapsed="false">
      <c r="A263" s="1" t="s">
        <v>274</v>
      </c>
      <c r="B263" s="46" t="n">
        <v>45777</v>
      </c>
      <c r="C263" s="46" t="n">
        <v>45834</v>
      </c>
      <c r="D263" s="47" t="n">
        <v>24482.5</v>
      </c>
      <c r="E263" s="47" t="n">
        <v>24586</v>
      </c>
      <c r="F263" s="47" t="n">
        <v>24453.5</v>
      </c>
      <c r="G263" s="47" t="n">
        <v>24520.5</v>
      </c>
      <c r="H263" s="47" t="n">
        <v>24484</v>
      </c>
      <c r="I263" s="47" t="n">
        <v>24520.5</v>
      </c>
      <c r="J263" s="48" t="n">
        <v>3615</v>
      </c>
      <c r="K263" s="47" t="n">
        <v>66494.63</v>
      </c>
      <c r="L263" s="48" t="n">
        <v>1583625</v>
      </c>
      <c r="M263" s="48" t="n">
        <v>33525</v>
      </c>
      <c r="N263" s="47" t="n">
        <v>24334.2</v>
      </c>
      <c r="O263" s="47" t="n">
        <f aca="false">IF(AND(ISNUMBER(G263),ISNUMBER(N263)),G263-N263,"")</f>
        <v>186.299999999999</v>
      </c>
      <c r="P263" s="49" t="n">
        <f aca="false">IF(ISNUMBER(O263),O263/N263,"")</f>
        <v>0.00765589170796654</v>
      </c>
      <c r="Q263" s="50" t="n">
        <f aca="false">C263-B263</f>
        <v>57</v>
      </c>
      <c r="R263" s="51" t="n">
        <f aca="false">IF(AND(C263=C262,ISNUMBER(G263),ISNUMBER(G262)),(G263/G262-1)*100,"")</f>
        <v>-0.0269090108492187</v>
      </c>
      <c r="S263" s="51" t="n">
        <f aca="false">IF(AND(C263=C262,ISNUMBER(L263),ISNUMBER(L262)),(L263/L262-1)*100,"")</f>
        <v>2.16276369266499</v>
      </c>
      <c r="T263" s="51" t="n">
        <f aca="false">IF(AND(C263=C262,ISNUMBER(G263),ISNUMBER(G262)),G263-G262,"")</f>
        <v>-6.59999999999855</v>
      </c>
      <c r="U263" s="1" t="str">
        <f aca="false">IF(OR(NOT(ISNUMBER(R263)),NOT(ISNUMBER(S263))),"Not classified",IF(AND(R263&gt;0,S263&gt;0),"Long buildup (interpretation)",IF(AND(R263&lt;0,S263&gt;0),"Short buildup (interpretation)",IF(AND(R263&gt;0,S263&lt;0),"Short covering (interpretation)",IF(AND(R263&lt;0,S263&lt;0),"Long unwinding (interpretation)","Neutral")))))</f>
        <v>Short buildup (interpretation)</v>
      </c>
      <c r="V263" s="52" t="str">
        <f aca="false">TEXT(B263,"yyyy-mm")</f>
        <v>2025-04</v>
      </c>
      <c r="W263" s="52" t="n">
        <f aca="false">1+COUNTIFS($B$2:$B$756,B263,$C$2:$C$756,"&lt;"&amp;C263)</f>
        <v>2</v>
      </c>
      <c r="X263" s="53" t="n">
        <f aca="false">IF(AND(ISNUMBER(P263),Q263&gt;0),P263*365/Q263,"")</f>
        <v>0.0490245697089085</v>
      </c>
      <c r="Y263" s="42" t="n">
        <f aca="false">IF(AND(C264=C263,ISNUMBER(R264)),R264,"")</f>
        <v>-0.053832507493734</v>
      </c>
      <c r="Z263" s="52" t="n">
        <f aca="false">IF(AND(W263=1,Q263&gt;Basis_Analysis!$B$3,ISNUMBER(Y263)),1,0)</f>
        <v>0</v>
      </c>
      <c r="AA263" s="43" t="str">
        <f aca="false">IF(W263=1,IF(SUMIFS($L$2:$L$756,$B$2:$B$756,B263,$W$2:$W$756,2)&gt;0,SUMIFS($L$2:$L$756,$B$2:$B$756,B263,$W$2:$W$756,2),""),"")</f>
        <v/>
      </c>
      <c r="AB263" s="54" t="str">
        <f aca="false">IF(AND(W263=1,ISNUMBER(AA263)),L263/(L263+AA263),"")</f>
        <v/>
      </c>
    </row>
    <row r="264" customFormat="false" ht="15" hidden="false" customHeight="true" outlineLevel="0" collapsed="false">
      <c r="A264" s="1" t="s">
        <v>274</v>
      </c>
      <c r="B264" s="46" t="n">
        <v>45779</v>
      </c>
      <c r="C264" s="46" t="n">
        <v>45834</v>
      </c>
      <c r="D264" s="47" t="n">
        <v>24530.2</v>
      </c>
      <c r="E264" s="47" t="n">
        <v>24825</v>
      </c>
      <c r="F264" s="47" t="n">
        <v>24420</v>
      </c>
      <c r="G264" s="47" t="n">
        <v>24507.3</v>
      </c>
      <c r="H264" s="47" t="n">
        <v>24511.8</v>
      </c>
      <c r="I264" s="47" t="n">
        <v>24507.3</v>
      </c>
      <c r="J264" s="48" t="n">
        <v>9616</v>
      </c>
      <c r="K264" s="47" t="n">
        <v>177597.06</v>
      </c>
      <c r="L264" s="48" t="n">
        <v>1591725</v>
      </c>
      <c r="M264" s="48" t="n">
        <v>8100</v>
      </c>
      <c r="N264" s="47" t="n">
        <v>24346.7</v>
      </c>
      <c r="O264" s="47" t="n">
        <f aca="false">IF(AND(ISNUMBER(G264),ISNUMBER(N264)),G264-N264,"")</f>
        <v>160.599999999999</v>
      </c>
      <c r="P264" s="49" t="n">
        <f aca="false">IF(ISNUMBER(O264),O264/N264,"")</f>
        <v>0.006596376510985</v>
      </c>
      <c r="Q264" s="50" t="n">
        <f aca="false">C264-B264</f>
        <v>55</v>
      </c>
      <c r="R264" s="51" t="n">
        <f aca="false">IF(AND(C264=C263,ISNUMBER(G264),ISNUMBER(G263)),(G264/G263-1)*100,"")</f>
        <v>-0.053832507493734</v>
      </c>
      <c r="S264" s="51" t="n">
        <f aca="false">IF(AND(C264=C263,ISNUMBER(L264),ISNUMBER(L263)),(L264/L263-1)*100,"")</f>
        <v>0.511484726497757</v>
      </c>
      <c r="T264" s="51" t="n">
        <f aca="false">IF(AND(C264=C263,ISNUMBER(G264),ISNUMBER(G263)),G264-G263,"")</f>
        <v>-13.2000000000007</v>
      </c>
      <c r="U264" s="1" t="str">
        <f aca="false">IF(OR(NOT(ISNUMBER(R264)),NOT(ISNUMBER(S264))),"Not classified",IF(AND(R264&gt;0,S264&gt;0),"Long buildup (interpretation)",IF(AND(R264&lt;0,S264&gt;0),"Short buildup (interpretation)",IF(AND(R264&gt;0,S264&lt;0),"Short covering (interpretation)",IF(AND(R264&lt;0,S264&lt;0),"Long unwinding (interpretation)","Neutral")))))</f>
        <v>Short buildup (interpretation)</v>
      </c>
      <c r="V264" s="52" t="str">
        <f aca="false">TEXT(B264,"yyyy-mm")</f>
        <v>2025-05</v>
      </c>
      <c r="W264" s="52" t="n">
        <f aca="false">1+COUNTIFS($B$2:$B$756,B264,$C$2:$C$756,"&lt;"&amp;C264)</f>
        <v>2</v>
      </c>
      <c r="X264" s="53" t="n">
        <f aca="false">IF(AND(ISNUMBER(P264),Q264&gt;0),P264*365/Q264,"")</f>
        <v>0.0437759532092641</v>
      </c>
      <c r="Y264" s="42" t="n">
        <f aca="false">IF(AND(C265=C264,ISNUMBER(R265)),R265,"")</f>
        <v>0.618591195276519</v>
      </c>
      <c r="Z264" s="52" t="n">
        <f aca="false">IF(AND(W264=1,Q264&gt;Basis_Analysis!$B$3,ISNUMBER(Y264)),1,0)</f>
        <v>0</v>
      </c>
      <c r="AA264" s="43" t="str">
        <f aca="false">IF(W264=1,IF(SUMIFS($L$2:$L$756,$B$2:$B$756,B264,$W$2:$W$756,2)&gt;0,SUMIFS($L$2:$L$756,$B$2:$B$756,B264,$W$2:$W$756,2),""),"")</f>
        <v/>
      </c>
      <c r="AB264" s="54" t="str">
        <f aca="false">IF(AND(W264=1,ISNUMBER(AA264)),L264/(L264+AA264),"")</f>
        <v/>
      </c>
    </row>
    <row r="265" customFormat="false" ht="15" hidden="false" customHeight="true" outlineLevel="0" collapsed="false">
      <c r="A265" s="1" t="s">
        <v>274</v>
      </c>
      <c r="B265" s="46" t="n">
        <v>45782</v>
      </c>
      <c r="C265" s="46" t="n">
        <v>45834</v>
      </c>
      <c r="D265" s="47" t="n">
        <v>24580</v>
      </c>
      <c r="E265" s="47" t="n">
        <v>24730.7</v>
      </c>
      <c r="F265" s="47" t="n">
        <v>24575</v>
      </c>
      <c r="G265" s="47" t="n">
        <v>24658.9</v>
      </c>
      <c r="H265" s="47" t="n">
        <v>24673</v>
      </c>
      <c r="I265" s="47" t="n">
        <v>24658.9</v>
      </c>
      <c r="J265" s="48" t="n">
        <v>5033</v>
      </c>
      <c r="K265" s="47" t="n">
        <v>93056.88</v>
      </c>
      <c r="L265" s="48" t="n">
        <v>1657725</v>
      </c>
      <c r="M265" s="48" t="n">
        <v>66000</v>
      </c>
      <c r="N265" s="47" t="n">
        <v>24461.15</v>
      </c>
      <c r="O265" s="47" t="n">
        <f aca="false">IF(AND(ISNUMBER(G265),ISNUMBER(N265)),G265-N265,"")</f>
        <v>197.75</v>
      </c>
      <c r="P265" s="49" t="n">
        <f aca="false">IF(ISNUMBER(O265),O265/N265,"")</f>
        <v>0.00808424787877921</v>
      </c>
      <c r="Q265" s="50" t="n">
        <f aca="false">C265-B265</f>
        <v>52</v>
      </c>
      <c r="R265" s="51" t="n">
        <f aca="false">IF(AND(C265=C264,ISNUMBER(G265),ISNUMBER(G264)),(G265/G264-1)*100,"")</f>
        <v>0.618591195276519</v>
      </c>
      <c r="S265" s="51" t="n">
        <f aca="false">IF(AND(C265=C264,ISNUMBER(L265),ISNUMBER(L264)),(L265/L264-1)*100,"")</f>
        <v>4.14644489468972</v>
      </c>
      <c r="T265" s="51" t="n">
        <f aca="false">IF(AND(C265=C264,ISNUMBER(G265),ISNUMBER(G264)),G265-G264,"")</f>
        <v>151.600000000002</v>
      </c>
      <c r="U265" s="1" t="str">
        <f aca="false">IF(OR(NOT(ISNUMBER(R265)),NOT(ISNUMBER(S265))),"Not classified",IF(AND(R265&gt;0,S265&gt;0),"Long buildup (interpretation)",IF(AND(R265&lt;0,S265&gt;0),"Short buildup (interpretation)",IF(AND(R265&gt;0,S265&lt;0),"Short covering (interpretation)",IF(AND(R265&lt;0,S265&lt;0),"Long unwinding (interpretation)","Neutral")))))</f>
        <v>Long buildup (interpretation)</v>
      </c>
      <c r="V265" s="52" t="str">
        <f aca="false">TEXT(B265,"yyyy-mm")</f>
        <v>2025-05</v>
      </c>
      <c r="W265" s="52" t="n">
        <f aca="false">1+COUNTIFS($B$2:$B$756,B265,$C$2:$C$756,"&lt;"&amp;C265)</f>
        <v>2</v>
      </c>
      <c r="X265" s="53" t="n">
        <f aca="false">IF(AND(ISNUMBER(P265),Q265&gt;0),P265*365/Q265,"")</f>
        <v>0.0567452014568156</v>
      </c>
      <c r="Y265" s="42" t="n">
        <f aca="false">IF(AND(C266=C265,ISNUMBER(R266)),R266,"")</f>
        <v>-0.500833370507203</v>
      </c>
      <c r="Z265" s="52" t="n">
        <f aca="false">IF(AND(W265=1,Q265&gt;Basis_Analysis!$B$3,ISNUMBER(Y265)),1,0)</f>
        <v>0</v>
      </c>
      <c r="AA265" s="43" t="str">
        <f aca="false">IF(W265=1,IF(SUMIFS($L$2:$L$756,$B$2:$B$756,B265,$W$2:$W$756,2)&gt;0,SUMIFS($L$2:$L$756,$B$2:$B$756,B265,$W$2:$W$756,2),""),"")</f>
        <v/>
      </c>
      <c r="AB265" s="54" t="str">
        <f aca="false">IF(AND(W265=1,ISNUMBER(AA265)),L265/(L265+AA265),"")</f>
        <v/>
      </c>
    </row>
    <row r="266" customFormat="false" ht="15" hidden="false" customHeight="true" outlineLevel="0" collapsed="false">
      <c r="A266" s="1" t="s">
        <v>274</v>
      </c>
      <c r="B266" s="46" t="n">
        <v>45783</v>
      </c>
      <c r="C266" s="46" t="n">
        <v>45834</v>
      </c>
      <c r="D266" s="47" t="n">
        <v>24658.5</v>
      </c>
      <c r="E266" s="47" t="n">
        <v>24681.3</v>
      </c>
      <c r="F266" s="47" t="n">
        <v>24515.2</v>
      </c>
      <c r="G266" s="47" t="n">
        <v>24535.4</v>
      </c>
      <c r="H266" s="47" t="n">
        <v>24517.5</v>
      </c>
      <c r="I266" s="47" t="n">
        <v>24535.4</v>
      </c>
      <c r="J266" s="48" t="n">
        <v>4406</v>
      </c>
      <c r="K266" s="47" t="n">
        <v>81229.65</v>
      </c>
      <c r="L266" s="48" t="n">
        <v>1711350</v>
      </c>
      <c r="M266" s="48" t="n">
        <v>53625</v>
      </c>
      <c r="N266" s="47" t="n">
        <v>24379.6</v>
      </c>
      <c r="O266" s="47" t="n">
        <f aca="false">IF(AND(ISNUMBER(G266),ISNUMBER(N266)),G266-N266,"")</f>
        <v>155.800000000003</v>
      </c>
      <c r="P266" s="49" t="n">
        <f aca="false">IF(ISNUMBER(O266),O266/N266,"")</f>
        <v>0.00639058885297556</v>
      </c>
      <c r="Q266" s="50" t="n">
        <f aca="false">C266-B266</f>
        <v>51</v>
      </c>
      <c r="R266" s="51" t="n">
        <f aca="false">IF(AND(C266=C265,ISNUMBER(G266),ISNUMBER(G265)),(G266/G265-1)*100,"")</f>
        <v>-0.500833370507203</v>
      </c>
      <c r="S266" s="51" t="n">
        <f aca="false">IF(AND(C266=C265,ISNUMBER(L266),ISNUMBER(L265)),(L266/L265-1)*100,"")</f>
        <v>3.23485499705922</v>
      </c>
      <c r="T266" s="51" t="n">
        <f aca="false">IF(AND(C266=C265,ISNUMBER(G266),ISNUMBER(G265)),G266-G265,"")</f>
        <v>-123.5</v>
      </c>
      <c r="U266" s="1" t="str">
        <f aca="false">IF(OR(NOT(ISNUMBER(R266)),NOT(ISNUMBER(S266))),"Not classified",IF(AND(R266&gt;0,S266&gt;0),"Long buildup (interpretation)",IF(AND(R266&lt;0,S266&gt;0),"Short buildup (interpretation)",IF(AND(R266&gt;0,S266&lt;0),"Short covering (interpretation)",IF(AND(R266&lt;0,S266&lt;0),"Long unwinding (interpretation)","Neutral")))))</f>
        <v>Short buildup (interpretation)</v>
      </c>
      <c r="V266" s="52" t="str">
        <f aca="false">TEXT(B266,"yyyy-mm")</f>
        <v>2025-05</v>
      </c>
      <c r="W266" s="52" t="n">
        <f aca="false">1+COUNTIFS($B$2:$B$756,B266,$C$2:$C$756,"&lt;"&amp;C266)</f>
        <v>2</v>
      </c>
      <c r="X266" s="53" t="n">
        <f aca="false">IF(AND(ISNUMBER(P266),Q266&gt;0),P266*365/Q266,"")</f>
        <v>0.0457365672810996</v>
      </c>
      <c r="Y266" s="42" t="n">
        <f aca="false">IF(AND(C267=C266,ISNUMBER(R267)),R267,"")</f>
        <v>0.142243452317858</v>
      </c>
      <c r="Z266" s="52" t="n">
        <f aca="false">IF(AND(W266=1,Q266&gt;Basis_Analysis!$B$3,ISNUMBER(Y266)),1,0)</f>
        <v>0</v>
      </c>
      <c r="AA266" s="43" t="str">
        <f aca="false">IF(W266=1,IF(SUMIFS($L$2:$L$756,$B$2:$B$756,B266,$W$2:$W$756,2)&gt;0,SUMIFS($L$2:$L$756,$B$2:$B$756,B266,$W$2:$W$756,2),""),"")</f>
        <v/>
      </c>
      <c r="AB266" s="54" t="str">
        <f aca="false">IF(AND(W266=1,ISNUMBER(AA266)),L266/(L266+AA266),"")</f>
        <v/>
      </c>
    </row>
    <row r="267" customFormat="false" ht="15" hidden="false" customHeight="true" outlineLevel="0" collapsed="false">
      <c r="A267" s="1" t="s">
        <v>274</v>
      </c>
      <c r="B267" s="46" t="n">
        <v>45784</v>
      </c>
      <c r="C267" s="46" t="n">
        <v>45834</v>
      </c>
      <c r="D267" s="47" t="n">
        <v>24390.5</v>
      </c>
      <c r="E267" s="47" t="n">
        <v>24638.7</v>
      </c>
      <c r="F267" s="47" t="n">
        <v>24390.5</v>
      </c>
      <c r="G267" s="47" t="n">
        <v>24570.3</v>
      </c>
      <c r="H267" s="47" t="n">
        <v>24584.7</v>
      </c>
      <c r="I267" s="47" t="n">
        <v>24570.3</v>
      </c>
      <c r="J267" s="48" t="n">
        <v>5602</v>
      </c>
      <c r="K267" s="47" t="n">
        <v>103172.15</v>
      </c>
      <c r="L267" s="48" t="n">
        <v>1738800</v>
      </c>
      <c r="M267" s="48" t="n">
        <v>27450</v>
      </c>
      <c r="N267" s="47" t="n">
        <v>24414.4</v>
      </c>
      <c r="O267" s="47" t="n">
        <f aca="false">IF(AND(ISNUMBER(G267),ISNUMBER(N267)),G267-N267,"")</f>
        <v>155.899999999998</v>
      </c>
      <c r="P267" s="49" t="n">
        <f aca="false">IF(ISNUMBER(O267),O267/N267,"")</f>
        <v>0.00638557572580108</v>
      </c>
      <c r="Q267" s="50" t="n">
        <f aca="false">C267-B267</f>
        <v>50</v>
      </c>
      <c r="R267" s="51" t="n">
        <f aca="false">IF(AND(C267=C266,ISNUMBER(G267),ISNUMBER(G266)),(G267/G266-1)*100,"")</f>
        <v>0.142243452317858</v>
      </c>
      <c r="S267" s="51" t="n">
        <f aca="false">IF(AND(C267=C266,ISNUMBER(L267),ISNUMBER(L266)),(L267/L266-1)*100,"")</f>
        <v>1.60399684459638</v>
      </c>
      <c r="T267" s="51" t="n">
        <f aca="false">IF(AND(C267=C266,ISNUMBER(G267),ISNUMBER(G266)),G267-G266,"")</f>
        <v>34.8999999999978</v>
      </c>
      <c r="U267" s="1" t="str">
        <f aca="false">IF(OR(NOT(ISNUMBER(R267)),NOT(ISNUMBER(S267))),"Not classified",IF(AND(R267&gt;0,S267&gt;0),"Long buildup (interpretation)",IF(AND(R267&lt;0,S267&gt;0),"Short buildup (interpretation)",IF(AND(R267&gt;0,S267&lt;0),"Short covering (interpretation)",IF(AND(R267&lt;0,S267&lt;0),"Long unwinding (interpretation)","Neutral")))))</f>
        <v>Long buildup (interpretation)</v>
      </c>
      <c r="V267" s="52" t="str">
        <f aca="false">TEXT(B267,"yyyy-mm")</f>
        <v>2025-05</v>
      </c>
      <c r="W267" s="52" t="n">
        <f aca="false">1+COUNTIFS($B$2:$B$756,B267,$C$2:$C$756,"&lt;"&amp;C267)</f>
        <v>2</v>
      </c>
      <c r="X267" s="53" t="n">
        <f aca="false">IF(AND(ISNUMBER(P267),Q267&gt;0),P267*365/Q267,"")</f>
        <v>0.0466147027983479</v>
      </c>
      <c r="Y267" s="42" t="n">
        <f aca="false">IF(AND(C268=C267,ISNUMBER(R268)),R268,"")</f>
        <v>-0.845329523856042</v>
      </c>
      <c r="Z267" s="52" t="n">
        <f aca="false">IF(AND(W267=1,Q267&gt;Basis_Analysis!$B$3,ISNUMBER(Y267)),1,0)</f>
        <v>0</v>
      </c>
      <c r="AA267" s="43" t="str">
        <f aca="false">IF(W267=1,IF(SUMIFS($L$2:$L$756,$B$2:$B$756,B267,$W$2:$W$756,2)&gt;0,SUMIFS($L$2:$L$756,$B$2:$B$756,B267,$W$2:$W$756,2),""),"")</f>
        <v/>
      </c>
      <c r="AB267" s="54" t="str">
        <f aca="false">IF(AND(W267=1,ISNUMBER(AA267)),L267/(L267+AA267),"")</f>
        <v/>
      </c>
    </row>
    <row r="268" customFormat="false" ht="15" hidden="false" customHeight="true" outlineLevel="0" collapsed="false">
      <c r="A268" s="1" t="s">
        <v>274</v>
      </c>
      <c r="B268" s="46" t="n">
        <v>45785</v>
      </c>
      <c r="C268" s="46" t="n">
        <v>45834</v>
      </c>
      <c r="D268" s="47" t="n">
        <v>24580</v>
      </c>
      <c r="E268" s="47" t="n">
        <v>24623.2</v>
      </c>
      <c r="F268" s="47" t="n">
        <v>24288.1</v>
      </c>
      <c r="G268" s="47" t="n">
        <v>24362.6</v>
      </c>
      <c r="H268" s="47" t="n">
        <v>24305</v>
      </c>
      <c r="I268" s="47" t="n">
        <v>24362.6</v>
      </c>
      <c r="J268" s="48" t="n">
        <v>7677</v>
      </c>
      <c r="K268" s="47" t="n">
        <v>141054.17</v>
      </c>
      <c r="L268" s="48" t="n">
        <v>1898850</v>
      </c>
      <c r="M268" s="48" t="n">
        <v>160050</v>
      </c>
      <c r="N268" s="47" t="n">
        <v>24273.8</v>
      </c>
      <c r="O268" s="47" t="n">
        <f aca="false">IF(AND(ISNUMBER(G268),ISNUMBER(N268)),G268-N268,"")</f>
        <v>88.7999999999993</v>
      </c>
      <c r="P268" s="49" t="n">
        <f aca="false">IF(ISNUMBER(O268),O268/N268,"")</f>
        <v>0.0036582652901482</v>
      </c>
      <c r="Q268" s="50" t="n">
        <f aca="false">C268-B268</f>
        <v>49</v>
      </c>
      <c r="R268" s="51" t="n">
        <f aca="false">IF(AND(C268=C267,ISNUMBER(G268),ISNUMBER(G267)),(G268/G267-1)*100,"")</f>
        <v>-0.845329523856042</v>
      </c>
      <c r="S268" s="51" t="n">
        <f aca="false">IF(AND(C268=C267,ISNUMBER(L268),ISNUMBER(L267)),(L268/L267-1)*100,"")</f>
        <v>9.20462387853693</v>
      </c>
      <c r="T268" s="51" t="n">
        <f aca="false">IF(AND(C268=C267,ISNUMBER(G268),ISNUMBER(G267)),G268-G267,"")</f>
        <v>-207.700000000001</v>
      </c>
      <c r="U268" s="1" t="str">
        <f aca="false">IF(OR(NOT(ISNUMBER(R268)),NOT(ISNUMBER(S268))),"Not classified",IF(AND(R268&gt;0,S268&gt;0),"Long buildup (interpretation)",IF(AND(R268&lt;0,S268&gt;0),"Short buildup (interpretation)",IF(AND(R268&gt;0,S268&lt;0),"Short covering (interpretation)",IF(AND(R268&lt;0,S268&lt;0),"Long unwinding (interpretation)","Neutral")))))</f>
        <v>Short buildup (interpretation)</v>
      </c>
      <c r="V268" s="52" t="str">
        <f aca="false">TEXT(B268,"yyyy-mm")</f>
        <v>2025-05</v>
      </c>
      <c r="W268" s="52" t="n">
        <f aca="false">1+COUNTIFS($B$2:$B$756,B268,$C$2:$C$756,"&lt;"&amp;C268)</f>
        <v>2</v>
      </c>
      <c r="X268" s="53" t="n">
        <f aca="false">IF(AND(ISNUMBER(P268),Q268&gt;0),P268*365/Q268,"")</f>
        <v>0.0272503434878386</v>
      </c>
      <c r="Y268" s="42" t="n">
        <f aca="false">IF(AND(C269=C268,ISNUMBER(R269)),R269,"")</f>
        <v>-0.772906011673624</v>
      </c>
      <c r="Z268" s="52" t="n">
        <f aca="false">IF(AND(W268=1,Q268&gt;Basis_Analysis!$B$3,ISNUMBER(Y268)),1,0)</f>
        <v>0</v>
      </c>
      <c r="AA268" s="43" t="str">
        <f aca="false">IF(W268=1,IF(SUMIFS($L$2:$L$756,$B$2:$B$756,B268,$W$2:$W$756,2)&gt;0,SUMIFS($L$2:$L$756,$B$2:$B$756,B268,$W$2:$W$756,2),""),"")</f>
        <v/>
      </c>
      <c r="AB268" s="54" t="str">
        <f aca="false">IF(AND(W268=1,ISNUMBER(AA268)),L268/(L268+AA268),"")</f>
        <v/>
      </c>
    </row>
    <row r="269" customFormat="false" ht="15" hidden="false" customHeight="true" outlineLevel="0" collapsed="false">
      <c r="A269" s="1" t="s">
        <v>274</v>
      </c>
      <c r="B269" s="46" t="n">
        <v>45786</v>
      </c>
      <c r="C269" s="46" t="n">
        <v>45834</v>
      </c>
      <c r="D269" s="47" t="n">
        <v>24100</v>
      </c>
      <c r="E269" s="47" t="n">
        <v>24307.9</v>
      </c>
      <c r="F269" s="47" t="n">
        <v>24063.6</v>
      </c>
      <c r="G269" s="47" t="n">
        <v>24174.3</v>
      </c>
      <c r="H269" s="47" t="n">
        <v>24190.9</v>
      </c>
      <c r="I269" s="47" t="n">
        <v>24174.3</v>
      </c>
      <c r="J269" s="48" t="n">
        <v>12677</v>
      </c>
      <c r="K269" s="47" t="n">
        <v>229996.3</v>
      </c>
      <c r="L269" s="48" t="n">
        <v>2057625</v>
      </c>
      <c r="M269" s="48" t="n">
        <v>158775</v>
      </c>
      <c r="N269" s="47" t="n">
        <v>24008</v>
      </c>
      <c r="O269" s="47" t="n">
        <f aca="false">IF(AND(ISNUMBER(G269),ISNUMBER(N269)),G269-N269,"")</f>
        <v>166.299999999999</v>
      </c>
      <c r="P269" s="49" t="n">
        <f aca="false">IF(ISNUMBER(O269),O269/N269,"")</f>
        <v>0.00692685771409527</v>
      </c>
      <c r="Q269" s="50" t="n">
        <f aca="false">C269-B269</f>
        <v>48</v>
      </c>
      <c r="R269" s="51" t="n">
        <f aca="false">IF(AND(C269=C268,ISNUMBER(G269),ISNUMBER(G268)),(G269/G268-1)*100,"")</f>
        <v>-0.772906011673624</v>
      </c>
      <c r="S269" s="51" t="n">
        <f aca="false">IF(AND(C269=C268,ISNUMBER(L269),ISNUMBER(L268)),(L269/L268-1)*100,"")</f>
        <v>8.36163993996366</v>
      </c>
      <c r="T269" s="51" t="n">
        <f aca="false">IF(AND(C269=C268,ISNUMBER(G269),ISNUMBER(G268)),G269-G268,"")</f>
        <v>-188.299999999999</v>
      </c>
      <c r="U269" s="1" t="str">
        <f aca="false">IF(OR(NOT(ISNUMBER(R269)),NOT(ISNUMBER(S269))),"Not classified",IF(AND(R269&gt;0,S269&gt;0),"Long buildup (interpretation)",IF(AND(R269&lt;0,S269&gt;0),"Short buildup (interpretation)",IF(AND(R269&gt;0,S269&lt;0),"Short covering (interpretation)",IF(AND(R269&lt;0,S269&lt;0),"Long unwinding (interpretation)","Neutral")))))</f>
        <v>Short buildup (interpretation)</v>
      </c>
      <c r="V269" s="52" t="str">
        <f aca="false">TEXT(B269,"yyyy-mm")</f>
        <v>2025-05</v>
      </c>
      <c r="W269" s="52" t="n">
        <f aca="false">1+COUNTIFS($B$2:$B$756,B269,$C$2:$C$756,"&lt;"&amp;C269)</f>
        <v>2</v>
      </c>
      <c r="X269" s="53" t="n">
        <f aca="false">IF(AND(ISNUMBER(P269),Q269&gt;0),P269*365/Q269,"")</f>
        <v>0.0526729805342661</v>
      </c>
      <c r="Y269" s="42" t="n">
        <f aca="false">IF(AND(C270=C269,ISNUMBER(R270)),R270,"")</f>
        <v>4.03941375758554</v>
      </c>
      <c r="Z269" s="52" t="n">
        <f aca="false">IF(AND(W269=1,Q269&gt;Basis_Analysis!$B$3,ISNUMBER(Y269)),1,0)</f>
        <v>0</v>
      </c>
      <c r="AA269" s="43" t="str">
        <f aca="false">IF(W269=1,IF(SUMIFS($L$2:$L$756,$B$2:$B$756,B269,$W$2:$W$756,2)&gt;0,SUMIFS($L$2:$L$756,$B$2:$B$756,B269,$W$2:$W$756,2),""),"")</f>
        <v/>
      </c>
      <c r="AB269" s="54" t="str">
        <f aca="false">IF(AND(W269=1,ISNUMBER(AA269)),L269/(L269+AA269),"")</f>
        <v/>
      </c>
    </row>
    <row r="270" customFormat="false" ht="15" hidden="false" customHeight="true" outlineLevel="0" collapsed="false">
      <c r="A270" s="1" t="s">
        <v>274</v>
      </c>
      <c r="B270" s="46" t="n">
        <v>45789</v>
      </c>
      <c r="C270" s="46" t="n">
        <v>45834</v>
      </c>
      <c r="D270" s="47" t="n">
        <v>24549.7</v>
      </c>
      <c r="E270" s="47" t="n">
        <v>25172.5</v>
      </c>
      <c r="F270" s="47" t="n">
        <v>24549.7</v>
      </c>
      <c r="G270" s="47" t="n">
        <v>25150.8</v>
      </c>
      <c r="H270" s="47" t="n">
        <v>25153.1</v>
      </c>
      <c r="I270" s="47" t="n">
        <v>25150.8</v>
      </c>
      <c r="J270" s="48" t="n">
        <v>20858</v>
      </c>
      <c r="K270" s="47" t="n">
        <v>390034.2</v>
      </c>
      <c r="L270" s="48" t="n">
        <v>2717475</v>
      </c>
      <c r="M270" s="48" t="n">
        <v>659850</v>
      </c>
      <c r="N270" s="47" t="n">
        <v>24924.7</v>
      </c>
      <c r="O270" s="47" t="n">
        <f aca="false">IF(AND(ISNUMBER(G270),ISNUMBER(N270)),G270-N270,"")</f>
        <v>226.099999999999</v>
      </c>
      <c r="P270" s="49" t="n">
        <f aca="false">IF(ISNUMBER(O270),O270/N270,"")</f>
        <v>0.00907132282434687</v>
      </c>
      <c r="Q270" s="50" t="n">
        <f aca="false">C270-B270</f>
        <v>45</v>
      </c>
      <c r="R270" s="51" t="n">
        <f aca="false">IF(AND(C270=C269,ISNUMBER(G270),ISNUMBER(G269)),(G270/G269-1)*100,"")</f>
        <v>4.03941375758554</v>
      </c>
      <c r="S270" s="51" t="n">
        <f aca="false">IF(AND(C270=C269,ISNUMBER(L270),ISNUMBER(L269)),(L270/L269-1)*100,"")</f>
        <v>32.0685256059778</v>
      </c>
      <c r="T270" s="51" t="n">
        <f aca="false">IF(AND(C270=C269,ISNUMBER(G270),ISNUMBER(G269)),G270-G269,"")</f>
        <v>976.5</v>
      </c>
      <c r="U270" s="1" t="str">
        <f aca="false">IF(OR(NOT(ISNUMBER(R270)),NOT(ISNUMBER(S270))),"Not classified",IF(AND(R270&gt;0,S270&gt;0),"Long buildup (interpretation)",IF(AND(R270&lt;0,S270&gt;0),"Short buildup (interpretation)",IF(AND(R270&gt;0,S270&lt;0),"Short covering (interpretation)",IF(AND(R270&lt;0,S270&lt;0),"Long unwinding (interpretation)","Neutral")))))</f>
        <v>Long buildup (interpretation)</v>
      </c>
      <c r="V270" s="52" t="str">
        <f aca="false">TEXT(B270,"yyyy-mm")</f>
        <v>2025-05</v>
      </c>
      <c r="W270" s="52" t="n">
        <f aca="false">1+COUNTIFS($B$2:$B$756,B270,$C$2:$C$756,"&lt;"&amp;C270)</f>
        <v>2</v>
      </c>
      <c r="X270" s="53" t="n">
        <f aca="false">IF(AND(ISNUMBER(P270),Q270&gt;0),P270*365/Q270,"")</f>
        <v>0.0735785073530358</v>
      </c>
      <c r="Y270" s="42" t="n">
        <f aca="false">IF(AND(C271=C270,ISNUMBER(R271)),R271,"")</f>
        <v>-1.56535776197975</v>
      </c>
      <c r="Z270" s="52" t="n">
        <f aca="false">IF(AND(W270=1,Q270&gt;Basis_Analysis!$B$3,ISNUMBER(Y270)),1,0)</f>
        <v>0</v>
      </c>
      <c r="AA270" s="43" t="str">
        <f aca="false">IF(W270=1,IF(SUMIFS($L$2:$L$756,$B$2:$B$756,B270,$W$2:$W$756,2)&gt;0,SUMIFS($L$2:$L$756,$B$2:$B$756,B270,$W$2:$W$756,2),""),"")</f>
        <v/>
      </c>
      <c r="AB270" s="54" t="str">
        <f aca="false">IF(AND(W270=1,ISNUMBER(AA270)),L270/(L270+AA270),"")</f>
        <v/>
      </c>
    </row>
    <row r="271" customFormat="false" ht="15" hidden="false" customHeight="true" outlineLevel="0" collapsed="false">
      <c r="A271" s="1" t="s">
        <v>274</v>
      </c>
      <c r="B271" s="46" t="n">
        <v>45790</v>
      </c>
      <c r="C271" s="46" t="n">
        <v>45834</v>
      </c>
      <c r="D271" s="47" t="n">
        <v>25110</v>
      </c>
      <c r="E271" s="47" t="n">
        <v>25149</v>
      </c>
      <c r="F271" s="47" t="n">
        <v>24732</v>
      </c>
      <c r="G271" s="47" t="n">
        <v>24757.1</v>
      </c>
      <c r="H271" s="47" t="n">
        <v>24765</v>
      </c>
      <c r="I271" s="47" t="n">
        <v>24757.1</v>
      </c>
      <c r="J271" s="48" t="n">
        <v>15845</v>
      </c>
      <c r="K271" s="47" t="n">
        <v>295749.04</v>
      </c>
      <c r="L271" s="48" t="n">
        <v>2921325</v>
      </c>
      <c r="M271" s="48" t="n">
        <v>203850</v>
      </c>
      <c r="N271" s="47" t="n">
        <v>24578.35</v>
      </c>
      <c r="O271" s="47" t="n">
        <f aca="false">IF(AND(ISNUMBER(G271),ISNUMBER(N271)),G271-N271,"")</f>
        <v>178.75</v>
      </c>
      <c r="P271" s="49" t="n">
        <f aca="false">IF(ISNUMBER(O271),O271/N271,"")</f>
        <v>0.00727266069528671</v>
      </c>
      <c r="Q271" s="50" t="n">
        <f aca="false">C271-B271</f>
        <v>44</v>
      </c>
      <c r="R271" s="51" t="n">
        <f aca="false">IF(AND(C271=C270,ISNUMBER(G271),ISNUMBER(G270)),(G271/G270-1)*100,"")</f>
        <v>-1.56535776197975</v>
      </c>
      <c r="S271" s="51" t="n">
        <f aca="false">IF(AND(C271=C270,ISNUMBER(L271),ISNUMBER(L270)),(L271/L270-1)*100,"")</f>
        <v>7.50144895537217</v>
      </c>
      <c r="T271" s="51" t="n">
        <f aca="false">IF(AND(C271=C270,ISNUMBER(G271),ISNUMBER(G270)),G271-G270,"")</f>
        <v>-393.700000000001</v>
      </c>
      <c r="U271" s="1" t="str">
        <f aca="false">IF(OR(NOT(ISNUMBER(R271)),NOT(ISNUMBER(S271))),"Not classified",IF(AND(R271&gt;0,S271&gt;0),"Long buildup (interpretation)",IF(AND(R271&lt;0,S271&gt;0),"Short buildup (interpretation)",IF(AND(R271&gt;0,S271&lt;0),"Short covering (interpretation)",IF(AND(R271&lt;0,S271&lt;0),"Long unwinding (interpretation)","Neutral")))))</f>
        <v>Short buildup (interpretation)</v>
      </c>
      <c r="V271" s="52" t="str">
        <f aca="false">TEXT(B271,"yyyy-mm")</f>
        <v>2025-05</v>
      </c>
      <c r="W271" s="52" t="n">
        <f aca="false">1+COUNTIFS($B$2:$B$756,B271,$C$2:$C$756,"&lt;"&amp;C271)</f>
        <v>2</v>
      </c>
      <c r="X271" s="53" t="n">
        <f aca="false">IF(AND(ISNUMBER(P271),Q271&gt;0),P271*365/Q271,"")</f>
        <v>0.0603300262222647</v>
      </c>
      <c r="Y271" s="42" t="n">
        <f aca="false">IF(AND(C272=C271,ISNUMBER(R272)),R272,"")</f>
        <v>0.298096303686624</v>
      </c>
      <c r="Z271" s="52" t="n">
        <f aca="false">IF(AND(W271=1,Q271&gt;Basis_Analysis!$B$3,ISNUMBER(Y271)),1,0)</f>
        <v>0</v>
      </c>
      <c r="AA271" s="43" t="str">
        <f aca="false">IF(W271=1,IF(SUMIFS($L$2:$L$756,$B$2:$B$756,B271,$W$2:$W$756,2)&gt;0,SUMIFS($L$2:$L$756,$B$2:$B$756,B271,$W$2:$W$756,2),""),"")</f>
        <v/>
      </c>
      <c r="AB271" s="54" t="str">
        <f aca="false">IF(AND(W271=1,ISNUMBER(AA271)),L271/(L271+AA271),"")</f>
        <v/>
      </c>
    </row>
    <row r="272" customFormat="false" ht="15" hidden="false" customHeight="true" outlineLevel="0" collapsed="false">
      <c r="A272" s="1" t="s">
        <v>274</v>
      </c>
      <c r="B272" s="46" t="n">
        <v>45791</v>
      </c>
      <c r="C272" s="46" t="n">
        <v>45834</v>
      </c>
      <c r="D272" s="47" t="n">
        <v>24800.8</v>
      </c>
      <c r="E272" s="47" t="n">
        <v>24939.9</v>
      </c>
      <c r="F272" s="47" t="n">
        <v>24700</v>
      </c>
      <c r="G272" s="47" t="n">
        <v>24830.9</v>
      </c>
      <c r="H272" s="47" t="n">
        <v>24842.8</v>
      </c>
      <c r="I272" s="47" t="n">
        <v>24830.9</v>
      </c>
      <c r="J272" s="48" t="n">
        <v>9315</v>
      </c>
      <c r="K272" s="47" t="n">
        <v>173513.77</v>
      </c>
      <c r="L272" s="48" t="n">
        <v>2991600</v>
      </c>
      <c r="M272" s="48" t="n">
        <v>70275</v>
      </c>
      <c r="N272" s="47" t="n">
        <v>24666.9</v>
      </c>
      <c r="O272" s="47" t="n">
        <f aca="false">IF(AND(ISNUMBER(G272),ISNUMBER(N272)),G272-N272,"")</f>
        <v>164</v>
      </c>
      <c r="P272" s="49" t="n">
        <f aca="false">IF(ISNUMBER(O272),O272/N272,"")</f>
        <v>0.00664858575662122</v>
      </c>
      <c r="Q272" s="50" t="n">
        <f aca="false">C272-B272</f>
        <v>43</v>
      </c>
      <c r="R272" s="51" t="n">
        <f aca="false">IF(AND(C272=C271,ISNUMBER(G272),ISNUMBER(G271)),(G272/G271-1)*100,"")</f>
        <v>0.298096303686624</v>
      </c>
      <c r="S272" s="51" t="n">
        <f aca="false">IF(AND(C272=C271,ISNUMBER(L272),ISNUMBER(L271)),(L272/L271-1)*100,"")</f>
        <v>2.40558650612308</v>
      </c>
      <c r="T272" s="51" t="n">
        <f aca="false">IF(AND(C272=C271,ISNUMBER(G272),ISNUMBER(G271)),G272-G271,"")</f>
        <v>73.8000000000029</v>
      </c>
      <c r="U272" s="1" t="str">
        <f aca="false">IF(OR(NOT(ISNUMBER(R272)),NOT(ISNUMBER(S272))),"Not classified",IF(AND(R272&gt;0,S272&gt;0),"Long buildup (interpretation)",IF(AND(R272&lt;0,S272&gt;0),"Short buildup (interpretation)",IF(AND(R272&gt;0,S272&lt;0),"Short covering (interpretation)",IF(AND(R272&lt;0,S272&lt;0),"Long unwinding (interpretation)","Neutral")))))</f>
        <v>Long buildup (interpretation)</v>
      </c>
      <c r="V272" s="52" t="str">
        <f aca="false">TEXT(B272,"yyyy-mm")</f>
        <v>2025-05</v>
      </c>
      <c r="W272" s="52" t="n">
        <f aca="false">1+COUNTIFS($B$2:$B$756,B272,$C$2:$C$756,"&lt;"&amp;C272)</f>
        <v>2</v>
      </c>
      <c r="X272" s="53" t="n">
        <f aca="false">IF(AND(ISNUMBER(P272),Q272&gt;0),P272*365/Q272,"")</f>
        <v>0.0564356697945755</v>
      </c>
      <c r="Y272" s="42" t="n">
        <f aca="false">IF(AND(C273=C272,ISNUMBER(R273)),R273,"")</f>
        <v>1.45101466318176</v>
      </c>
      <c r="Z272" s="52" t="n">
        <f aca="false">IF(AND(W272=1,Q272&gt;Basis_Analysis!$B$3,ISNUMBER(Y272)),1,0)</f>
        <v>0</v>
      </c>
      <c r="AA272" s="43" t="str">
        <f aca="false">IF(W272=1,IF(SUMIFS($L$2:$L$756,$B$2:$B$756,B272,$W$2:$W$756,2)&gt;0,SUMIFS($L$2:$L$756,$B$2:$B$756,B272,$W$2:$W$756,2),""),"")</f>
        <v/>
      </c>
      <c r="AB272" s="54" t="str">
        <f aca="false">IF(AND(W272=1,ISNUMBER(AA272)),L272/(L272+AA272),"")</f>
        <v/>
      </c>
    </row>
    <row r="273" customFormat="false" ht="15" hidden="false" customHeight="true" outlineLevel="0" collapsed="false">
      <c r="A273" s="1" t="s">
        <v>274</v>
      </c>
      <c r="B273" s="46" t="n">
        <v>45792</v>
      </c>
      <c r="C273" s="46" t="n">
        <v>45834</v>
      </c>
      <c r="D273" s="47" t="n">
        <v>24849.9</v>
      </c>
      <c r="E273" s="47" t="n">
        <v>25255</v>
      </c>
      <c r="F273" s="47" t="n">
        <v>24705.4</v>
      </c>
      <c r="G273" s="47" t="n">
        <v>25191.2</v>
      </c>
      <c r="H273" s="47" t="n">
        <v>25188.9</v>
      </c>
      <c r="I273" s="47" t="n">
        <v>25191.2</v>
      </c>
      <c r="J273" s="48" t="n">
        <v>21489</v>
      </c>
      <c r="K273" s="47" t="n">
        <v>403233.56</v>
      </c>
      <c r="L273" s="48" t="n">
        <v>3400800</v>
      </c>
      <c r="M273" s="48" t="n">
        <v>409200</v>
      </c>
      <c r="N273" s="47" t="n">
        <v>25062.1</v>
      </c>
      <c r="O273" s="47" t="n">
        <f aca="false">IF(AND(ISNUMBER(G273),ISNUMBER(N273)),G273-N273,"")</f>
        <v>129.100000000002</v>
      </c>
      <c r="P273" s="49" t="n">
        <f aca="false">IF(ISNUMBER(O273),O273/N273,"")</f>
        <v>0.00515120440825</v>
      </c>
      <c r="Q273" s="50" t="n">
        <f aca="false">C273-B273</f>
        <v>42</v>
      </c>
      <c r="R273" s="51" t="n">
        <f aca="false">IF(AND(C273=C272,ISNUMBER(G273),ISNUMBER(G272)),(G273/G272-1)*100,"")</f>
        <v>1.45101466318176</v>
      </c>
      <c r="S273" s="51" t="n">
        <f aca="false">IF(AND(C273=C272,ISNUMBER(L273),ISNUMBER(L272)),(L273/L272-1)*100,"")</f>
        <v>13.678299237866</v>
      </c>
      <c r="T273" s="51" t="n">
        <f aca="false">IF(AND(C273=C272,ISNUMBER(G273),ISNUMBER(G272)),G273-G272,"")</f>
        <v>360.299999999999</v>
      </c>
      <c r="U273" s="1" t="str">
        <f aca="false">IF(OR(NOT(ISNUMBER(R273)),NOT(ISNUMBER(S273))),"Not classified",IF(AND(R273&gt;0,S273&gt;0),"Long buildup (interpretation)",IF(AND(R273&lt;0,S273&gt;0),"Short buildup (interpretation)",IF(AND(R273&gt;0,S273&lt;0),"Short covering (interpretation)",IF(AND(R273&lt;0,S273&lt;0),"Long unwinding (interpretation)","Neutral")))))</f>
        <v>Long buildup (interpretation)</v>
      </c>
      <c r="V273" s="52" t="str">
        <f aca="false">TEXT(B273,"yyyy-mm")</f>
        <v>2025-05</v>
      </c>
      <c r="W273" s="52" t="n">
        <f aca="false">1+COUNTIFS($B$2:$B$756,B273,$C$2:$C$756,"&lt;"&amp;C273)</f>
        <v>2</v>
      </c>
      <c r="X273" s="53" t="n">
        <f aca="false">IF(AND(ISNUMBER(P273),Q273&gt;0),P273*365/Q273,"")</f>
        <v>0.0447664192621726</v>
      </c>
      <c r="Y273" s="42" t="n">
        <f aca="false">IF(AND(C274=C273,ISNUMBER(R274)),R274,"")</f>
        <v>0.00158785607671241</v>
      </c>
      <c r="Z273" s="52" t="n">
        <f aca="false">IF(AND(W273=1,Q273&gt;Basis_Analysis!$B$3,ISNUMBER(Y273)),1,0)</f>
        <v>0</v>
      </c>
      <c r="AA273" s="43" t="str">
        <f aca="false">IF(W273=1,IF(SUMIFS($L$2:$L$756,$B$2:$B$756,B273,$W$2:$W$756,2)&gt;0,SUMIFS($L$2:$L$756,$B$2:$B$756,B273,$W$2:$W$756,2),""),"")</f>
        <v/>
      </c>
      <c r="AB273" s="54" t="str">
        <f aca="false">IF(AND(W273=1,ISNUMBER(AA273)),L273/(L273+AA273),"")</f>
        <v/>
      </c>
    </row>
    <row r="274" customFormat="false" ht="15" hidden="false" customHeight="true" outlineLevel="0" collapsed="false">
      <c r="A274" s="1" t="s">
        <v>274</v>
      </c>
      <c r="B274" s="46" t="n">
        <v>45793</v>
      </c>
      <c r="C274" s="46" t="n">
        <v>45834</v>
      </c>
      <c r="D274" s="47" t="n">
        <v>25254.7</v>
      </c>
      <c r="E274" s="47" t="n">
        <v>25254.7</v>
      </c>
      <c r="F274" s="47" t="n">
        <v>25126.4</v>
      </c>
      <c r="G274" s="47" t="n">
        <v>25191.6</v>
      </c>
      <c r="H274" s="47" t="n">
        <v>25194.5</v>
      </c>
      <c r="I274" s="47" t="n">
        <v>25191.6</v>
      </c>
      <c r="J274" s="48" t="n">
        <v>10096</v>
      </c>
      <c r="K274" s="47" t="n">
        <v>190664.47</v>
      </c>
      <c r="L274" s="48" t="n">
        <v>3611400</v>
      </c>
      <c r="M274" s="48" t="n">
        <v>210600</v>
      </c>
      <c r="N274" s="47" t="n">
        <v>25019.8</v>
      </c>
      <c r="O274" s="47" t="n">
        <f aca="false">IF(AND(ISNUMBER(G274),ISNUMBER(N274)),G274-N274,"")</f>
        <v>171.799999999999</v>
      </c>
      <c r="P274" s="49" t="n">
        <f aca="false">IF(ISNUMBER(O274),O274/N274,"")</f>
        <v>0.00686656168314692</v>
      </c>
      <c r="Q274" s="50" t="n">
        <f aca="false">C274-B274</f>
        <v>41</v>
      </c>
      <c r="R274" s="51" t="n">
        <f aca="false">IF(AND(C274=C273,ISNUMBER(G274),ISNUMBER(G273)),(G274/G273-1)*100,"")</f>
        <v>0.00158785607671241</v>
      </c>
      <c r="S274" s="51" t="n">
        <f aca="false">IF(AND(C274=C273,ISNUMBER(L274),ISNUMBER(L273)),(L274/L273-1)*100,"")</f>
        <v>6.19266055045871</v>
      </c>
      <c r="T274" s="51" t="n">
        <f aca="false">IF(AND(C274=C273,ISNUMBER(G274),ISNUMBER(G273)),G274-G273,"")</f>
        <v>0.399999999997817</v>
      </c>
      <c r="U274" s="1" t="str">
        <f aca="false">IF(OR(NOT(ISNUMBER(R274)),NOT(ISNUMBER(S274))),"Not classified",IF(AND(R274&gt;0,S274&gt;0),"Long buildup (interpretation)",IF(AND(R274&lt;0,S274&gt;0),"Short buildup (interpretation)",IF(AND(R274&gt;0,S274&lt;0),"Short covering (interpretation)",IF(AND(R274&lt;0,S274&lt;0),"Long unwinding (interpretation)","Neutral")))))</f>
        <v>Long buildup (interpretation)</v>
      </c>
      <c r="V274" s="52" t="str">
        <f aca="false">TEXT(B274,"yyyy-mm")</f>
        <v>2025-05</v>
      </c>
      <c r="W274" s="52" t="n">
        <f aca="false">1+COUNTIFS($B$2:$B$756,B274,$C$2:$C$756,"&lt;"&amp;C274)</f>
        <v>2</v>
      </c>
      <c r="X274" s="53" t="n">
        <f aca="false">IF(AND(ISNUMBER(P274),Q274&gt;0),P274*365/Q274,"")</f>
        <v>0.0611291466914299</v>
      </c>
      <c r="Y274" s="42" t="n">
        <f aca="false">IF(AND(C275=C274,ISNUMBER(R275)),R275,"")</f>
        <v>-0.3878276885946</v>
      </c>
      <c r="Z274" s="52" t="n">
        <f aca="false">IF(AND(W274=1,Q274&gt;Basis_Analysis!$B$3,ISNUMBER(Y274)),1,0)</f>
        <v>0</v>
      </c>
      <c r="AA274" s="43" t="str">
        <f aca="false">IF(W274=1,IF(SUMIFS($L$2:$L$756,$B$2:$B$756,B274,$W$2:$W$756,2)&gt;0,SUMIFS($L$2:$L$756,$B$2:$B$756,B274,$W$2:$W$756,2),""),"")</f>
        <v/>
      </c>
      <c r="AB274" s="54" t="str">
        <f aca="false">IF(AND(W274=1,ISNUMBER(AA274)),L274/(L274+AA274),"")</f>
        <v/>
      </c>
    </row>
    <row r="275" customFormat="false" ht="15" hidden="false" customHeight="true" outlineLevel="0" collapsed="false">
      <c r="A275" s="1" t="s">
        <v>274</v>
      </c>
      <c r="B275" s="46" t="n">
        <v>45796</v>
      </c>
      <c r="C275" s="46" t="n">
        <v>45834</v>
      </c>
      <c r="D275" s="47" t="n">
        <v>25194.5</v>
      </c>
      <c r="E275" s="47" t="n">
        <v>25225</v>
      </c>
      <c r="F275" s="47" t="n">
        <v>25070</v>
      </c>
      <c r="G275" s="47" t="n">
        <v>25093.9</v>
      </c>
      <c r="H275" s="47" t="n">
        <v>25083</v>
      </c>
      <c r="I275" s="47" t="n">
        <v>25093.9</v>
      </c>
      <c r="J275" s="48" t="n">
        <v>7430</v>
      </c>
      <c r="K275" s="47" t="n">
        <v>140132.3</v>
      </c>
      <c r="L275" s="48" t="n">
        <v>3729150</v>
      </c>
      <c r="M275" s="48" t="n">
        <v>117750</v>
      </c>
      <c r="N275" s="47" t="n">
        <v>24945.45</v>
      </c>
      <c r="O275" s="47" t="n">
        <f aca="false">IF(AND(ISNUMBER(G275),ISNUMBER(N275)),G275-N275,"")</f>
        <v>148.450000000001</v>
      </c>
      <c r="P275" s="49" t="n">
        <f aca="false">IF(ISNUMBER(O275),O275/N275,"")</f>
        <v>0.00595098504937777</v>
      </c>
      <c r="Q275" s="50" t="n">
        <f aca="false">C275-B275</f>
        <v>38</v>
      </c>
      <c r="R275" s="51" t="n">
        <f aca="false">IF(AND(C275=C274,ISNUMBER(G275),ISNUMBER(G274)),(G275/G274-1)*100,"")</f>
        <v>-0.3878276885946</v>
      </c>
      <c r="S275" s="51" t="n">
        <f aca="false">IF(AND(C275=C274,ISNUMBER(L275),ISNUMBER(L274)),(L275/L274-1)*100,"")</f>
        <v>3.26050839009802</v>
      </c>
      <c r="T275" s="51" t="n">
        <f aca="false">IF(AND(C275=C274,ISNUMBER(G275),ISNUMBER(G274)),G275-G274,"")</f>
        <v>-97.6999999999971</v>
      </c>
      <c r="U275" s="1" t="str">
        <f aca="false">IF(OR(NOT(ISNUMBER(R275)),NOT(ISNUMBER(S275))),"Not classified",IF(AND(R275&gt;0,S275&gt;0),"Long buildup (interpretation)",IF(AND(R275&lt;0,S275&gt;0),"Short buildup (interpretation)",IF(AND(R275&gt;0,S275&lt;0),"Short covering (interpretation)",IF(AND(R275&lt;0,S275&lt;0),"Long unwinding (interpretation)","Neutral")))))</f>
        <v>Short buildup (interpretation)</v>
      </c>
      <c r="V275" s="52" t="str">
        <f aca="false">TEXT(B275,"yyyy-mm")</f>
        <v>2025-05</v>
      </c>
      <c r="W275" s="52" t="n">
        <f aca="false">1+COUNTIFS($B$2:$B$756,B275,$C$2:$C$756,"&lt;"&amp;C275)</f>
        <v>2</v>
      </c>
      <c r="X275" s="53" t="n">
        <f aca="false">IF(AND(ISNUMBER(P275),Q275&gt;0),P275*365/Q275,"")</f>
        <v>0.0571607774479707</v>
      </c>
      <c r="Y275" s="42" t="n">
        <f aca="false">IF(AND(C276=C275,ISNUMBER(R276)),R276,"")</f>
        <v>-0.879895113952012</v>
      </c>
      <c r="Z275" s="52" t="n">
        <f aca="false">IF(AND(W275=1,Q275&gt;Basis_Analysis!$B$3,ISNUMBER(Y275)),1,0)</f>
        <v>0</v>
      </c>
      <c r="AA275" s="43" t="str">
        <f aca="false">IF(W275=1,IF(SUMIFS($L$2:$L$756,$B$2:$B$756,B275,$W$2:$W$756,2)&gt;0,SUMIFS($L$2:$L$756,$B$2:$B$756,B275,$W$2:$W$756,2),""),"")</f>
        <v/>
      </c>
      <c r="AB275" s="54" t="str">
        <f aca="false">IF(AND(W275=1,ISNUMBER(AA275)),L275/(L275+AA275),"")</f>
        <v/>
      </c>
    </row>
    <row r="276" customFormat="false" ht="15" hidden="false" customHeight="true" outlineLevel="0" collapsed="false">
      <c r="A276" s="1" t="s">
        <v>274</v>
      </c>
      <c r="B276" s="46" t="n">
        <v>45797</v>
      </c>
      <c r="C276" s="46" t="n">
        <v>45834</v>
      </c>
      <c r="D276" s="47" t="n">
        <v>25174</v>
      </c>
      <c r="E276" s="47" t="n">
        <v>25175.7</v>
      </c>
      <c r="F276" s="47" t="n">
        <v>24847.6</v>
      </c>
      <c r="G276" s="47" t="n">
        <v>24873.1</v>
      </c>
      <c r="H276" s="47" t="n">
        <v>24883</v>
      </c>
      <c r="I276" s="47" t="n">
        <v>24873.1</v>
      </c>
      <c r="J276" s="48" t="n">
        <v>41323</v>
      </c>
      <c r="K276" s="47" t="n">
        <v>773003.39</v>
      </c>
      <c r="L276" s="48" t="n">
        <v>5784750</v>
      </c>
      <c r="M276" s="48" t="n">
        <v>2055600</v>
      </c>
      <c r="N276" s="47" t="n">
        <v>24683.9</v>
      </c>
      <c r="O276" s="47" t="n">
        <f aca="false">IF(AND(ISNUMBER(G276),ISNUMBER(N276)),G276-N276,"")</f>
        <v>189.199999999997</v>
      </c>
      <c r="P276" s="49" t="n">
        <f aca="false">IF(ISNUMBER(O276),O276/N276,"")</f>
        <v>0.00766491518763231</v>
      </c>
      <c r="Q276" s="50" t="n">
        <f aca="false">C276-B276</f>
        <v>37</v>
      </c>
      <c r="R276" s="51" t="n">
        <f aca="false">IF(AND(C276=C275,ISNUMBER(G276),ISNUMBER(G275)),(G276/G275-1)*100,"")</f>
        <v>-0.879895113952012</v>
      </c>
      <c r="S276" s="51" t="n">
        <f aca="false">IF(AND(C276=C275,ISNUMBER(L276),ISNUMBER(L275)),(L276/L275-1)*100,"")</f>
        <v>55.1224809943285</v>
      </c>
      <c r="T276" s="51" t="n">
        <f aca="false">IF(AND(C276=C275,ISNUMBER(G276),ISNUMBER(G275)),G276-G275,"")</f>
        <v>-220.800000000003</v>
      </c>
      <c r="U276" s="1" t="str">
        <f aca="false">IF(OR(NOT(ISNUMBER(R276)),NOT(ISNUMBER(S276))),"Not classified",IF(AND(R276&gt;0,S276&gt;0),"Long buildup (interpretation)",IF(AND(R276&lt;0,S276&gt;0),"Short buildup (interpretation)",IF(AND(R276&gt;0,S276&lt;0),"Short covering (interpretation)",IF(AND(R276&lt;0,S276&lt;0),"Long unwinding (interpretation)","Neutral")))))</f>
        <v>Short buildup (interpretation)</v>
      </c>
      <c r="V276" s="52" t="str">
        <f aca="false">TEXT(B276,"yyyy-mm")</f>
        <v>2025-05</v>
      </c>
      <c r="W276" s="52" t="n">
        <f aca="false">1+COUNTIFS($B$2:$B$756,B276,$C$2:$C$756,"&lt;"&amp;C276)</f>
        <v>2</v>
      </c>
      <c r="X276" s="53" t="n">
        <f aca="false">IF(AND(ISNUMBER(P276),Q276&gt;0),P276*365/Q276,"")</f>
        <v>0.075613352526643</v>
      </c>
      <c r="Y276" s="42" t="n">
        <f aca="false">IF(AND(C277=C276,ISNUMBER(R277)),R277,"")</f>
        <v>0.233585680916337</v>
      </c>
      <c r="Z276" s="52" t="n">
        <f aca="false">IF(AND(W276=1,Q276&gt;Basis_Analysis!$B$3,ISNUMBER(Y276)),1,0)</f>
        <v>0</v>
      </c>
      <c r="AA276" s="43" t="str">
        <f aca="false">IF(W276=1,IF(SUMIFS($L$2:$L$756,$B$2:$B$756,B276,$W$2:$W$756,2)&gt;0,SUMIFS($L$2:$L$756,$B$2:$B$756,B276,$W$2:$W$756,2),""),"")</f>
        <v/>
      </c>
      <c r="AB276" s="54" t="str">
        <f aca="false">IF(AND(W276=1,ISNUMBER(AA276)),L276/(L276+AA276),"")</f>
        <v/>
      </c>
    </row>
    <row r="277" customFormat="false" ht="15" hidden="false" customHeight="true" outlineLevel="0" collapsed="false">
      <c r="A277" s="1" t="s">
        <v>274</v>
      </c>
      <c r="B277" s="46" t="n">
        <v>45798</v>
      </c>
      <c r="C277" s="46" t="n">
        <v>45834</v>
      </c>
      <c r="D277" s="47" t="n">
        <v>24873.3</v>
      </c>
      <c r="E277" s="47" t="n">
        <v>25118</v>
      </c>
      <c r="F277" s="47" t="n">
        <v>24829.2</v>
      </c>
      <c r="G277" s="47" t="n">
        <v>24931.2</v>
      </c>
      <c r="H277" s="47" t="n">
        <v>24920</v>
      </c>
      <c r="I277" s="47" t="n">
        <v>24931.2</v>
      </c>
      <c r="J277" s="48" t="n">
        <v>36702</v>
      </c>
      <c r="K277" s="47" t="n">
        <v>686904.07</v>
      </c>
      <c r="L277" s="48" t="n">
        <v>7192725</v>
      </c>
      <c r="M277" s="48" t="n">
        <v>1407975</v>
      </c>
      <c r="N277" s="47" t="n">
        <v>24813.45</v>
      </c>
      <c r="O277" s="47" t="n">
        <f aca="false">IF(AND(ISNUMBER(G277),ISNUMBER(N277)),G277-N277,"")</f>
        <v>117.75</v>
      </c>
      <c r="P277" s="49" t="n">
        <f aca="false">IF(ISNUMBER(O277),O277/N277,"")</f>
        <v>0.00474541025129517</v>
      </c>
      <c r="Q277" s="50" t="n">
        <f aca="false">C277-B277</f>
        <v>36</v>
      </c>
      <c r="R277" s="51" t="n">
        <f aca="false">IF(AND(C277=C276,ISNUMBER(G277),ISNUMBER(G276)),(G277/G276-1)*100,"")</f>
        <v>0.233585680916337</v>
      </c>
      <c r="S277" s="51" t="n">
        <f aca="false">IF(AND(C277=C276,ISNUMBER(L277),ISNUMBER(L276)),(L277/L276-1)*100,"")</f>
        <v>24.3394269415273</v>
      </c>
      <c r="T277" s="51" t="n">
        <f aca="false">IF(AND(C277=C276,ISNUMBER(G277),ISNUMBER(G276)),G277-G276,"")</f>
        <v>58.1000000000022</v>
      </c>
      <c r="U277" s="1" t="str">
        <f aca="false">IF(OR(NOT(ISNUMBER(R277)),NOT(ISNUMBER(S277))),"Not classified",IF(AND(R277&gt;0,S277&gt;0),"Long buildup (interpretation)",IF(AND(R277&lt;0,S277&gt;0),"Short buildup (interpretation)",IF(AND(R277&gt;0,S277&lt;0),"Short covering (interpretation)",IF(AND(R277&lt;0,S277&lt;0),"Long unwinding (interpretation)","Neutral")))))</f>
        <v>Long buildup (interpretation)</v>
      </c>
      <c r="V277" s="52" t="str">
        <f aca="false">TEXT(B277,"yyyy-mm")</f>
        <v>2025-05</v>
      </c>
      <c r="W277" s="52" t="n">
        <f aca="false">1+COUNTIFS($B$2:$B$756,B277,$C$2:$C$756,"&lt;"&amp;C277)</f>
        <v>2</v>
      </c>
      <c r="X277" s="53" t="n">
        <f aca="false">IF(AND(ISNUMBER(P277),Q277&gt;0),P277*365/Q277,"")</f>
        <v>0.048113187270076</v>
      </c>
      <c r="Y277" s="42" t="n">
        <f aca="false">IF(AND(C278=C277,ISNUMBER(R278)),R278,"")</f>
        <v>-0.69471184700296</v>
      </c>
      <c r="Z277" s="52" t="n">
        <f aca="false">IF(AND(W277=1,Q277&gt;Basis_Analysis!$B$3,ISNUMBER(Y277)),1,0)</f>
        <v>0</v>
      </c>
      <c r="AA277" s="43" t="str">
        <f aca="false">IF(W277=1,IF(SUMIFS($L$2:$L$756,$B$2:$B$756,B277,$W$2:$W$756,2)&gt;0,SUMIFS($L$2:$L$756,$B$2:$B$756,B277,$W$2:$W$756,2),""),"")</f>
        <v/>
      </c>
      <c r="AB277" s="54" t="str">
        <f aca="false">IF(AND(W277=1,ISNUMBER(AA277)),L277/(L277+AA277),"")</f>
        <v/>
      </c>
    </row>
    <row r="278" customFormat="false" ht="15" hidden="false" customHeight="true" outlineLevel="0" collapsed="false">
      <c r="A278" s="1" t="s">
        <v>274</v>
      </c>
      <c r="B278" s="46" t="n">
        <v>45799</v>
      </c>
      <c r="C278" s="46" t="n">
        <v>45834</v>
      </c>
      <c r="D278" s="47" t="n">
        <v>24855.1</v>
      </c>
      <c r="E278" s="47" t="n">
        <v>24894.9</v>
      </c>
      <c r="F278" s="47" t="n">
        <v>24625</v>
      </c>
      <c r="G278" s="47" t="n">
        <v>24758</v>
      </c>
      <c r="H278" s="47" t="n">
        <v>24760</v>
      </c>
      <c r="I278" s="47" t="n">
        <v>24758</v>
      </c>
      <c r="J278" s="48" t="n">
        <v>31090</v>
      </c>
      <c r="K278" s="47" t="n">
        <v>576399.8</v>
      </c>
      <c r="L278" s="48" t="n">
        <v>7801050</v>
      </c>
      <c r="M278" s="48" t="n">
        <v>608325</v>
      </c>
      <c r="N278" s="47" t="n">
        <v>24609.7</v>
      </c>
      <c r="O278" s="47" t="n">
        <f aca="false">IF(AND(ISNUMBER(G278),ISNUMBER(N278)),G278-N278,"")</f>
        <v>148.299999999999</v>
      </c>
      <c r="P278" s="49" t="n">
        <f aca="false">IF(ISNUMBER(O278),O278/N278,"")</f>
        <v>0.00602607914765313</v>
      </c>
      <c r="Q278" s="50" t="n">
        <f aca="false">C278-B278</f>
        <v>35</v>
      </c>
      <c r="R278" s="51" t="n">
        <f aca="false">IF(AND(C278=C277,ISNUMBER(G278),ISNUMBER(G277)),(G278/G277-1)*100,"")</f>
        <v>-0.69471184700296</v>
      </c>
      <c r="S278" s="51" t="n">
        <f aca="false">IF(AND(C278=C277,ISNUMBER(L278),ISNUMBER(L277)),(L278/L277-1)*100,"")</f>
        <v>8.45750393626894</v>
      </c>
      <c r="T278" s="51" t="n">
        <f aca="false">IF(AND(C278=C277,ISNUMBER(G278),ISNUMBER(G277)),G278-G277,"")</f>
        <v>-173.200000000001</v>
      </c>
      <c r="U278" s="1" t="str">
        <f aca="false">IF(OR(NOT(ISNUMBER(R278)),NOT(ISNUMBER(S278))),"Not classified",IF(AND(R278&gt;0,S278&gt;0),"Long buildup (interpretation)",IF(AND(R278&lt;0,S278&gt;0),"Short buildup (interpretation)",IF(AND(R278&gt;0,S278&lt;0),"Short covering (interpretation)",IF(AND(R278&lt;0,S278&lt;0),"Long unwinding (interpretation)","Neutral")))))</f>
        <v>Short buildup (interpretation)</v>
      </c>
      <c r="V278" s="52" t="str">
        <f aca="false">TEXT(B278,"yyyy-mm")</f>
        <v>2025-05</v>
      </c>
      <c r="W278" s="52" t="n">
        <f aca="false">1+COUNTIFS($B$2:$B$756,B278,$C$2:$C$756,"&lt;"&amp;C278)</f>
        <v>2</v>
      </c>
      <c r="X278" s="53" t="n">
        <f aca="false">IF(AND(ISNUMBER(P278),Q278&gt;0),P278*365/Q278,"")</f>
        <v>0.0628433968255255</v>
      </c>
      <c r="Y278" s="42" t="n">
        <f aca="false">IF(AND(C279=C278,ISNUMBER(R279)),R279,"")</f>
        <v>0.867598352047816</v>
      </c>
      <c r="Z278" s="52" t="n">
        <f aca="false">IF(AND(W278=1,Q278&gt;Basis_Analysis!$B$3,ISNUMBER(Y278)),1,0)</f>
        <v>0</v>
      </c>
      <c r="AA278" s="43" t="str">
        <f aca="false">IF(W278=1,IF(SUMIFS($L$2:$L$756,$B$2:$B$756,B278,$W$2:$W$756,2)&gt;0,SUMIFS($L$2:$L$756,$B$2:$B$756,B278,$W$2:$W$756,2),""),"")</f>
        <v/>
      </c>
      <c r="AB278" s="54" t="str">
        <f aca="false">IF(AND(W278=1,ISNUMBER(AA278)),L278/(L278+AA278),"")</f>
        <v/>
      </c>
    </row>
    <row r="279" customFormat="false" ht="15" hidden="false" customHeight="true" outlineLevel="0" collapsed="false">
      <c r="A279" s="1" t="s">
        <v>274</v>
      </c>
      <c r="B279" s="46" t="n">
        <v>45800</v>
      </c>
      <c r="C279" s="46" t="n">
        <v>45834</v>
      </c>
      <c r="D279" s="47" t="n">
        <v>24757.8</v>
      </c>
      <c r="E279" s="47" t="n">
        <v>25052</v>
      </c>
      <c r="F279" s="47" t="n">
        <v>24736.1</v>
      </c>
      <c r="G279" s="47" t="n">
        <v>24972.8</v>
      </c>
      <c r="H279" s="47" t="n">
        <v>24976</v>
      </c>
      <c r="I279" s="47" t="n">
        <v>24972.8</v>
      </c>
      <c r="J279" s="48" t="n">
        <v>39587</v>
      </c>
      <c r="K279" s="47" t="n">
        <v>741146.85</v>
      </c>
      <c r="L279" s="48" t="n">
        <v>8199150</v>
      </c>
      <c r="M279" s="48" t="n">
        <v>398100</v>
      </c>
      <c r="N279" s="47" t="n">
        <v>24853.15</v>
      </c>
      <c r="O279" s="47" t="n">
        <f aca="false">IF(AND(ISNUMBER(G279),ISNUMBER(N279)),G279-N279,"")</f>
        <v>119.649999999998</v>
      </c>
      <c r="P279" s="49" t="n">
        <f aca="false">IF(ISNUMBER(O279),O279/N279,"")</f>
        <v>0.00481427907528816</v>
      </c>
      <c r="Q279" s="50" t="n">
        <f aca="false">C279-B279</f>
        <v>34</v>
      </c>
      <c r="R279" s="51" t="n">
        <f aca="false">IF(AND(C279=C278,ISNUMBER(G279),ISNUMBER(G278)),(G279/G278-1)*100,"")</f>
        <v>0.867598352047816</v>
      </c>
      <c r="S279" s="51" t="n">
        <f aca="false">IF(AND(C279=C278,ISNUMBER(L279),ISNUMBER(L278)),(L279/L278-1)*100,"")</f>
        <v>5.10315919010902</v>
      </c>
      <c r="T279" s="51" t="n">
        <f aca="false">IF(AND(C279=C278,ISNUMBER(G279),ISNUMBER(G278)),G279-G278,"")</f>
        <v>214.799999999999</v>
      </c>
      <c r="U279" s="1" t="str">
        <f aca="false">IF(OR(NOT(ISNUMBER(R279)),NOT(ISNUMBER(S279))),"Not classified",IF(AND(R279&gt;0,S279&gt;0),"Long buildup (interpretation)",IF(AND(R279&lt;0,S279&gt;0),"Short buildup (interpretation)",IF(AND(R279&gt;0,S279&lt;0),"Short covering (interpretation)",IF(AND(R279&lt;0,S279&lt;0),"Long unwinding (interpretation)","Neutral")))))</f>
        <v>Long buildup (interpretation)</v>
      </c>
      <c r="V279" s="52" t="str">
        <f aca="false">TEXT(B279,"yyyy-mm")</f>
        <v>2025-05</v>
      </c>
      <c r="W279" s="52" t="n">
        <f aca="false">1+COUNTIFS($B$2:$B$756,B279,$C$2:$C$756,"&lt;"&amp;C279)</f>
        <v>2</v>
      </c>
      <c r="X279" s="53" t="n">
        <f aca="false">IF(AND(ISNUMBER(P279),Q279&gt;0),P279*365/Q279,"")</f>
        <v>0.0516827018376523</v>
      </c>
      <c r="Y279" s="42" t="n">
        <f aca="false">IF(AND(C280=C279,ISNUMBER(R280)),R280,"")</f>
        <v>0.620274859046655</v>
      </c>
      <c r="Z279" s="52" t="n">
        <f aca="false">IF(AND(W279=1,Q279&gt;Basis_Analysis!$B$3,ISNUMBER(Y279)),1,0)</f>
        <v>0</v>
      </c>
      <c r="AA279" s="43" t="str">
        <f aca="false">IF(W279=1,IF(SUMIFS($L$2:$L$756,$B$2:$B$756,B279,$W$2:$W$756,2)&gt;0,SUMIFS($L$2:$L$756,$B$2:$B$756,B279,$W$2:$W$756,2),""),"")</f>
        <v/>
      </c>
      <c r="AB279" s="54" t="str">
        <f aca="false">IF(AND(W279=1,ISNUMBER(AA279)),L279/(L279+AA279),"")</f>
        <v/>
      </c>
    </row>
    <row r="280" customFormat="false" ht="15" hidden="false" customHeight="true" outlineLevel="0" collapsed="false">
      <c r="A280" s="1" t="s">
        <v>274</v>
      </c>
      <c r="B280" s="46" t="n">
        <v>45803</v>
      </c>
      <c r="C280" s="46" t="n">
        <v>45834</v>
      </c>
      <c r="D280" s="47" t="n">
        <v>25025</v>
      </c>
      <c r="E280" s="47" t="n">
        <v>25195</v>
      </c>
      <c r="F280" s="47" t="n">
        <v>25025</v>
      </c>
      <c r="G280" s="47" t="n">
        <v>25127.7</v>
      </c>
      <c r="H280" s="47" t="n">
        <v>25123</v>
      </c>
      <c r="I280" s="47" t="n">
        <v>25127.7</v>
      </c>
      <c r="J280" s="48" t="n">
        <v>50712</v>
      </c>
      <c r="K280" s="47" t="n">
        <v>955198.32</v>
      </c>
      <c r="L280" s="48" t="n">
        <v>9353700</v>
      </c>
      <c r="M280" s="48" t="n">
        <v>1154550</v>
      </c>
      <c r="N280" s="47" t="n">
        <v>25001.15</v>
      </c>
      <c r="O280" s="47" t="n">
        <f aca="false">IF(AND(ISNUMBER(G280),ISNUMBER(N280)),G280-N280,"")</f>
        <v>126.549999999999</v>
      </c>
      <c r="P280" s="49" t="n">
        <f aca="false">IF(ISNUMBER(O280),O280/N280,"")</f>
        <v>0.00506176715871067</v>
      </c>
      <c r="Q280" s="50" t="n">
        <f aca="false">C280-B280</f>
        <v>31</v>
      </c>
      <c r="R280" s="51" t="n">
        <f aca="false">IF(AND(C280=C279,ISNUMBER(G280),ISNUMBER(G279)),(G280/G279-1)*100,"")</f>
        <v>0.620274859046655</v>
      </c>
      <c r="S280" s="51" t="n">
        <f aca="false">IF(AND(C280=C279,ISNUMBER(L280),ISNUMBER(L279)),(L280/L279-1)*100,"")</f>
        <v>14.0813376996396</v>
      </c>
      <c r="T280" s="51" t="n">
        <f aca="false">IF(AND(C280=C279,ISNUMBER(G280),ISNUMBER(G279)),G280-G279,"")</f>
        <v>154.900000000001</v>
      </c>
      <c r="U280" s="1" t="str">
        <f aca="false">IF(OR(NOT(ISNUMBER(R280)),NOT(ISNUMBER(S280))),"Not classified",IF(AND(R280&gt;0,S280&gt;0),"Long buildup (interpretation)",IF(AND(R280&lt;0,S280&gt;0),"Short buildup (interpretation)",IF(AND(R280&gt;0,S280&lt;0),"Short covering (interpretation)",IF(AND(R280&lt;0,S280&lt;0),"Long unwinding (interpretation)","Neutral")))))</f>
        <v>Long buildup (interpretation)</v>
      </c>
      <c r="V280" s="52" t="str">
        <f aca="false">TEXT(B280,"yyyy-mm")</f>
        <v>2025-05</v>
      </c>
      <c r="W280" s="52" t="n">
        <f aca="false">1+COUNTIFS($B$2:$B$756,B280,$C$2:$C$756,"&lt;"&amp;C280)</f>
        <v>2</v>
      </c>
      <c r="X280" s="53" t="n">
        <f aca="false">IF(AND(ISNUMBER(P280),Q280&gt;0),P280*365/Q280,"")</f>
        <v>0.0595982262235289</v>
      </c>
      <c r="Y280" s="42" t="n">
        <f aca="false">IF(AND(C281=C280,ISNUMBER(R281)),R281,"")</f>
        <v>-0.653860082697577</v>
      </c>
      <c r="Z280" s="52" t="n">
        <f aca="false">IF(AND(W280=1,Q280&gt;Basis_Analysis!$B$3,ISNUMBER(Y280)),1,0)</f>
        <v>0</v>
      </c>
      <c r="AA280" s="43" t="str">
        <f aca="false">IF(W280=1,IF(SUMIFS($L$2:$L$756,$B$2:$B$756,B280,$W$2:$W$756,2)&gt;0,SUMIFS($L$2:$L$756,$B$2:$B$756,B280,$W$2:$W$756,2),""),"")</f>
        <v/>
      </c>
      <c r="AB280" s="54" t="str">
        <f aca="false">IF(AND(W280=1,ISNUMBER(AA280)),L280/(L280+AA280),"")</f>
        <v/>
      </c>
    </row>
    <row r="281" customFormat="false" ht="15" hidden="false" customHeight="true" outlineLevel="0" collapsed="false">
      <c r="A281" s="1" t="s">
        <v>274</v>
      </c>
      <c r="B281" s="46" t="n">
        <v>45804</v>
      </c>
      <c r="C281" s="46" t="n">
        <v>45834</v>
      </c>
      <c r="D281" s="47" t="n">
        <v>25080</v>
      </c>
      <c r="E281" s="47" t="n">
        <v>25187</v>
      </c>
      <c r="F281" s="47" t="n">
        <v>24856</v>
      </c>
      <c r="G281" s="47" t="n">
        <v>24963.4</v>
      </c>
      <c r="H281" s="47" t="n">
        <v>24954.7</v>
      </c>
      <c r="I281" s="47" t="n">
        <v>24963.4</v>
      </c>
      <c r="J281" s="48" t="n">
        <v>104803</v>
      </c>
      <c r="K281" s="47" t="n">
        <v>1962970.58</v>
      </c>
      <c r="L281" s="48" t="n">
        <v>10191375</v>
      </c>
      <c r="M281" s="48" t="n">
        <v>837675</v>
      </c>
      <c r="N281" s="47" t="n">
        <v>24826.2</v>
      </c>
      <c r="O281" s="47" t="n">
        <f aca="false">IF(AND(ISNUMBER(G281),ISNUMBER(N281)),G281-N281,"")</f>
        <v>137.200000000001</v>
      </c>
      <c r="P281" s="49" t="n">
        <f aca="false">IF(ISNUMBER(O281),O281/N281,"")</f>
        <v>0.00552641966954269</v>
      </c>
      <c r="Q281" s="50" t="n">
        <f aca="false">C281-B281</f>
        <v>30</v>
      </c>
      <c r="R281" s="51" t="n">
        <f aca="false">IF(AND(C281=C280,ISNUMBER(G281),ISNUMBER(G280)),(G281/G280-1)*100,"")</f>
        <v>-0.653860082697577</v>
      </c>
      <c r="S281" s="51" t="n">
        <f aca="false">IF(AND(C281=C280,ISNUMBER(L281),ISNUMBER(L280)),(L281/L280-1)*100,"")</f>
        <v>8.95554700279033</v>
      </c>
      <c r="T281" s="51" t="n">
        <f aca="false">IF(AND(C281=C280,ISNUMBER(G281),ISNUMBER(G280)),G281-G280,"")</f>
        <v>-164.299999999999</v>
      </c>
      <c r="U281" s="1" t="str">
        <f aca="false">IF(OR(NOT(ISNUMBER(R281)),NOT(ISNUMBER(S281))),"Not classified",IF(AND(R281&gt;0,S281&gt;0),"Long buildup (interpretation)",IF(AND(R281&lt;0,S281&gt;0),"Short buildup (interpretation)",IF(AND(R281&gt;0,S281&lt;0),"Short covering (interpretation)",IF(AND(R281&lt;0,S281&lt;0),"Long unwinding (interpretation)","Neutral")))))</f>
        <v>Short buildup (interpretation)</v>
      </c>
      <c r="V281" s="52" t="str">
        <f aca="false">TEXT(B281,"yyyy-mm")</f>
        <v>2025-05</v>
      </c>
      <c r="W281" s="52" t="n">
        <f aca="false">1+COUNTIFS($B$2:$B$756,B281,$C$2:$C$756,"&lt;"&amp;C281)</f>
        <v>2</v>
      </c>
      <c r="X281" s="53" t="n">
        <f aca="false">IF(AND(ISNUMBER(P281),Q281&gt;0),P281*365/Q281,"")</f>
        <v>0.0672381059794361</v>
      </c>
      <c r="Y281" s="42" t="n">
        <f aca="false">IF(AND(C282=C281,ISNUMBER(R282)),R282,"")</f>
        <v>-0.411402292956897</v>
      </c>
      <c r="Z281" s="52" t="n">
        <f aca="false">IF(AND(W281=1,Q281&gt;Basis_Analysis!$B$3,ISNUMBER(Y281)),1,0)</f>
        <v>0</v>
      </c>
      <c r="AA281" s="43" t="str">
        <f aca="false">IF(W281=1,IF(SUMIFS($L$2:$L$756,$B$2:$B$756,B281,$W$2:$W$756,2)&gt;0,SUMIFS($L$2:$L$756,$B$2:$B$756,B281,$W$2:$W$756,2),""),"")</f>
        <v/>
      </c>
      <c r="AB281" s="54" t="str">
        <f aca="false">IF(AND(W281=1,ISNUMBER(AA281)),L281/(L281+AA281),"")</f>
        <v/>
      </c>
    </row>
    <row r="282" customFormat="false" ht="15" hidden="false" customHeight="true" outlineLevel="0" collapsed="false">
      <c r="A282" s="1" t="s">
        <v>274</v>
      </c>
      <c r="B282" s="46" t="n">
        <v>45805</v>
      </c>
      <c r="C282" s="46" t="n">
        <v>45834</v>
      </c>
      <c r="D282" s="47" t="n">
        <v>24950.1</v>
      </c>
      <c r="E282" s="47" t="n">
        <v>24986.9</v>
      </c>
      <c r="F282" s="47" t="n">
        <v>24842.4</v>
      </c>
      <c r="G282" s="47" t="n">
        <v>24860.7</v>
      </c>
      <c r="H282" s="47" t="n">
        <v>24853</v>
      </c>
      <c r="I282" s="47" t="n">
        <v>24860.7</v>
      </c>
      <c r="J282" s="48" t="n">
        <v>65247</v>
      </c>
      <c r="K282" s="47" t="n">
        <v>1218234.15</v>
      </c>
      <c r="L282" s="48" t="n">
        <v>12391350</v>
      </c>
      <c r="M282" s="48" t="n">
        <v>2199975</v>
      </c>
      <c r="N282" s="47" t="n">
        <v>24752.45</v>
      </c>
      <c r="O282" s="47" t="n">
        <f aca="false">IF(AND(ISNUMBER(G282),ISNUMBER(N282)),G282-N282,"")</f>
        <v>108.25</v>
      </c>
      <c r="P282" s="49" t="n">
        <f aca="false">IF(ISNUMBER(O282),O282/N282,"")</f>
        <v>0.00437330446077055</v>
      </c>
      <c r="Q282" s="50" t="n">
        <f aca="false">C282-B282</f>
        <v>29</v>
      </c>
      <c r="R282" s="51" t="n">
        <f aca="false">IF(AND(C282=C281,ISNUMBER(G282),ISNUMBER(G281)),(G282/G281-1)*100,"")</f>
        <v>-0.411402292956897</v>
      </c>
      <c r="S282" s="51" t="n">
        <f aca="false">IF(AND(C282=C281,ISNUMBER(L282),ISNUMBER(L281)),(L282/L281-1)*100,"")</f>
        <v>21.5866357581779</v>
      </c>
      <c r="T282" s="51" t="n">
        <f aca="false">IF(AND(C282=C281,ISNUMBER(G282),ISNUMBER(G281)),G282-G281,"")</f>
        <v>-102.700000000001</v>
      </c>
      <c r="U282" s="1" t="str">
        <f aca="false">IF(OR(NOT(ISNUMBER(R282)),NOT(ISNUMBER(S282))),"Not classified",IF(AND(R282&gt;0,S282&gt;0),"Long buildup (interpretation)",IF(AND(R282&lt;0,S282&gt;0),"Short buildup (interpretation)",IF(AND(R282&gt;0,S282&lt;0),"Short covering (interpretation)",IF(AND(R282&lt;0,S282&lt;0),"Long unwinding (interpretation)","Neutral")))))</f>
        <v>Short buildup (interpretation)</v>
      </c>
      <c r="V282" s="52" t="str">
        <f aca="false">TEXT(B282,"yyyy-mm")</f>
        <v>2025-05</v>
      </c>
      <c r="W282" s="52" t="n">
        <f aca="false">1+COUNTIFS($B$2:$B$756,B282,$C$2:$C$756,"&lt;"&amp;C282)</f>
        <v>2</v>
      </c>
      <c r="X282" s="53" t="n">
        <f aca="false">IF(AND(ISNUMBER(P282),Q282&gt;0),P282*365/Q282,"")</f>
        <v>0.0550433147648707</v>
      </c>
      <c r="Y282" s="42" t="n">
        <f aca="false">IF(AND(C283=C282,ISNUMBER(R283)),R283,"")</f>
        <v>0.330240097825074</v>
      </c>
      <c r="Z282" s="52" t="n">
        <f aca="false">IF(AND(W282=1,Q282&gt;Basis_Analysis!$B$3,ISNUMBER(Y282)),1,0)</f>
        <v>0</v>
      </c>
      <c r="AA282" s="43" t="str">
        <f aca="false">IF(W282=1,IF(SUMIFS($L$2:$L$756,$B$2:$B$756,B282,$W$2:$W$756,2)&gt;0,SUMIFS($L$2:$L$756,$B$2:$B$756,B282,$W$2:$W$756,2),""),"")</f>
        <v/>
      </c>
      <c r="AB282" s="54" t="str">
        <f aca="false">IF(AND(W282=1,ISNUMBER(AA282)),L282/(L282+AA282),"")</f>
        <v/>
      </c>
    </row>
    <row r="283" customFormat="false" ht="15" hidden="false" customHeight="true" outlineLevel="0" collapsed="false">
      <c r="A283" s="1" t="s">
        <v>274</v>
      </c>
      <c r="B283" s="46" t="n">
        <v>45806</v>
      </c>
      <c r="C283" s="46" t="n">
        <v>45834</v>
      </c>
      <c r="D283" s="47" t="n">
        <v>24915</v>
      </c>
      <c r="E283" s="47" t="n">
        <v>24991.7</v>
      </c>
      <c r="F283" s="47" t="n">
        <v>24802</v>
      </c>
      <c r="G283" s="47" t="n">
        <v>24942.8</v>
      </c>
      <c r="H283" s="47" t="n">
        <v>24965</v>
      </c>
      <c r="I283" s="47" t="n">
        <v>24942.8</v>
      </c>
      <c r="J283" s="48" t="n">
        <v>134623</v>
      </c>
      <c r="K283" s="47" t="n">
        <v>2513601.8</v>
      </c>
      <c r="L283" s="48" t="n">
        <v>12683625</v>
      </c>
      <c r="M283" s="48" t="n">
        <v>292275</v>
      </c>
      <c r="N283" s="47" t="n">
        <v>24833.6</v>
      </c>
      <c r="O283" s="47" t="n">
        <f aca="false">IF(AND(ISNUMBER(G283),ISNUMBER(N283)),G283-N283,"")</f>
        <v>109.200000000001</v>
      </c>
      <c r="P283" s="49" t="n">
        <f aca="false">IF(ISNUMBER(O283),O283/N283,"")</f>
        <v>0.00439726821725407</v>
      </c>
      <c r="Q283" s="50" t="n">
        <f aca="false">C283-B283</f>
        <v>28</v>
      </c>
      <c r="R283" s="51" t="n">
        <f aca="false">IF(AND(C283=C282,ISNUMBER(G283),ISNUMBER(G282)),(G283/G282-1)*100,"")</f>
        <v>0.330240097825074</v>
      </c>
      <c r="S283" s="51" t="n">
        <f aca="false">IF(AND(C283=C282,ISNUMBER(L283),ISNUMBER(L282)),(L283/L282-1)*100,"")</f>
        <v>2.35870183636167</v>
      </c>
      <c r="T283" s="51" t="n">
        <f aca="false">IF(AND(C283=C282,ISNUMBER(G283),ISNUMBER(G282)),G283-G282,"")</f>
        <v>82.0999999999985</v>
      </c>
      <c r="U283" s="1" t="str">
        <f aca="false">IF(OR(NOT(ISNUMBER(R283)),NOT(ISNUMBER(S283))),"Not classified",IF(AND(R283&gt;0,S283&gt;0),"Long buildup (interpretation)",IF(AND(R283&lt;0,S283&gt;0),"Short buildup (interpretation)",IF(AND(R283&gt;0,S283&lt;0),"Short covering (interpretation)",IF(AND(R283&lt;0,S283&lt;0),"Long unwinding (interpretation)","Neutral")))))</f>
        <v>Long buildup (interpretation)</v>
      </c>
      <c r="V283" s="52" t="str">
        <f aca="false">TEXT(B283,"yyyy-mm")</f>
        <v>2025-05</v>
      </c>
      <c r="W283" s="52" t="n">
        <f aca="false">1+COUNTIFS($B$2:$B$756,B283,$C$2:$C$756,"&lt;"&amp;C283)</f>
        <v>2</v>
      </c>
      <c r="X283" s="53" t="n">
        <f aca="false">IF(AND(ISNUMBER(P283),Q283&gt;0),P283*365/Q283,"")</f>
        <v>0.0573215321177763</v>
      </c>
      <c r="Y283" s="42" t="n">
        <f aca="false">IF(AND(C284=C283,ISNUMBER(R284)),R284,"")</f>
        <v>-0.287056785926199</v>
      </c>
      <c r="Z283" s="52" t="n">
        <f aca="false">IF(AND(W283=1,Q283&gt;Basis_Analysis!$B$3,ISNUMBER(Y283)),1,0)</f>
        <v>0</v>
      </c>
      <c r="AA283" s="43" t="str">
        <f aca="false">IF(W283=1,IF(SUMIFS($L$2:$L$756,$B$2:$B$756,B283,$W$2:$W$756,2)&gt;0,SUMIFS($L$2:$L$756,$B$2:$B$756,B283,$W$2:$W$756,2),""),"")</f>
        <v/>
      </c>
      <c r="AB283" s="54" t="str">
        <f aca="false">IF(AND(W283=1,ISNUMBER(AA283)),L283/(L283+AA283),"")</f>
        <v/>
      </c>
    </row>
    <row r="284" customFormat="false" ht="15" hidden="false" customHeight="true" outlineLevel="0" collapsed="false">
      <c r="A284" s="1" t="s">
        <v>274</v>
      </c>
      <c r="B284" s="46" t="n">
        <v>45807</v>
      </c>
      <c r="C284" s="46" t="n">
        <v>45834</v>
      </c>
      <c r="D284" s="47" t="n">
        <v>24940.2</v>
      </c>
      <c r="E284" s="47" t="n">
        <v>24987.7</v>
      </c>
      <c r="F284" s="47" t="n">
        <v>24840</v>
      </c>
      <c r="G284" s="47" t="n">
        <v>24871.2</v>
      </c>
      <c r="H284" s="47" t="n">
        <v>24852</v>
      </c>
      <c r="I284" s="47" t="n">
        <v>24871.2</v>
      </c>
      <c r="J284" s="48" t="n">
        <v>69540</v>
      </c>
      <c r="K284" s="47" t="n">
        <v>1298527.61</v>
      </c>
      <c r="L284" s="48" t="n">
        <v>13020000</v>
      </c>
      <c r="M284" s="48" t="n">
        <v>336375</v>
      </c>
      <c r="N284" s="47"/>
      <c r="O284" s="47" t="str">
        <f aca="false">IF(AND(ISNUMBER(G284),ISNUMBER(N284)),G284-N284,"")</f>
        <v/>
      </c>
      <c r="P284" s="49" t="str">
        <f aca="false">IF(ISNUMBER(O284),O284/N284,"")</f>
        <v/>
      </c>
      <c r="Q284" s="50" t="n">
        <f aca="false">C284-B284</f>
        <v>27</v>
      </c>
      <c r="R284" s="51" t="n">
        <f aca="false">IF(AND(C284=C283,ISNUMBER(G284),ISNUMBER(G283)),(G284/G283-1)*100,"")</f>
        <v>-0.287056785926199</v>
      </c>
      <c r="S284" s="51" t="n">
        <f aca="false">IF(AND(C284=C283,ISNUMBER(L284),ISNUMBER(L283)),(L284/L283-1)*100,"")</f>
        <v>2.65204151021494</v>
      </c>
      <c r="T284" s="51" t="n">
        <f aca="false">IF(AND(C284=C283,ISNUMBER(G284),ISNUMBER(G283)),G284-G283,"")</f>
        <v>-71.5999999999985</v>
      </c>
      <c r="U284" s="1" t="str">
        <f aca="false">IF(OR(NOT(ISNUMBER(R284)),NOT(ISNUMBER(S284))),"Not classified",IF(AND(R284&gt;0,S284&gt;0),"Long buildup (interpretation)",IF(AND(R284&lt;0,S284&gt;0),"Short buildup (interpretation)",IF(AND(R284&gt;0,S284&lt;0),"Short covering (interpretation)",IF(AND(R284&lt;0,S284&lt;0),"Long unwinding (interpretation)","Neutral")))))</f>
        <v>Short buildup (interpretation)</v>
      </c>
      <c r="V284" s="52" t="str">
        <f aca="false">TEXT(B284,"yyyy-mm")</f>
        <v>2025-05</v>
      </c>
      <c r="W284" s="52" t="n">
        <f aca="false">1+COUNTIFS($B$2:$B$756,B284,$C$2:$C$756,"&lt;"&amp;C284)</f>
        <v>1</v>
      </c>
      <c r="X284" s="53" t="str">
        <f aca="false">IF(AND(ISNUMBER(P284),Q284&gt;0),P284*365/Q284,"")</f>
        <v/>
      </c>
      <c r="Y284" s="42" t="n">
        <f aca="false">IF(AND(C285=C284,ISNUMBER(R285)),R285,"")</f>
        <v>-0.180530091028985</v>
      </c>
      <c r="Z284" s="52" t="n">
        <f aca="false">IF(AND(W284=1,Q284&gt;Basis_Analysis!$B$3,ISNUMBER(Y284)),1,0)</f>
        <v>1</v>
      </c>
      <c r="AA284" s="43" t="n">
        <f aca="false">IF(W284=1,IF(SUMIFS($L$2:$L$756,$B$2:$B$756,B284,$W$2:$W$756,2)&gt;0,SUMIFS($L$2:$L$756,$B$2:$B$756,B284,$W$2:$W$756,2),""),"")</f>
        <v>2560950</v>
      </c>
      <c r="AB284" s="54" t="n">
        <f aca="false">IF(AND(W284=1,ISNUMBER(AA284)),L284/(L284+AA284),"")</f>
        <v>0.835635824516477</v>
      </c>
    </row>
    <row r="285" customFormat="false" ht="15" hidden="false" customHeight="true" outlineLevel="0" collapsed="false">
      <c r="A285" s="1" t="s">
        <v>274</v>
      </c>
      <c r="B285" s="46" t="n">
        <v>45810</v>
      </c>
      <c r="C285" s="46" t="n">
        <v>45834</v>
      </c>
      <c r="D285" s="47" t="n">
        <v>24799</v>
      </c>
      <c r="E285" s="47" t="n">
        <v>24869</v>
      </c>
      <c r="F285" s="47" t="n">
        <v>24610</v>
      </c>
      <c r="G285" s="47" t="n">
        <v>24826.3</v>
      </c>
      <c r="H285" s="47" t="n">
        <v>24809</v>
      </c>
      <c r="I285" s="47" t="n">
        <v>24826.3</v>
      </c>
      <c r="J285" s="48" t="n">
        <v>93083</v>
      </c>
      <c r="K285" s="47" t="n">
        <v>1727351.05</v>
      </c>
      <c r="L285" s="48" t="n">
        <v>12674100</v>
      </c>
      <c r="M285" s="48" t="n">
        <v>-345900</v>
      </c>
      <c r="N285" s="47" t="n">
        <v>24716.6</v>
      </c>
      <c r="O285" s="47" t="n">
        <f aca="false">IF(AND(ISNUMBER(G285),ISNUMBER(N285)),G285-N285,"")</f>
        <v>109.700000000001</v>
      </c>
      <c r="P285" s="49" t="n">
        <f aca="false">IF(ISNUMBER(O285),O285/N285,"")</f>
        <v>0.00443831271291362</v>
      </c>
      <c r="Q285" s="50" t="n">
        <f aca="false">C285-B285</f>
        <v>24</v>
      </c>
      <c r="R285" s="51" t="n">
        <f aca="false">IF(AND(C285=C284,ISNUMBER(G285),ISNUMBER(G284)),(G285/G284-1)*100,"")</f>
        <v>-0.180530091028985</v>
      </c>
      <c r="S285" s="51" t="n">
        <f aca="false">IF(AND(C285=C284,ISNUMBER(L285),ISNUMBER(L284)),(L285/L284-1)*100,"")</f>
        <v>-2.65668202764977</v>
      </c>
      <c r="T285" s="51" t="n">
        <f aca="false">IF(AND(C285=C284,ISNUMBER(G285),ISNUMBER(G284)),G285-G284,"")</f>
        <v>-44.9000000000015</v>
      </c>
      <c r="U285" s="1" t="str">
        <f aca="false">IF(OR(NOT(ISNUMBER(R285)),NOT(ISNUMBER(S285))),"Not classified",IF(AND(R285&gt;0,S285&gt;0),"Long buildup (interpretation)",IF(AND(R285&lt;0,S285&gt;0),"Short buildup (interpretation)",IF(AND(R285&gt;0,S285&lt;0),"Short covering (interpretation)",IF(AND(R285&lt;0,S285&lt;0),"Long unwinding (interpretation)","Neutral")))))</f>
        <v>Long unwinding (interpretation)</v>
      </c>
      <c r="V285" s="52" t="str">
        <f aca="false">TEXT(B285,"yyyy-mm")</f>
        <v>2025-06</v>
      </c>
      <c r="W285" s="52" t="n">
        <f aca="false">1+COUNTIFS($B$2:$B$756,B285,$C$2:$C$756,"&lt;"&amp;C285)</f>
        <v>1</v>
      </c>
      <c r="X285" s="53" t="n">
        <f aca="false">IF(AND(ISNUMBER(P285),Q285&gt;0),P285*365/Q285,"")</f>
        <v>0.0674993391755613</v>
      </c>
      <c r="Y285" s="42" t="n">
        <f aca="false">IF(AND(C286=C285,ISNUMBER(R286)),R286,"")</f>
        <v>-0.608225953927888</v>
      </c>
      <c r="Z285" s="52" t="n">
        <f aca="false">IF(AND(W285=1,Q285&gt;Basis_Analysis!$B$3,ISNUMBER(Y285)),1,0)</f>
        <v>1</v>
      </c>
      <c r="AA285" s="43" t="n">
        <f aca="false">IF(W285=1,IF(SUMIFS($L$2:$L$756,$B$2:$B$756,B285,$W$2:$W$756,2)&gt;0,SUMIFS($L$2:$L$756,$B$2:$B$756,B285,$W$2:$W$756,2),""),"")</f>
        <v>2828025</v>
      </c>
      <c r="AB285" s="54" t="n">
        <f aca="false">IF(AND(W285=1,ISNUMBER(AA285)),L285/(L285+AA285),"")</f>
        <v>0.817571784513414</v>
      </c>
    </row>
    <row r="286" customFormat="false" ht="15" hidden="false" customHeight="true" outlineLevel="0" collapsed="false">
      <c r="A286" s="1" t="s">
        <v>274</v>
      </c>
      <c r="B286" s="46" t="n">
        <v>45811</v>
      </c>
      <c r="C286" s="46" t="n">
        <v>45834</v>
      </c>
      <c r="D286" s="47" t="n">
        <v>24835</v>
      </c>
      <c r="E286" s="47" t="n">
        <v>24929</v>
      </c>
      <c r="F286" s="47" t="n">
        <v>24631</v>
      </c>
      <c r="G286" s="47" t="n">
        <v>24675.3</v>
      </c>
      <c r="H286" s="47" t="n">
        <v>24654</v>
      </c>
      <c r="I286" s="47" t="n">
        <v>24675.3</v>
      </c>
      <c r="J286" s="48" t="n">
        <v>105510</v>
      </c>
      <c r="K286" s="47" t="n">
        <v>1957830.33</v>
      </c>
      <c r="L286" s="48" t="n">
        <v>12731325</v>
      </c>
      <c r="M286" s="48" t="n">
        <v>57225</v>
      </c>
      <c r="N286" s="47" t="n">
        <v>24542.5</v>
      </c>
      <c r="O286" s="47" t="n">
        <f aca="false">IF(AND(ISNUMBER(G286),ISNUMBER(N286)),G286-N286,"")</f>
        <v>132.799999999999</v>
      </c>
      <c r="P286" s="49" t="n">
        <f aca="false">IF(ISNUMBER(O286),O286/N286,"")</f>
        <v>0.0054110216970561</v>
      </c>
      <c r="Q286" s="50" t="n">
        <f aca="false">C286-B286</f>
        <v>23</v>
      </c>
      <c r="R286" s="51" t="n">
        <f aca="false">IF(AND(C286=C285,ISNUMBER(G286),ISNUMBER(G285)),(G286/G285-1)*100,"")</f>
        <v>-0.608225953927888</v>
      </c>
      <c r="S286" s="51" t="n">
        <f aca="false">IF(AND(C286=C285,ISNUMBER(L286),ISNUMBER(L285)),(L286/L285-1)*100,"")</f>
        <v>0.451511349918343</v>
      </c>
      <c r="T286" s="51" t="n">
        <f aca="false">IF(AND(C286=C285,ISNUMBER(G286),ISNUMBER(G285)),G286-G285,"")</f>
        <v>-151</v>
      </c>
      <c r="U286" s="1" t="str">
        <f aca="false">IF(OR(NOT(ISNUMBER(R286)),NOT(ISNUMBER(S286))),"Not classified",IF(AND(R286&gt;0,S286&gt;0),"Long buildup (interpretation)",IF(AND(R286&lt;0,S286&gt;0),"Short buildup (interpretation)",IF(AND(R286&gt;0,S286&lt;0),"Short covering (interpretation)",IF(AND(R286&lt;0,S286&lt;0),"Long unwinding (interpretation)","Neutral")))))</f>
        <v>Short buildup (interpretation)</v>
      </c>
      <c r="V286" s="52" t="str">
        <f aca="false">TEXT(B286,"yyyy-mm")</f>
        <v>2025-06</v>
      </c>
      <c r="W286" s="52" t="n">
        <f aca="false">1+COUNTIFS($B$2:$B$756,B286,$C$2:$C$756,"&lt;"&amp;C286)</f>
        <v>1</v>
      </c>
      <c r="X286" s="53" t="n">
        <f aca="false">IF(AND(ISNUMBER(P286),Q286&gt;0),P286*365/Q286,"")</f>
        <v>0.0858705617141511</v>
      </c>
      <c r="Y286" s="42" t="n">
        <f aca="false">IF(AND(C287=C286,ISNUMBER(R287)),R287,"")</f>
        <v>0.219247587668647</v>
      </c>
      <c r="Z286" s="52" t="n">
        <f aca="false">IF(AND(W286=1,Q286&gt;Basis_Analysis!$B$3,ISNUMBER(Y286)),1,0)</f>
        <v>1</v>
      </c>
      <c r="AA286" s="43" t="n">
        <f aca="false">IF(W286=1,IF(SUMIFS($L$2:$L$756,$B$2:$B$756,B286,$W$2:$W$756,2)&gt;0,SUMIFS($L$2:$L$756,$B$2:$B$756,B286,$W$2:$W$756,2),""),"")</f>
        <v>3503250</v>
      </c>
      <c r="AB286" s="54" t="n">
        <f aca="false">IF(AND(W286=1,ISNUMBER(AA286)),L286/(L286+AA286),"")</f>
        <v>0.784210550630368</v>
      </c>
    </row>
    <row r="287" customFormat="false" ht="15" hidden="false" customHeight="true" outlineLevel="0" collapsed="false">
      <c r="A287" s="1" t="s">
        <v>274</v>
      </c>
      <c r="B287" s="46" t="n">
        <v>45812</v>
      </c>
      <c r="C287" s="46" t="n">
        <v>45834</v>
      </c>
      <c r="D287" s="47" t="n">
        <v>24710</v>
      </c>
      <c r="E287" s="47" t="n">
        <v>24761</v>
      </c>
      <c r="F287" s="47" t="n">
        <v>24637.6</v>
      </c>
      <c r="G287" s="47" t="n">
        <v>24729.4</v>
      </c>
      <c r="H287" s="47" t="n">
        <v>24721</v>
      </c>
      <c r="I287" s="47" t="n">
        <v>24729.4</v>
      </c>
      <c r="J287" s="48" t="n">
        <v>50960</v>
      </c>
      <c r="K287" s="47" t="n">
        <v>944315.93</v>
      </c>
      <c r="L287" s="48" t="n">
        <v>12494550</v>
      </c>
      <c r="M287" s="48" t="n">
        <v>-236775</v>
      </c>
      <c r="N287" s="47" t="n">
        <v>24620.2</v>
      </c>
      <c r="O287" s="47" t="n">
        <f aca="false">IF(AND(ISNUMBER(G287),ISNUMBER(N287)),G287-N287,"")</f>
        <v>109.200000000001</v>
      </c>
      <c r="P287" s="49" t="n">
        <f aca="false">IF(ISNUMBER(O287),O287/N287,"")</f>
        <v>0.00443538232833205</v>
      </c>
      <c r="Q287" s="50" t="n">
        <f aca="false">C287-B287</f>
        <v>22</v>
      </c>
      <c r="R287" s="51" t="n">
        <f aca="false">IF(AND(C287=C286,ISNUMBER(G287),ISNUMBER(G286)),(G287/G286-1)*100,"")</f>
        <v>0.219247587668647</v>
      </c>
      <c r="S287" s="51" t="n">
        <f aca="false">IF(AND(C287=C286,ISNUMBER(L287),ISNUMBER(L286)),(L287/L286-1)*100,"")</f>
        <v>-1.85978285842204</v>
      </c>
      <c r="T287" s="51" t="n">
        <f aca="false">IF(AND(C287=C286,ISNUMBER(G287),ISNUMBER(G286)),G287-G286,"")</f>
        <v>54.1000000000022</v>
      </c>
      <c r="U287" s="1" t="str">
        <f aca="false">IF(OR(NOT(ISNUMBER(R287)),NOT(ISNUMBER(S287))),"Not classified",IF(AND(R287&gt;0,S287&gt;0),"Long buildup (interpretation)",IF(AND(R287&lt;0,S287&gt;0),"Short buildup (interpretation)",IF(AND(R287&gt;0,S287&lt;0),"Short covering (interpretation)",IF(AND(R287&lt;0,S287&lt;0),"Long unwinding (interpretation)","Neutral")))))</f>
        <v>Short covering (interpretation)</v>
      </c>
      <c r="V287" s="52" t="str">
        <f aca="false">TEXT(B287,"yyyy-mm")</f>
        <v>2025-06</v>
      </c>
      <c r="W287" s="52" t="n">
        <f aca="false">1+COUNTIFS($B$2:$B$756,B287,$C$2:$C$756,"&lt;"&amp;C287)</f>
        <v>1</v>
      </c>
      <c r="X287" s="53" t="n">
        <f aca="false">IF(AND(ISNUMBER(P287),Q287&gt;0),P287*365/Q287,"")</f>
        <v>0.0735870249927817</v>
      </c>
      <c r="Y287" s="42" t="n">
        <f aca="false">IF(AND(C288=C287,ISNUMBER(R288)),R288,"")</f>
        <v>0.53377760883806</v>
      </c>
      <c r="Z287" s="52" t="n">
        <f aca="false">IF(AND(W287=1,Q287&gt;Basis_Analysis!$B$3,ISNUMBER(Y287)),1,0)</f>
        <v>1</v>
      </c>
      <c r="AA287" s="43" t="n">
        <f aca="false">IF(W287=1,IF(SUMIFS($L$2:$L$756,$B$2:$B$756,B287,$W$2:$W$756,2)&gt;0,SUMIFS($L$2:$L$756,$B$2:$B$756,B287,$W$2:$W$756,2),""),"")</f>
        <v>3963375</v>
      </c>
      <c r="AB287" s="54" t="n">
        <f aca="false">IF(AND(W287=1,ISNUMBER(AA287)),L287/(L287+AA287),"")</f>
        <v>0.759181367031385</v>
      </c>
    </row>
    <row r="288" customFormat="false" ht="15" hidden="false" customHeight="true" outlineLevel="0" collapsed="false">
      <c r="A288" s="1" t="s">
        <v>274</v>
      </c>
      <c r="B288" s="46" t="n">
        <v>45813</v>
      </c>
      <c r="C288" s="46" t="n">
        <v>45834</v>
      </c>
      <c r="D288" s="47" t="n">
        <v>24752.3</v>
      </c>
      <c r="E288" s="47" t="n">
        <v>25008.8</v>
      </c>
      <c r="F288" s="47" t="n">
        <v>24716.1</v>
      </c>
      <c r="G288" s="47" t="n">
        <v>24861.4</v>
      </c>
      <c r="H288" s="47" t="n">
        <v>24874</v>
      </c>
      <c r="I288" s="47" t="n">
        <v>24861.4</v>
      </c>
      <c r="J288" s="48" t="n">
        <v>106451</v>
      </c>
      <c r="K288" s="47" t="n">
        <v>1985955</v>
      </c>
      <c r="L288" s="48" t="n">
        <v>12317325</v>
      </c>
      <c r="M288" s="48" t="n">
        <v>-177225</v>
      </c>
      <c r="N288" s="47" t="n">
        <v>24750.9</v>
      </c>
      <c r="O288" s="47" t="n">
        <f aca="false">IF(AND(ISNUMBER(G288),ISNUMBER(N288)),G288-N288,"")</f>
        <v>110.5</v>
      </c>
      <c r="P288" s="49" t="n">
        <f aca="false">IF(ISNUMBER(O288),O288/N288,"")</f>
        <v>0.00446448411976938</v>
      </c>
      <c r="Q288" s="50" t="n">
        <f aca="false">C288-B288</f>
        <v>21</v>
      </c>
      <c r="R288" s="51" t="n">
        <f aca="false">IF(AND(C288=C287,ISNUMBER(G288),ISNUMBER(G287)),(G288/G287-1)*100,"")</f>
        <v>0.53377760883806</v>
      </c>
      <c r="S288" s="51" t="n">
        <f aca="false">IF(AND(C288=C287,ISNUMBER(L288),ISNUMBER(L287)),(L288/L287-1)*100,"")</f>
        <v>-1.41841843043568</v>
      </c>
      <c r="T288" s="51" t="n">
        <f aca="false">IF(AND(C288=C287,ISNUMBER(G288),ISNUMBER(G287)),G288-G287,"")</f>
        <v>132</v>
      </c>
      <c r="U288" s="1" t="str">
        <f aca="false">IF(OR(NOT(ISNUMBER(R288)),NOT(ISNUMBER(S288))),"Not classified",IF(AND(R288&gt;0,S288&gt;0),"Long buildup (interpretation)",IF(AND(R288&lt;0,S288&gt;0),"Short buildup (interpretation)",IF(AND(R288&gt;0,S288&lt;0),"Short covering (interpretation)",IF(AND(R288&lt;0,S288&lt;0),"Long unwinding (interpretation)","Neutral")))))</f>
        <v>Short covering (interpretation)</v>
      </c>
      <c r="V288" s="52" t="str">
        <f aca="false">TEXT(B288,"yyyy-mm")</f>
        <v>2025-06</v>
      </c>
      <c r="W288" s="52" t="n">
        <f aca="false">1+COUNTIFS($B$2:$B$756,B288,$C$2:$C$756,"&lt;"&amp;C288)</f>
        <v>1</v>
      </c>
      <c r="X288" s="53" t="n">
        <f aca="false">IF(AND(ISNUMBER(P288),Q288&gt;0),P288*365/Q288,"")</f>
        <v>0.0775969858912297</v>
      </c>
      <c r="Y288" s="42" t="n">
        <f aca="false">IF(AND(C289=C288,ISNUMBER(R289)),R289,"")</f>
        <v>0.94483818288591</v>
      </c>
      <c r="Z288" s="52" t="n">
        <f aca="false">IF(AND(W288=1,Q288&gt;Basis_Analysis!$B$3,ISNUMBER(Y288)),1,0)</f>
        <v>1</v>
      </c>
      <c r="AA288" s="43" t="n">
        <f aca="false">IF(W288=1,IF(SUMIFS($L$2:$L$756,$B$2:$B$756,B288,$W$2:$W$756,2)&gt;0,SUMIFS($L$2:$L$756,$B$2:$B$756,B288,$W$2:$W$756,2),""),"")</f>
        <v>4818150</v>
      </c>
      <c r="AB288" s="54" t="n">
        <f aca="false">IF(AND(W288=1,ISNUMBER(AA288)),L288/(L288+AA288),"")</f>
        <v>0.718820166934386</v>
      </c>
    </row>
    <row r="289" customFormat="false" ht="15" hidden="false" customHeight="true" outlineLevel="0" collapsed="false">
      <c r="A289" s="1" t="s">
        <v>274</v>
      </c>
      <c r="B289" s="46" t="n">
        <v>45814</v>
      </c>
      <c r="C289" s="46" t="n">
        <v>45834</v>
      </c>
      <c r="D289" s="47" t="n">
        <v>24854.9</v>
      </c>
      <c r="E289" s="47" t="n">
        <v>25139</v>
      </c>
      <c r="F289" s="47" t="n">
        <v>24750</v>
      </c>
      <c r="G289" s="47" t="n">
        <v>25096.3</v>
      </c>
      <c r="H289" s="47" t="n">
        <v>25090.6</v>
      </c>
      <c r="I289" s="47" t="n">
        <v>25096.3</v>
      </c>
      <c r="J289" s="48" t="n">
        <v>109889</v>
      </c>
      <c r="K289" s="47" t="n">
        <v>2058811.86</v>
      </c>
      <c r="L289" s="48" t="n">
        <v>12180600</v>
      </c>
      <c r="M289" s="48" t="n">
        <v>-136725</v>
      </c>
      <c r="N289" s="47" t="n">
        <v>25003.05</v>
      </c>
      <c r="O289" s="47" t="n">
        <f aca="false">IF(AND(ISNUMBER(G289),ISNUMBER(N289)),G289-N289,"")</f>
        <v>93.25</v>
      </c>
      <c r="P289" s="49" t="n">
        <f aca="false">IF(ISNUMBER(O289),O289/N289,"")</f>
        <v>0.00372954499551055</v>
      </c>
      <c r="Q289" s="50" t="n">
        <f aca="false">C289-B289</f>
        <v>20</v>
      </c>
      <c r="R289" s="51" t="n">
        <f aca="false">IF(AND(C289=C288,ISNUMBER(G289),ISNUMBER(G288)),(G289/G288-1)*100,"")</f>
        <v>0.94483818288591</v>
      </c>
      <c r="S289" s="51" t="n">
        <f aca="false">IF(AND(C289=C288,ISNUMBER(L289),ISNUMBER(L288)),(L289/L288-1)*100,"")</f>
        <v>-1.11002185945406</v>
      </c>
      <c r="T289" s="51" t="n">
        <f aca="false">IF(AND(C289=C288,ISNUMBER(G289),ISNUMBER(G288)),G289-G288,"")</f>
        <v>234.899999999998</v>
      </c>
      <c r="U289" s="1" t="str">
        <f aca="false">IF(OR(NOT(ISNUMBER(R289)),NOT(ISNUMBER(S289))),"Not classified",IF(AND(R289&gt;0,S289&gt;0),"Long buildup (interpretation)",IF(AND(R289&lt;0,S289&gt;0),"Short buildup (interpretation)",IF(AND(R289&gt;0,S289&lt;0),"Short covering (interpretation)",IF(AND(R289&lt;0,S289&lt;0),"Long unwinding (interpretation)","Neutral")))))</f>
        <v>Short covering (interpretation)</v>
      </c>
      <c r="V289" s="52" t="str">
        <f aca="false">TEXT(B289,"yyyy-mm")</f>
        <v>2025-06</v>
      </c>
      <c r="W289" s="52" t="n">
        <f aca="false">1+COUNTIFS($B$2:$B$756,B289,$C$2:$C$756,"&lt;"&amp;C289)</f>
        <v>1</v>
      </c>
      <c r="X289" s="53" t="n">
        <f aca="false">IF(AND(ISNUMBER(P289),Q289&gt;0),P289*365/Q289,"")</f>
        <v>0.0680641961680675</v>
      </c>
      <c r="Y289" s="42" t="n">
        <f aca="false">IF(AND(C290=C289,ISNUMBER(R290)),R290,"")</f>
        <v>0.340687671090967</v>
      </c>
      <c r="Z289" s="52" t="n">
        <f aca="false">IF(AND(W289=1,Q289&gt;Basis_Analysis!$B$3,ISNUMBER(Y289)),1,0)</f>
        <v>1</v>
      </c>
      <c r="AA289" s="43" t="n">
        <f aca="false">IF(W289=1,IF(SUMIFS($L$2:$L$756,$B$2:$B$756,B289,$W$2:$W$756,2)&gt;0,SUMIFS($L$2:$L$756,$B$2:$B$756,B289,$W$2:$W$756,2),""),"")</f>
        <v>5003250</v>
      </c>
      <c r="AB289" s="54" t="n">
        <f aca="false">IF(AND(W289=1,ISNUMBER(AA289)),L289/(L289+AA289),"")</f>
        <v>0.708839986382563</v>
      </c>
    </row>
    <row r="290" customFormat="false" ht="15" hidden="false" customHeight="true" outlineLevel="0" collapsed="false">
      <c r="A290" s="1" t="s">
        <v>274</v>
      </c>
      <c r="B290" s="46" t="n">
        <v>45817</v>
      </c>
      <c r="C290" s="46" t="n">
        <v>45834</v>
      </c>
      <c r="D290" s="47" t="n">
        <v>25205</v>
      </c>
      <c r="E290" s="47" t="n">
        <v>25234</v>
      </c>
      <c r="F290" s="47" t="n">
        <v>25147.4</v>
      </c>
      <c r="G290" s="47" t="n">
        <v>25181.8</v>
      </c>
      <c r="H290" s="47" t="n">
        <v>25185</v>
      </c>
      <c r="I290" s="47" t="n">
        <v>25181.8</v>
      </c>
      <c r="J290" s="48" t="n">
        <v>45853</v>
      </c>
      <c r="K290" s="47" t="n">
        <v>866067.86</v>
      </c>
      <c r="L290" s="48" t="n">
        <v>11925600</v>
      </c>
      <c r="M290" s="48" t="n">
        <v>-255000</v>
      </c>
      <c r="N290" s="47" t="n">
        <v>25103.2</v>
      </c>
      <c r="O290" s="47" t="n">
        <f aca="false">IF(AND(ISNUMBER(G290),ISNUMBER(N290)),G290-N290,"")</f>
        <v>78.5999999999985</v>
      </c>
      <c r="P290" s="49" t="n">
        <f aca="false">IF(ISNUMBER(O290),O290/N290,"")</f>
        <v>0.00313107492271896</v>
      </c>
      <c r="Q290" s="50" t="n">
        <f aca="false">C290-B290</f>
        <v>17</v>
      </c>
      <c r="R290" s="51" t="n">
        <f aca="false">IF(AND(C290=C289,ISNUMBER(G290),ISNUMBER(G289)),(G290/G289-1)*100,"")</f>
        <v>0.340687671090967</v>
      </c>
      <c r="S290" s="51" t="n">
        <f aca="false">IF(AND(C290=C289,ISNUMBER(L290),ISNUMBER(L289)),(L290/L289-1)*100,"")</f>
        <v>-2.09349293138269</v>
      </c>
      <c r="T290" s="51" t="n">
        <f aca="false">IF(AND(C290=C289,ISNUMBER(G290),ISNUMBER(G289)),G290-G289,"")</f>
        <v>85.5</v>
      </c>
      <c r="U290" s="1" t="str">
        <f aca="false">IF(OR(NOT(ISNUMBER(R290)),NOT(ISNUMBER(S290))),"Not classified",IF(AND(R290&gt;0,S290&gt;0),"Long buildup (interpretation)",IF(AND(R290&lt;0,S290&gt;0),"Short buildup (interpretation)",IF(AND(R290&gt;0,S290&lt;0),"Short covering (interpretation)",IF(AND(R290&lt;0,S290&lt;0),"Long unwinding (interpretation)","Neutral")))))</f>
        <v>Short covering (interpretation)</v>
      </c>
      <c r="V290" s="52" t="str">
        <f aca="false">TEXT(B290,"yyyy-mm")</f>
        <v>2025-06</v>
      </c>
      <c r="W290" s="52" t="n">
        <f aca="false">1+COUNTIFS($B$2:$B$756,B290,$C$2:$C$756,"&lt;"&amp;C290)</f>
        <v>1</v>
      </c>
      <c r="X290" s="53" t="n">
        <f aca="false">IF(AND(ISNUMBER(P290),Q290&gt;0),P290*365/Q290,"")</f>
        <v>0.0672260203995541</v>
      </c>
      <c r="Y290" s="42" t="n">
        <f aca="false">IF(AND(C291=C290,ISNUMBER(R291)),R291,"")</f>
        <v>-0.0841877864171781</v>
      </c>
      <c r="Z290" s="52" t="n">
        <f aca="false">IF(AND(W290=1,Q290&gt;Basis_Analysis!$B$3,ISNUMBER(Y290)),1,0)</f>
        <v>1</v>
      </c>
      <c r="AA290" s="43" t="n">
        <f aca="false">IF(W290=1,IF(SUMIFS($L$2:$L$756,$B$2:$B$756,B290,$W$2:$W$756,2)&gt;0,SUMIFS($L$2:$L$756,$B$2:$B$756,B290,$W$2:$W$756,2),""),"")</f>
        <v>5245950</v>
      </c>
      <c r="AB290" s="54" t="n">
        <f aca="false">IF(AND(W290=1,ISNUMBER(AA290)),L290/(L290+AA290),"")</f>
        <v>0.694497584667663</v>
      </c>
    </row>
    <row r="291" customFormat="false" ht="15" hidden="false" customHeight="true" outlineLevel="0" collapsed="false">
      <c r="A291" s="1" t="s">
        <v>274</v>
      </c>
      <c r="B291" s="46" t="n">
        <v>45818</v>
      </c>
      <c r="C291" s="46" t="n">
        <v>45834</v>
      </c>
      <c r="D291" s="47" t="n">
        <v>25222</v>
      </c>
      <c r="E291" s="47" t="n">
        <v>25249.2</v>
      </c>
      <c r="F291" s="47" t="n">
        <v>25130</v>
      </c>
      <c r="G291" s="47" t="n">
        <v>25160.6</v>
      </c>
      <c r="H291" s="47" t="n">
        <v>25150</v>
      </c>
      <c r="I291" s="47" t="n">
        <v>25160.6</v>
      </c>
      <c r="J291" s="48" t="n">
        <v>47136</v>
      </c>
      <c r="K291" s="47" t="n">
        <v>890652.07</v>
      </c>
      <c r="L291" s="48" t="n">
        <v>11487600</v>
      </c>
      <c r="M291" s="48" t="n">
        <v>-438000</v>
      </c>
      <c r="N291" s="47" t="n">
        <v>25104.25</v>
      </c>
      <c r="O291" s="47" t="n">
        <f aca="false">IF(AND(ISNUMBER(G291),ISNUMBER(N291)),G291-N291,"")</f>
        <v>56.3499999999985</v>
      </c>
      <c r="P291" s="49" t="n">
        <f aca="false">IF(ISNUMBER(O291),O291/N291,"")</f>
        <v>0.00224463985181786</v>
      </c>
      <c r="Q291" s="50" t="n">
        <f aca="false">C291-B291</f>
        <v>16</v>
      </c>
      <c r="R291" s="51" t="n">
        <f aca="false">IF(AND(C291=C290,ISNUMBER(G291),ISNUMBER(G290)),(G291/G290-1)*100,"")</f>
        <v>-0.0841877864171781</v>
      </c>
      <c r="S291" s="51" t="n">
        <f aca="false">IF(AND(C291=C290,ISNUMBER(L291),ISNUMBER(L290)),(L291/L290-1)*100,"")</f>
        <v>-3.67277118132421</v>
      </c>
      <c r="T291" s="51" t="n">
        <f aca="false">IF(AND(C291=C290,ISNUMBER(G291),ISNUMBER(G290)),G291-G290,"")</f>
        <v>-21.2000000000007</v>
      </c>
      <c r="U291" s="1" t="str">
        <f aca="false">IF(OR(NOT(ISNUMBER(R291)),NOT(ISNUMBER(S291))),"Not classified",IF(AND(R291&gt;0,S291&gt;0),"Long buildup (interpretation)",IF(AND(R291&lt;0,S291&gt;0),"Short buildup (interpretation)",IF(AND(R291&gt;0,S291&lt;0),"Short covering (interpretation)",IF(AND(R291&lt;0,S291&lt;0),"Long unwinding (interpretation)","Neutral")))))</f>
        <v>Long unwinding (interpretation)</v>
      </c>
      <c r="V291" s="52" t="str">
        <f aca="false">TEXT(B291,"yyyy-mm")</f>
        <v>2025-06</v>
      </c>
      <c r="W291" s="52" t="n">
        <f aca="false">1+COUNTIFS($B$2:$B$756,B291,$C$2:$C$756,"&lt;"&amp;C291)</f>
        <v>1</v>
      </c>
      <c r="X291" s="53" t="n">
        <f aca="false">IF(AND(ISNUMBER(P291),Q291&gt;0),P291*365/Q291,"")</f>
        <v>0.051205846619595</v>
      </c>
      <c r="Y291" s="42" t="n">
        <f aca="false">IF(AND(C292=C291,ISNUMBER(R292)),R292,"")</f>
        <v>0.203095315692003</v>
      </c>
      <c r="Z291" s="52" t="n">
        <f aca="false">IF(AND(W291=1,Q291&gt;Basis_Analysis!$B$3,ISNUMBER(Y291)),1,0)</f>
        <v>1</v>
      </c>
      <c r="AA291" s="43" t="n">
        <f aca="false">IF(W291=1,IF(SUMIFS($L$2:$L$756,$B$2:$B$756,B291,$W$2:$W$756,2)&gt;0,SUMIFS($L$2:$L$756,$B$2:$B$756,B291,$W$2:$W$756,2),""),"")</f>
        <v>5335200</v>
      </c>
      <c r="AB291" s="54" t="n">
        <f aca="false">IF(AND(W291=1,ISNUMBER(AA291)),L291/(L291+AA291),"")</f>
        <v>0.682858977102504</v>
      </c>
    </row>
    <row r="292" customFormat="false" ht="15" hidden="false" customHeight="true" outlineLevel="0" collapsed="false">
      <c r="A292" s="1" t="s">
        <v>274</v>
      </c>
      <c r="B292" s="46" t="n">
        <v>45819</v>
      </c>
      <c r="C292" s="46" t="n">
        <v>45834</v>
      </c>
      <c r="D292" s="47" t="n">
        <v>25179.9</v>
      </c>
      <c r="E292" s="47" t="n">
        <v>25307</v>
      </c>
      <c r="F292" s="47" t="n">
        <v>25140</v>
      </c>
      <c r="G292" s="47" t="n">
        <v>25211.7</v>
      </c>
      <c r="H292" s="47" t="n">
        <v>25204</v>
      </c>
      <c r="I292" s="47" t="n">
        <v>25211.7</v>
      </c>
      <c r="J292" s="48" t="n">
        <v>62340</v>
      </c>
      <c r="K292" s="47" t="n">
        <v>1179808.32</v>
      </c>
      <c r="L292" s="48" t="n">
        <v>11403000</v>
      </c>
      <c r="M292" s="48" t="n">
        <v>-84600</v>
      </c>
      <c r="N292" s="47" t="n">
        <v>25141.4</v>
      </c>
      <c r="O292" s="47" t="n">
        <f aca="false">IF(AND(ISNUMBER(G292),ISNUMBER(N292)),G292-N292,"")</f>
        <v>70.2999999999993</v>
      </c>
      <c r="P292" s="49" t="n">
        <f aca="false">IF(ISNUMBER(O292),O292/N292,"")</f>
        <v>0.00279618477889057</v>
      </c>
      <c r="Q292" s="50" t="n">
        <f aca="false">C292-B292</f>
        <v>15</v>
      </c>
      <c r="R292" s="51" t="n">
        <f aca="false">IF(AND(C292=C291,ISNUMBER(G292),ISNUMBER(G291)),(G292/G291-1)*100,"")</f>
        <v>0.203095315692003</v>
      </c>
      <c r="S292" s="51" t="n">
        <f aca="false">IF(AND(C292=C291,ISNUMBER(L292),ISNUMBER(L291)),(L292/L291-1)*100,"")</f>
        <v>-0.736446255092449</v>
      </c>
      <c r="T292" s="51" t="n">
        <f aca="false">IF(AND(C292=C291,ISNUMBER(G292),ISNUMBER(G291)),G292-G291,"")</f>
        <v>51.1000000000022</v>
      </c>
      <c r="U292" s="1" t="str">
        <f aca="false">IF(OR(NOT(ISNUMBER(R292)),NOT(ISNUMBER(S292))),"Not classified",IF(AND(R292&gt;0,S292&gt;0),"Long buildup (interpretation)",IF(AND(R292&lt;0,S292&gt;0),"Short buildup (interpretation)",IF(AND(R292&gt;0,S292&lt;0),"Short covering (interpretation)",IF(AND(R292&lt;0,S292&lt;0),"Long unwinding (interpretation)","Neutral")))))</f>
        <v>Short covering (interpretation)</v>
      </c>
      <c r="V292" s="52" t="str">
        <f aca="false">TEXT(B292,"yyyy-mm")</f>
        <v>2025-06</v>
      </c>
      <c r="W292" s="52" t="n">
        <f aca="false">1+COUNTIFS($B$2:$B$756,B292,$C$2:$C$756,"&lt;"&amp;C292)</f>
        <v>1</v>
      </c>
      <c r="X292" s="53" t="n">
        <f aca="false">IF(AND(ISNUMBER(P292),Q292&gt;0),P292*365/Q292,"")</f>
        <v>0.0680404962863371</v>
      </c>
      <c r="Y292" s="42" t="n">
        <f aca="false">IF(AND(C293=C292,ISNUMBER(R293)),R293,"")</f>
        <v>-1.08798692670467</v>
      </c>
      <c r="Z292" s="52" t="n">
        <f aca="false">IF(AND(W292=1,Q292&gt;Basis_Analysis!$B$3,ISNUMBER(Y292)),1,0)</f>
        <v>1</v>
      </c>
      <c r="AA292" s="43" t="n">
        <f aca="false">IF(W292=1,IF(SUMIFS($L$2:$L$756,$B$2:$B$756,B292,$W$2:$W$756,2)&gt;0,SUMIFS($L$2:$L$756,$B$2:$B$756,B292,$W$2:$W$756,2),""),"")</f>
        <v>5408250</v>
      </c>
      <c r="AB292" s="54" t="n">
        <f aca="false">IF(AND(W292=1,ISNUMBER(AA292)),L292/(L292+AA292),"")</f>
        <v>0.678295784073165</v>
      </c>
    </row>
    <row r="293" customFormat="false" ht="15" hidden="false" customHeight="true" outlineLevel="0" collapsed="false">
      <c r="A293" s="1" t="s">
        <v>274</v>
      </c>
      <c r="B293" s="46" t="n">
        <v>45820</v>
      </c>
      <c r="C293" s="46" t="n">
        <v>45834</v>
      </c>
      <c r="D293" s="47" t="n">
        <v>25210.5</v>
      </c>
      <c r="E293" s="47" t="n">
        <v>25260</v>
      </c>
      <c r="F293" s="47" t="n">
        <v>24901.3</v>
      </c>
      <c r="G293" s="47" t="n">
        <v>24937.4</v>
      </c>
      <c r="H293" s="47" t="n">
        <v>24909.2</v>
      </c>
      <c r="I293" s="47" t="n">
        <v>24937.4</v>
      </c>
      <c r="J293" s="48" t="n">
        <v>119427</v>
      </c>
      <c r="K293" s="47" t="n">
        <v>2243943.49</v>
      </c>
      <c r="L293" s="48" t="n">
        <v>11388075</v>
      </c>
      <c r="M293" s="48" t="n">
        <v>-14925</v>
      </c>
      <c r="N293" s="47" t="n">
        <v>24888.2</v>
      </c>
      <c r="O293" s="47" t="n">
        <f aca="false">IF(AND(ISNUMBER(G293),ISNUMBER(N293)),G293-N293,"")</f>
        <v>49.2000000000007</v>
      </c>
      <c r="P293" s="49" t="n">
        <f aca="false">IF(ISNUMBER(O293),O293/N293,"")</f>
        <v>0.0019768404304048</v>
      </c>
      <c r="Q293" s="50" t="n">
        <f aca="false">C293-B293</f>
        <v>14</v>
      </c>
      <c r="R293" s="51" t="n">
        <f aca="false">IF(AND(C293=C292,ISNUMBER(G293),ISNUMBER(G292)),(G293/G292-1)*100,"")</f>
        <v>-1.08798692670467</v>
      </c>
      <c r="S293" s="51" t="n">
        <f aca="false">IF(AND(C293=C292,ISNUMBER(L293),ISNUMBER(L292)),(L293/L292-1)*100,"")</f>
        <v>-0.130886608787162</v>
      </c>
      <c r="T293" s="51" t="n">
        <f aca="false">IF(AND(C293=C292,ISNUMBER(G293),ISNUMBER(G292)),G293-G292,"")</f>
        <v>-274.299999999999</v>
      </c>
      <c r="U293" s="1" t="str">
        <f aca="false">IF(OR(NOT(ISNUMBER(R293)),NOT(ISNUMBER(S293))),"Not classified",IF(AND(R293&gt;0,S293&gt;0),"Long buildup (interpretation)",IF(AND(R293&lt;0,S293&gt;0),"Short buildup (interpretation)",IF(AND(R293&gt;0,S293&lt;0),"Short covering (interpretation)",IF(AND(R293&lt;0,S293&lt;0),"Long unwinding (interpretation)","Neutral")))))</f>
        <v>Long unwinding (interpretation)</v>
      </c>
      <c r="V293" s="52" t="str">
        <f aca="false">TEXT(B293,"yyyy-mm")</f>
        <v>2025-06</v>
      </c>
      <c r="W293" s="52" t="n">
        <f aca="false">1+COUNTIFS($B$2:$B$756,B293,$C$2:$C$756,"&lt;"&amp;C293)</f>
        <v>1</v>
      </c>
      <c r="X293" s="53" t="n">
        <f aca="false">IF(AND(ISNUMBER(P293),Q293&gt;0),P293*365/Q293,"")</f>
        <v>0.0515390540784108</v>
      </c>
      <c r="Y293" s="42" t="n">
        <f aca="false">IF(AND(C294=C293,ISNUMBER(R294)),R294,"")</f>
        <v>-0.842108640034645</v>
      </c>
      <c r="Z293" s="52" t="n">
        <f aca="false">IF(AND(W293=1,Q293&gt;Basis_Analysis!$B$3,ISNUMBER(Y293)),1,0)</f>
        <v>1</v>
      </c>
      <c r="AA293" s="43" t="n">
        <f aca="false">IF(W293=1,IF(SUMIFS($L$2:$L$756,$B$2:$B$756,B293,$W$2:$W$756,2)&gt;0,SUMIFS($L$2:$L$756,$B$2:$B$756,B293,$W$2:$W$756,2),""),"")</f>
        <v>5735625</v>
      </c>
      <c r="AB293" s="54" t="n">
        <f aca="false">IF(AND(W293=1,ISNUMBER(AA293)),L293/(L293+AA293),"")</f>
        <v>0.665047565654619</v>
      </c>
    </row>
    <row r="294" customFormat="false" ht="15" hidden="false" customHeight="true" outlineLevel="0" collapsed="false">
      <c r="A294" s="1" t="s">
        <v>274</v>
      </c>
      <c r="B294" s="46" t="n">
        <v>45821</v>
      </c>
      <c r="C294" s="46" t="n">
        <v>45834</v>
      </c>
      <c r="D294" s="47" t="n">
        <v>24588</v>
      </c>
      <c r="E294" s="47" t="n">
        <v>24790</v>
      </c>
      <c r="F294" s="47" t="n">
        <v>24575.3</v>
      </c>
      <c r="G294" s="47" t="n">
        <v>24727.4</v>
      </c>
      <c r="H294" s="47" t="n">
        <v>24736.2</v>
      </c>
      <c r="I294" s="47" t="n">
        <v>24727.4</v>
      </c>
      <c r="J294" s="48" t="n">
        <v>89998</v>
      </c>
      <c r="K294" s="47" t="n">
        <v>1666756.22</v>
      </c>
      <c r="L294" s="48" t="n">
        <v>11825400</v>
      </c>
      <c r="M294" s="48" t="n">
        <v>437325</v>
      </c>
      <c r="N294" s="47" t="n">
        <v>24718.6</v>
      </c>
      <c r="O294" s="47" t="n">
        <f aca="false">IF(AND(ISNUMBER(G294),ISNUMBER(N294)),G294-N294,"")</f>
        <v>8.80000000000291</v>
      </c>
      <c r="P294" s="49" t="n">
        <f aca="false">IF(ISNUMBER(O294),O294/N294,"")</f>
        <v>0.00035600721723734</v>
      </c>
      <c r="Q294" s="50" t="n">
        <f aca="false">C294-B294</f>
        <v>13</v>
      </c>
      <c r="R294" s="51" t="n">
        <f aca="false">IF(AND(C294=C293,ISNUMBER(G294),ISNUMBER(G293)),(G294/G293-1)*100,"")</f>
        <v>-0.842108640034645</v>
      </c>
      <c r="S294" s="51" t="n">
        <f aca="false">IF(AND(C294=C293,ISNUMBER(L294),ISNUMBER(L293)),(L294/L293-1)*100,"")</f>
        <v>3.84020126316345</v>
      </c>
      <c r="T294" s="51" t="n">
        <f aca="false">IF(AND(C294=C293,ISNUMBER(G294),ISNUMBER(G293)),G294-G293,"")</f>
        <v>-210</v>
      </c>
      <c r="U294" s="1" t="str">
        <f aca="false">IF(OR(NOT(ISNUMBER(R294)),NOT(ISNUMBER(S294))),"Not classified",IF(AND(R294&gt;0,S294&gt;0),"Long buildup (interpretation)",IF(AND(R294&lt;0,S294&gt;0),"Short buildup (interpretation)",IF(AND(R294&gt;0,S294&lt;0),"Short covering (interpretation)",IF(AND(R294&lt;0,S294&lt;0),"Long unwinding (interpretation)","Neutral")))))</f>
        <v>Short buildup (interpretation)</v>
      </c>
      <c r="V294" s="52" t="str">
        <f aca="false">TEXT(B294,"yyyy-mm")</f>
        <v>2025-06</v>
      </c>
      <c r="W294" s="52" t="n">
        <f aca="false">1+COUNTIFS($B$2:$B$756,B294,$C$2:$C$756,"&lt;"&amp;C294)</f>
        <v>1</v>
      </c>
      <c r="X294" s="53" t="n">
        <f aca="false">IF(AND(ISNUMBER(P294),Q294&gt;0),P294*365/Q294,"")</f>
        <v>0.00999558725320224</v>
      </c>
      <c r="Y294" s="42" t="n">
        <f aca="false">IF(AND(C295=C294,ISNUMBER(R295)),R295,"")</f>
        <v>1.0870532284025</v>
      </c>
      <c r="Z294" s="52" t="n">
        <f aca="false">IF(AND(W294=1,Q294&gt;Basis_Analysis!$B$3,ISNUMBER(Y294)),1,0)</f>
        <v>1</v>
      </c>
      <c r="AA294" s="43" t="n">
        <f aca="false">IF(W294=1,IF(SUMIFS($L$2:$L$756,$B$2:$B$756,B294,$W$2:$W$756,2)&gt;0,SUMIFS($L$2:$L$756,$B$2:$B$756,B294,$W$2:$W$756,2),""),"")</f>
        <v>5864700</v>
      </c>
      <c r="AB294" s="54" t="n">
        <f aca="false">IF(AND(W294=1,ISNUMBER(AA294)),L294/(L294+AA294),"")</f>
        <v>0.668475588040769</v>
      </c>
    </row>
    <row r="295" customFormat="false" ht="15" hidden="false" customHeight="true" outlineLevel="0" collapsed="false">
      <c r="A295" s="1" t="s">
        <v>274</v>
      </c>
      <c r="B295" s="46" t="n">
        <v>45824</v>
      </c>
      <c r="C295" s="46" t="n">
        <v>45834</v>
      </c>
      <c r="D295" s="47" t="n">
        <v>24755.5</v>
      </c>
      <c r="E295" s="47" t="n">
        <v>25024.8</v>
      </c>
      <c r="F295" s="47" t="n">
        <v>24735</v>
      </c>
      <c r="G295" s="47" t="n">
        <v>24996.2</v>
      </c>
      <c r="H295" s="47" t="n">
        <v>24998</v>
      </c>
      <c r="I295" s="47" t="n">
        <v>24996.2</v>
      </c>
      <c r="J295" s="48" t="n">
        <v>88980</v>
      </c>
      <c r="K295" s="47" t="n">
        <v>1662942.63</v>
      </c>
      <c r="L295" s="48" t="n">
        <v>11748900</v>
      </c>
      <c r="M295" s="48" t="n">
        <v>-76500</v>
      </c>
      <c r="N295" s="47" t="n">
        <v>24946.5</v>
      </c>
      <c r="O295" s="47" t="n">
        <f aca="false">IF(AND(ISNUMBER(G295),ISNUMBER(N295)),G295-N295,"")</f>
        <v>49.7000000000007</v>
      </c>
      <c r="P295" s="49" t="n">
        <f aca="false">IF(ISNUMBER(O295),O295/N295,"")</f>
        <v>0.0019922634437697</v>
      </c>
      <c r="Q295" s="50" t="n">
        <f aca="false">C295-B295</f>
        <v>10</v>
      </c>
      <c r="R295" s="51" t="n">
        <f aca="false">IF(AND(C295=C294,ISNUMBER(G295),ISNUMBER(G294)),(G295/G294-1)*100,"")</f>
        <v>1.0870532284025</v>
      </c>
      <c r="S295" s="51" t="n">
        <f aca="false">IF(AND(C295=C294,ISNUMBER(L295),ISNUMBER(L294)),(L295/L294-1)*100,"")</f>
        <v>-0.64691257801005</v>
      </c>
      <c r="T295" s="51" t="n">
        <f aca="false">IF(AND(C295=C294,ISNUMBER(G295),ISNUMBER(G294)),G295-G294,"")</f>
        <v>268.799999999999</v>
      </c>
      <c r="U295" s="1" t="str">
        <f aca="false">IF(OR(NOT(ISNUMBER(R295)),NOT(ISNUMBER(S295))),"Not classified",IF(AND(R295&gt;0,S295&gt;0),"Long buildup (interpretation)",IF(AND(R295&lt;0,S295&gt;0),"Short buildup (interpretation)",IF(AND(R295&gt;0,S295&lt;0),"Short covering (interpretation)",IF(AND(R295&lt;0,S295&lt;0),"Long unwinding (interpretation)","Neutral")))))</f>
        <v>Short covering (interpretation)</v>
      </c>
      <c r="V295" s="52" t="str">
        <f aca="false">TEXT(B295,"yyyy-mm")</f>
        <v>2025-06</v>
      </c>
      <c r="W295" s="52" t="n">
        <f aca="false">1+COUNTIFS($B$2:$B$756,B295,$C$2:$C$756,"&lt;"&amp;C295)</f>
        <v>1</v>
      </c>
      <c r="X295" s="53" t="n">
        <f aca="false">IF(AND(ISNUMBER(P295),Q295&gt;0),P295*365/Q295,"")</f>
        <v>0.0727176156975939</v>
      </c>
      <c r="Y295" s="42" t="n">
        <f aca="false">IF(AND(C296=C295,ISNUMBER(R296)),R296,"")</f>
        <v>-0.509677470975589</v>
      </c>
      <c r="Z295" s="52" t="n">
        <f aca="false">IF(AND(W295=1,Q295&gt;Basis_Analysis!$B$3,ISNUMBER(Y295)),1,0)</f>
        <v>1</v>
      </c>
      <c r="AA295" s="43" t="n">
        <f aca="false">IF(W295=1,IF(SUMIFS($L$2:$L$756,$B$2:$B$756,B295,$W$2:$W$756,2)&gt;0,SUMIFS($L$2:$L$756,$B$2:$B$756,B295,$W$2:$W$756,2),""),"")</f>
        <v>6054075</v>
      </c>
      <c r="AB295" s="54" t="n">
        <f aca="false">IF(AND(W295=1,ISNUMBER(AA295)),L295/(L295+AA295),"")</f>
        <v>0.659940262793157</v>
      </c>
    </row>
    <row r="296" customFormat="false" ht="15" hidden="false" customHeight="true" outlineLevel="0" collapsed="false">
      <c r="A296" s="1" t="s">
        <v>274</v>
      </c>
      <c r="B296" s="46" t="n">
        <v>45825</v>
      </c>
      <c r="C296" s="46" t="n">
        <v>45834</v>
      </c>
      <c r="D296" s="47" t="n">
        <v>24996.1</v>
      </c>
      <c r="E296" s="47" t="n">
        <v>25003.5</v>
      </c>
      <c r="F296" s="47" t="n">
        <v>24839.1</v>
      </c>
      <c r="G296" s="47" t="n">
        <v>24868.8</v>
      </c>
      <c r="H296" s="47" t="n">
        <v>24859.8</v>
      </c>
      <c r="I296" s="47" t="n">
        <v>24868.8</v>
      </c>
      <c r="J296" s="48" t="n">
        <v>60973</v>
      </c>
      <c r="K296" s="47" t="n">
        <v>1138647.36</v>
      </c>
      <c r="L296" s="48" t="n">
        <v>11568075</v>
      </c>
      <c r="M296" s="48" t="n">
        <v>-180825</v>
      </c>
      <c r="N296" s="47" t="n">
        <v>24853.4</v>
      </c>
      <c r="O296" s="47" t="n">
        <f aca="false">IF(AND(ISNUMBER(G296),ISNUMBER(N296)),G296-N296,"")</f>
        <v>15.3999999999978</v>
      </c>
      <c r="P296" s="49" t="n">
        <f aca="false">IF(ISNUMBER(O296),O296/N296,"")</f>
        <v>0.000619633531025848</v>
      </c>
      <c r="Q296" s="50" t="n">
        <f aca="false">C296-B296</f>
        <v>9</v>
      </c>
      <c r="R296" s="51" t="n">
        <f aca="false">IF(AND(C296=C295,ISNUMBER(G296),ISNUMBER(G295)),(G296/G295-1)*100,"")</f>
        <v>-0.509677470975589</v>
      </c>
      <c r="S296" s="51" t="n">
        <f aca="false">IF(AND(C296=C295,ISNUMBER(L296),ISNUMBER(L295)),(L296/L295-1)*100,"")</f>
        <v>-1.53908025432168</v>
      </c>
      <c r="T296" s="51" t="n">
        <f aca="false">IF(AND(C296=C295,ISNUMBER(G296),ISNUMBER(G295)),G296-G295,"")</f>
        <v>-127.400000000001</v>
      </c>
      <c r="U296" s="1" t="str">
        <f aca="false">IF(OR(NOT(ISNUMBER(R296)),NOT(ISNUMBER(S296))),"Not classified",IF(AND(R296&gt;0,S296&gt;0),"Long buildup (interpretation)",IF(AND(R296&lt;0,S296&gt;0),"Short buildup (interpretation)",IF(AND(R296&gt;0,S296&lt;0),"Short covering (interpretation)",IF(AND(R296&lt;0,S296&lt;0),"Long unwinding (interpretation)","Neutral")))))</f>
        <v>Long unwinding (interpretation)</v>
      </c>
      <c r="V296" s="52" t="str">
        <f aca="false">TEXT(B296,"yyyy-mm")</f>
        <v>2025-06</v>
      </c>
      <c r="W296" s="52" t="n">
        <f aca="false">1+COUNTIFS($B$2:$B$756,B296,$C$2:$C$756,"&lt;"&amp;C296)</f>
        <v>1</v>
      </c>
      <c r="X296" s="53" t="n">
        <f aca="false">IF(AND(ISNUMBER(P296),Q296&gt;0),P296*365/Q296,"")</f>
        <v>0.0251295820916038</v>
      </c>
      <c r="Y296" s="42" t="n">
        <f aca="false">IF(AND(C297=C296,ISNUMBER(R297)),R297,"")</f>
        <v>-0.168484205108399</v>
      </c>
      <c r="Z296" s="52" t="n">
        <f aca="false">IF(AND(W296=1,Q296&gt;Basis_Analysis!$B$3,ISNUMBER(Y296)),1,0)</f>
        <v>1</v>
      </c>
      <c r="AA296" s="43" t="n">
        <f aca="false">IF(W296=1,IF(SUMIFS($L$2:$L$756,$B$2:$B$756,B296,$W$2:$W$756,2)&gt;0,SUMIFS($L$2:$L$756,$B$2:$B$756,B296,$W$2:$W$756,2),""),"")</f>
        <v>6266775</v>
      </c>
      <c r="AB296" s="54" t="n">
        <f aca="false">IF(AND(W296=1,ISNUMBER(AA296)),L296/(L296+AA296),"")</f>
        <v>0.648621939629433</v>
      </c>
    </row>
    <row r="297" customFormat="false" ht="15" hidden="false" customHeight="true" outlineLevel="0" collapsed="false">
      <c r="A297" s="1" t="s">
        <v>274</v>
      </c>
      <c r="B297" s="46" t="n">
        <v>45826</v>
      </c>
      <c r="C297" s="46" t="n">
        <v>45834</v>
      </c>
      <c r="D297" s="47" t="n">
        <v>24840.1</v>
      </c>
      <c r="E297" s="47" t="n">
        <v>24978.8</v>
      </c>
      <c r="F297" s="47" t="n">
        <v>24786</v>
      </c>
      <c r="G297" s="47" t="n">
        <v>24826.9</v>
      </c>
      <c r="H297" s="47" t="n">
        <v>24813</v>
      </c>
      <c r="I297" s="47" t="n">
        <v>24826.9</v>
      </c>
      <c r="J297" s="48" t="n">
        <v>73489</v>
      </c>
      <c r="K297" s="47" t="n">
        <v>1370547.59</v>
      </c>
      <c r="L297" s="48" t="n">
        <v>11174250</v>
      </c>
      <c r="M297" s="48" t="n">
        <v>-393825</v>
      </c>
      <c r="N297" s="47" t="n">
        <v>24812.05</v>
      </c>
      <c r="O297" s="47" t="n">
        <f aca="false">IF(AND(ISNUMBER(G297),ISNUMBER(N297)),G297-N297,"")</f>
        <v>14.8500000000022</v>
      </c>
      <c r="P297" s="49" t="n">
        <f aca="false">IF(ISNUMBER(O297),O297/N297,"")</f>
        <v>0.000598499519386838</v>
      </c>
      <c r="Q297" s="50" t="n">
        <f aca="false">C297-B297</f>
        <v>8</v>
      </c>
      <c r="R297" s="51" t="n">
        <f aca="false">IF(AND(C297=C296,ISNUMBER(G297),ISNUMBER(G296)),(G297/G296-1)*100,"")</f>
        <v>-0.168484205108399</v>
      </c>
      <c r="S297" s="51" t="n">
        <f aca="false">IF(AND(C297=C296,ISNUMBER(L297),ISNUMBER(L296)),(L297/L296-1)*100,"")</f>
        <v>-3.40441257512594</v>
      </c>
      <c r="T297" s="51" t="n">
        <f aca="false">IF(AND(C297=C296,ISNUMBER(G297),ISNUMBER(G296)),G297-G296,"")</f>
        <v>-41.8999999999978</v>
      </c>
      <c r="U297" s="1" t="str">
        <f aca="false">IF(OR(NOT(ISNUMBER(R297)),NOT(ISNUMBER(S297))),"Not classified",IF(AND(R297&gt;0,S297&gt;0),"Long buildup (interpretation)",IF(AND(R297&lt;0,S297&gt;0),"Short buildup (interpretation)",IF(AND(R297&gt;0,S297&lt;0),"Short covering (interpretation)",IF(AND(R297&lt;0,S297&lt;0),"Long unwinding (interpretation)","Neutral")))))</f>
        <v>Long unwinding (interpretation)</v>
      </c>
      <c r="V297" s="52" t="str">
        <f aca="false">TEXT(B297,"yyyy-mm")</f>
        <v>2025-06</v>
      </c>
      <c r="W297" s="52" t="n">
        <f aca="false">1+COUNTIFS($B$2:$B$756,B297,$C$2:$C$756,"&lt;"&amp;C297)</f>
        <v>1</v>
      </c>
      <c r="X297" s="53" t="n">
        <f aca="false">IF(AND(ISNUMBER(P297),Q297&gt;0),P297*365/Q297,"")</f>
        <v>0.0273065405720245</v>
      </c>
      <c r="Y297" s="42" t="n">
        <f aca="false">IF(AND(C298=C297,ISNUMBER(R298)),R298,"")</f>
        <v>-0.0958637606789492</v>
      </c>
      <c r="Z297" s="52" t="n">
        <f aca="false">IF(AND(W297=1,Q297&gt;Basis_Analysis!$B$3,ISNUMBER(Y297)),1,0)</f>
        <v>1</v>
      </c>
      <c r="AA297" s="43" t="n">
        <f aca="false">IF(W297=1,IF(SUMIFS($L$2:$L$756,$B$2:$B$756,B297,$W$2:$W$756,2)&gt;0,SUMIFS($L$2:$L$756,$B$2:$B$756,B297,$W$2:$W$756,2),""),"")</f>
        <v>6371400</v>
      </c>
      <c r="AB297" s="54" t="n">
        <f aca="false">IF(AND(W297=1,ISNUMBER(AA297)),L297/(L297+AA297),"")</f>
        <v>0.636867257696352</v>
      </c>
    </row>
    <row r="298" customFormat="false" ht="15" hidden="false" customHeight="true" outlineLevel="0" collapsed="false">
      <c r="A298" s="1" t="s">
        <v>274</v>
      </c>
      <c r="B298" s="46" t="n">
        <v>45827</v>
      </c>
      <c r="C298" s="46" t="n">
        <v>45834</v>
      </c>
      <c r="D298" s="47" t="n">
        <v>24813</v>
      </c>
      <c r="E298" s="47" t="n">
        <v>24891.4</v>
      </c>
      <c r="F298" s="47" t="n">
        <v>24751</v>
      </c>
      <c r="G298" s="47" t="n">
        <v>24803.1</v>
      </c>
      <c r="H298" s="47" t="n">
        <v>24778</v>
      </c>
      <c r="I298" s="47" t="n">
        <v>24803.1</v>
      </c>
      <c r="J298" s="48" t="n">
        <v>55670</v>
      </c>
      <c r="K298" s="47" t="n">
        <v>1036606.97</v>
      </c>
      <c r="L298" s="48" t="n">
        <v>11068050</v>
      </c>
      <c r="M298" s="48" t="n">
        <v>-106200</v>
      </c>
      <c r="N298" s="47" t="n">
        <v>24793.25</v>
      </c>
      <c r="O298" s="47" t="n">
        <f aca="false">IF(AND(ISNUMBER(G298),ISNUMBER(N298)),G298-N298,"")</f>
        <v>9.84999999999855</v>
      </c>
      <c r="P298" s="49" t="n">
        <f aca="false">IF(ISNUMBER(O298),O298/N298,"")</f>
        <v>0.000397285551510937</v>
      </c>
      <c r="Q298" s="50" t="n">
        <f aca="false">C298-B298</f>
        <v>7</v>
      </c>
      <c r="R298" s="51" t="n">
        <f aca="false">IF(AND(C298=C297,ISNUMBER(G298),ISNUMBER(G297)),(G298/G297-1)*100,"")</f>
        <v>-0.0958637606789492</v>
      </c>
      <c r="S298" s="51" t="n">
        <f aca="false">IF(AND(C298=C297,ISNUMBER(L298),ISNUMBER(L297)),(L298/L297-1)*100,"")</f>
        <v>-0.950399355661458</v>
      </c>
      <c r="T298" s="51" t="n">
        <f aca="false">IF(AND(C298=C297,ISNUMBER(G298),ISNUMBER(G297)),G298-G297,"")</f>
        <v>-23.8000000000029</v>
      </c>
      <c r="U298" s="1" t="str">
        <f aca="false">IF(OR(NOT(ISNUMBER(R298)),NOT(ISNUMBER(S298))),"Not classified",IF(AND(R298&gt;0,S298&gt;0),"Long buildup (interpretation)",IF(AND(R298&lt;0,S298&gt;0),"Short buildup (interpretation)",IF(AND(R298&gt;0,S298&lt;0),"Short covering (interpretation)",IF(AND(R298&lt;0,S298&lt;0),"Long unwinding (interpretation)","Neutral")))))</f>
        <v>Long unwinding (interpretation)</v>
      </c>
      <c r="V298" s="52" t="str">
        <f aca="false">TEXT(B298,"yyyy-mm")</f>
        <v>2025-06</v>
      </c>
      <c r="W298" s="52" t="n">
        <f aca="false">1+COUNTIFS($B$2:$B$756,B298,$C$2:$C$756,"&lt;"&amp;C298)</f>
        <v>1</v>
      </c>
      <c r="X298" s="53" t="n">
        <f aca="false">IF(AND(ISNUMBER(P298),Q298&gt;0),P298*365/Q298,"")</f>
        <v>0.020715603757356</v>
      </c>
      <c r="Y298" s="42" t="n">
        <f aca="false">IF(AND(C299=C298,ISNUMBER(R299)),R299,"")</f>
        <v>1.24419931379547</v>
      </c>
      <c r="Z298" s="52" t="n">
        <f aca="false">IF(AND(W298=1,Q298&gt;Basis_Analysis!$B$3,ISNUMBER(Y298)),1,0)</f>
        <v>1</v>
      </c>
      <c r="AA298" s="43" t="n">
        <f aca="false">IF(W298=1,IF(SUMIFS($L$2:$L$756,$B$2:$B$756,B298,$W$2:$W$756,2)&gt;0,SUMIFS($L$2:$L$756,$B$2:$B$756,B298,$W$2:$W$756,2),""),"")</f>
        <v>6598050</v>
      </c>
      <c r="AB298" s="54" t="n">
        <f aca="false">IF(AND(W298=1,ISNUMBER(AA298)),L298/(L298+AA298),"")</f>
        <v>0.626513491942194</v>
      </c>
    </row>
    <row r="299" customFormat="false" ht="15" hidden="false" customHeight="true" outlineLevel="0" collapsed="false">
      <c r="A299" s="1" t="s">
        <v>274</v>
      </c>
      <c r="B299" s="46" t="n">
        <v>45828</v>
      </c>
      <c r="C299" s="46" t="n">
        <v>45834</v>
      </c>
      <c r="D299" s="47" t="n">
        <v>24825</v>
      </c>
      <c r="E299" s="47" t="n">
        <v>25137</v>
      </c>
      <c r="F299" s="47" t="n">
        <v>24806.5</v>
      </c>
      <c r="G299" s="47" t="n">
        <v>25111.7</v>
      </c>
      <c r="H299" s="47" t="n">
        <v>25096.5</v>
      </c>
      <c r="I299" s="47" t="n">
        <v>25111.7</v>
      </c>
      <c r="J299" s="48" t="n">
        <v>105046</v>
      </c>
      <c r="K299" s="47" t="n">
        <v>1970331.15</v>
      </c>
      <c r="L299" s="48" t="n">
        <v>10854000</v>
      </c>
      <c r="M299" s="48" t="n">
        <v>-214050</v>
      </c>
      <c r="N299" s="47" t="n">
        <v>25112.4</v>
      </c>
      <c r="O299" s="47" t="n">
        <f aca="false">IF(AND(ISNUMBER(G299),ISNUMBER(N299)),G299-N299,"")</f>
        <v>-0.700000000000728</v>
      </c>
      <c r="P299" s="49" t="n">
        <f aca="false">IF(ISNUMBER(O299),O299/N299,"")</f>
        <v>-2.78746754591647E-005</v>
      </c>
      <c r="Q299" s="50" t="n">
        <f aca="false">C299-B299</f>
        <v>6</v>
      </c>
      <c r="R299" s="51" t="n">
        <f aca="false">IF(AND(C299=C298,ISNUMBER(G299),ISNUMBER(G298)),(G299/G298-1)*100,"")</f>
        <v>1.24419931379547</v>
      </c>
      <c r="S299" s="51" t="n">
        <f aca="false">IF(AND(C299=C298,ISNUMBER(L299),ISNUMBER(L298)),(L299/L298-1)*100,"")</f>
        <v>-1.93394500386247</v>
      </c>
      <c r="T299" s="51" t="n">
        <f aca="false">IF(AND(C299=C298,ISNUMBER(G299),ISNUMBER(G298)),G299-G298,"")</f>
        <v>308.600000000002</v>
      </c>
      <c r="U299" s="1" t="str">
        <f aca="false">IF(OR(NOT(ISNUMBER(R299)),NOT(ISNUMBER(S299))),"Not classified",IF(AND(R299&gt;0,S299&gt;0),"Long buildup (interpretation)",IF(AND(R299&lt;0,S299&gt;0),"Short buildup (interpretation)",IF(AND(R299&gt;0,S299&lt;0),"Short covering (interpretation)",IF(AND(R299&lt;0,S299&lt;0),"Long unwinding (interpretation)","Neutral")))))</f>
        <v>Short covering (interpretation)</v>
      </c>
      <c r="V299" s="52" t="str">
        <f aca="false">TEXT(B299,"yyyy-mm")</f>
        <v>2025-06</v>
      </c>
      <c r="W299" s="52" t="n">
        <f aca="false">1+COUNTIFS($B$2:$B$756,B299,$C$2:$C$756,"&lt;"&amp;C299)</f>
        <v>1</v>
      </c>
      <c r="X299" s="53" t="n">
        <f aca="false">IF(AND(ISNUMBER(P299),Q299&gt;0),P299*365/Q299,"")</f>
        <v>-0.00169570942376585</v>
      </c>
      <c r="Y299" s="42" t="n">
        <f aca="false">IF(AND(C300=C299,ISNUMBER(R300)),R300,"")</f>
        <v>-0.471493367633424</v>
      </c>
      <c r="Z299" s="52" t="n">
        <f aca="false">IF(AND(W299=1,Q299&gt;Basis_Analysis!$B$3,ISNUMBER(Y299)),1,0)</f>
        <v>1</v>
      </c>
      <c r="AA299" s="43" t="n">
        <f aca="false">IF(W299=1,IF(SUMIFS($L$2:$L$756,$B$2:$B$756,B299,$W$2:$W$756,2)&gt;0,SUMIFS($L$2:$L$756,$B$2:$B$756,B299,$W$2:$W$756,2),""),"")</f>
        <v>7210425</v>
      </c>
      <c r="AB299" s="54" t="n">
        <f aca="false">IF(AND(W299=1,ISNUMBER(AA299)),L299/(L299+AA299),"")</f>
        <v>0.600849459642363</v>
      </c>
    </row>
    <row r="300" customFormat="false" ht="15" hidden="false" customHeight="true" outlineLevel="0" collapsed="false">
      <c r="A300" s="1" t="s">
        <v>274</v>
      </c>
      <c r="B300" s="46" t="n">
        <v>45831</v>
      </c>
      <c r="C300" s="46" t="n">
        <v>45834</v>
      </c>
      <c r="D300" s="47" t="n">
        <v>24975</v>
      </c>
      <c r="E300" s="47" t="n">
        <v>25090</v>
      </c>
      <c r="F300" s="47" t="n">
        <v>24825</v>
      </c>
      <c r="G300" s="47" t="n">
        <v>24993.3</v>
      </c>
      <c r="H300" s="47" t="n">
        <v>24993</v>
      </c>
      <c r="I300" s="47" t="n">
        <v>24993.3</v>
      </c>
      <c r="J300" s="48" t="n">
        <v>110836</v>
      </c>
      <c r="K300" s="47" t="n">
        <v>2074270.57</v>
      </c>
      <c r="L300" s="48" t="n">
        <v>9159975</v>
      </c>
      <c r="M300" s="48" t="n">
        <v>-1694025</v>
      </c>
      <c r="N300" s="47" t="n">
        <v>24971.9</v>
      </c>
      <c r="O300" s="47" t="n">
        <f aca="false">IF(AND(ISNUMBER(G300),ISNUMBER(N300)),G300-N300,"")</f>
        <v>21.3999999999978</v>
      </c>
      <c r="P300" s="49" t="n">
        <f aca="false">IF(ISNUMBER(O300),O300/N300,"")</f>
        <v>0.000856963226666686</v>
      </c>
      <c r="Q300" s="50" t="n">
        <f aca="false">C300-B300</f>
        <v>3</v>
      </c>
      <c r="R300" s="51" t="n">
        <f aca="false">IF(AND(C300=C299,ISNUMBER(G300),ISNUMBER(G299)),(G300/G299-1)*100,"")</f>
        <v>-0.471493367633424</v>
      </c>
      <c r="S300" s="51" t="n">
        <f aca="false">IF(AND(C300=C299,ISNUMBER(L300),ISNUMBER(L299)),(L300/L299-1)*100,"")</f>
        <v>-15.6073797678275</v>
      </c>
      <c r="T300" s="51" t="n">
        <f aca="false">IF(AND(C300=C299,ISNUMBER(G300),ISNUMBER(G299)),G300-G299,"")</f>
        <v>-118.400000000001</v>
      </c>
      <c r="U300" s="1" t="str">
        <f aca="false">IF(OR(NOT(ISNUMBER(R300)),NOT(ISNUMBER(S300))),"Not classified",IF(AND(R300&gt;0,S300&gt;0),"Long buildup (interpretation)",IF(AND(R300&lt;0,S300&gt;0),"Short buildup (interpretation)",IF(AND(R300&gt;0,S300&lt;0),"Short covering (interpretation)",IF(AND(R300&lt;0,S300&lt;0),"Long unwinding (interpretation)","Neutral")))))</f>
        <v>Long unwinding (interpretation)</v>
      </c>
      <c r="V300" s="52" t="str">
        <f aca="false">TEXT(B300,"yyyy-mm")</f>
        <v>2025-06</v>
      </c>
      <c r="W300" s="52" t="n">
        <f aca="false">1+COUNTIFS($B$2:$B$756,B300,$C$2:$C$756,"&lt;"&amp;C300)</f>
        <v>1</v>
      </c>
      <c r="X300" s="53" t="n">
        <f aca="false">IF(AND(ISNUMBER(P300),Q300&gt;0),P300*365/Q300,"")</f>
        <v>0.104263859244447</v>
      </c>
      <c r="Y300" s="42" t="n">
        <f aca="false">IF(AND(C301=C300,ISNUMBER(R301)),R301,"")</f>
        <v>0.313684067330056</v>
      </c>
      <c r="Z300" s="52" t="n">
        <f aca="false">IF(AND(W300=1,Q300&gt;Basis_Analysis!$B$3,ISNUMBER(Y300)),1,0)</f>
        <v>0</v>
      </c>
      <c r="AA300" s="43" t="n">
        <f aca="false">IF(W300=1,IF(SUMIFS($L$2:$L$756,$B$2:$B$756,B300,$W$2:$W$756,2)&gt;0,SUMIFS($L$2:$L$756,$B$2:$B$756,B300,$W$2:$W$756,2),""),"")</f>
        <v>8506425</v>
      </c>
      <c r="AB300" s="54" t="n">
        <f aca="false">IF(AND(W300=1,ISNUMBER(AA300)),L300/(L300+AA300),"")</f>
        <v>0.518496977312865</v>
      </c>
    </row>
    <row r="301" customFormat="false" ht="15" hidden="false" customHeight="true" outlineLevel="0" collapsed="false">
      <c r="A301" s="1" t="s">
        <v>274</v>
      </c>
      <c r="B301" s="46" t="n">
        <v>45832</v>
      </c>
      <c r="C301" s="46" t="n">
        <v>45834</v>
      </c>
      <c r="D301" s="47" t="n">
        <v>25180.2</v>
      </c>
      <c r="E301" s="47" t="n">
        <v>25349</v>
      </c>
      <c r="F301" s="47" t="n">
        <v>25036.2</v>
      </c>
      <c r="G301" s="47" t="n">
        <v>25071.7</v>
      </c>
      <c r="H301" s="47" t="n">
        <v>25090</v>
      </c>
      <c r="I301" s="47" t="n">
        <v>25071.7</v>
      </c>
      <c r="J301" s="48" t="n">
        <v>141676</v>
      </c>
      <c r="K301" s="47" t="n">
        <v>2677410.9</v>
      </c>
      <c r="L301" s="48" t="n">
        <v>7305300</v>
      </c>
      <c r="M301" s="48" t="n">
        <v>-1854675</v>
      </c>
      <c r="N301" s="47" t="n">
        <v>25044.35</v>
      </c>
      <c r="O301" s="47" t="n">
        <f aca="false">IF(AND(ISNUMBER(G301),ISNUMBER(N301)),G301-N301,"")</f>
        <v>27.3500000000022</v>
      </c>
      <c r="P301" s="49" t="n">
        <f aca="false">IF(ISNUMBER(O301),O301/N301,"")</f>
        <v>0.00109206268080434</v>
      </c>
      <c r="Q301" s="50" t="n">
        <f aca="false">C301-B301</f>
        <v>2</v>
      </c>
      <c r="R301" s="51" t="n">
        <f aca="false">IF(AND(C301=C300,ISNUMBER(G301),ISNUMBER(G300)),(G301/G300-1)*100,"")</f>
        <v>0.313684067330056</v>
      </c>
      <c r="S301" s="51" t="n">
        <f aca="false">IF(AND(C301=C300,ISNUMBER(L301),ISNUMBER(L300)),(L301/L300-1)*100,"")</f>
        <v>-20.2475989290364</v>
      </c>
      <c r="T301" s="51" t="n">
        <f aca="false">IF(AND(C301=C300,ISNUMBER(G301),ISNUMBER(G300)),G301-G300,"")</f>
        <v>78.4000000000015</v>
      </c>
      <c r="U301" s="1" t="str">
        <f aca="false">IF(OR(NOT(ISNUMBER(R301)),NOT(ISNUMBER(S301))),"Not classified",IF(AND(R301&gt;0,S301&gt;0),"Long buildup (interpretation)",IF(AND(R301&lt;0,S301&gt;0),"Short buildup (interpretation)",IF(AND(R301&gt;0,S301&lt;0),"Short covering (interpretation)",IF(AND(R301&lt;0,S301&lt;0),"Long unwinding (interpretation)","Neutral")))))</f>
        <v>Short covering (interpretation)</v>
      </c>
      <c r="V301" s="52" t="str">
        <f aca="false">TEXT(B301,"yyyy-mm")</f>
        <v>2025-06</v>
      </c>
      <c r="W301" s="52" t="n">
        <f aca="false">1+COUNTIFS($B$2:$B$756,B301,$C$2:$C$756,"&lt;"&amp;C301)</f>
        <v>1</v>
      </c>
      <c r="X301" s="53" t="n">
        <f aca="false">IF(AND(ISNUMBER(P301),Q301&gt;0),P301*365/Q301,"")</f>
        <v>0.199301439246792</v>
      </c>
      <c r="Y301" s="42" t="n">
        <f aca="false">IF(AND(C302=C301,ISNUMBER(R302)),R302,"")</f>
        <v>0.719935225772495</v>
      </c>
      <c r="Z301" s="52" t="n">
        <f aca="false">IF(AND(W301=1,Q301&gt;Basis_Analysis!$B$3,ISNUMBER(Y301)),1,0)</f>
        <v>0</v>
      </c>
      <c r="AA301" s="43" t="n">
        <f aca="false">IF(W301=1,IF(SUMIFS($L$2:$L$756,$B$2:$B$756,B301,$W$2:$W$756,2)&gt;0,SUMIFS($L$2:$L$756,$B$2:$B$756,B301,$W$2:$W$756,2),""),"")</f>
        <v>11100825</v>
      </c>
      <c r="AB301" s="54" t="n">
        <f aca="false">IF(AND(W301=1,ISNUMBER(AA301)),L301/(L301+AA301),"")</f>
        <v>0.396895055314467</v>
      </c>
    </row>
    <row r="302" customFormat="false" ht="15" hidden="false" customHeight="true" outlineLevel="0" collapsed="false">
      <c r="A302" s="1" t="s">
        <v>274</v>
      </c>
      <c r="B302" s="46" t="n">
        <v>45833</v>
      </c>
      <c r="C302" s="46" t="n">
        <v>45834</v>
      </c>
      <c r="D302" s="47" t="n">
        <v>25152.1</v>
      </c>
      <c r="E302" s="47" t="n">
        <v>25290</v>
      </c>
      <c r="F302" s="47" t="n">
        <v>25130.2</v>
      </c>
      <c r="G302" s="47" t="n">
        <v>25252.2</v>
      </c>
      <c r="H302" s="47" t="n">
        <v>25250</v>
      </c>
      <c r="I302" s="47" t="n">
        <v>25252.2</v>
      </c>
      <c r="J302" s="48" t="n">
        <v>72287</v>
      </c>
      <c r="K302" s="47" t="n">
        <v>1367905.29</v>
      </c>
      <c r="L302" s="48" t="n">
        <v>5420850</v>
      </c>
      <c r="M302" s="48" t="n">
        <v>-1884450</v>
      </c>
      <c r="N302" s="47" t="n">
        <v>25244.75</v>
      </c>
      <c r="O302" s="47" t="n">
        <f aca="false">IF(AND(ISNUMBER(G302),ISNUMBER(N302)),G302-N302,"")</f>
        <v>7.45000000000073</v>
      </c>
      <c r="P302" s="49" t="n">
        <f aca="false">IF(ISNUMBER(O302),O302/N302,"")</f>
        <v>0.00029511086463525</v>
      </c>
      <c r="Q302" s="50" t="n">
        <f aca="false">C302-B302</f>
        <v>1</v>
      </c>
      <c r="R302" s="51" t="n">
        <f aca="false">IF(AND(C302=C301,ISNUMBER(G302),ISNUMBER(G301)),(G302/G301-1)*100,"")</f>
        <v>0.719935225772495</v>
      </c>
      <c r="S302" s="51" t="n">
        <f aca="false">IF(AND(C302=C301,ISNUMBER(L302),ISNUMBER(L301)),(L302/L301-1)*100,"")</f>
        <v>-25.7956552092317</v>
      </c>
      <c r="T302" s="51" t="n">
        <f aca="false">IF(AND(C302=C301,ISNUMBER(G302),ISNUMBER(G301)),G302-G301,"")</f>
        <v>180.5</v>
      </c>
      <c r="U302" s="1" t="str">
        <f aca="false">IF(OR(NOT(ISNUMBER(R302)),NOT(ISNUMBER(S302))),"Not classified",IF(AND(R302&gt;0,S302&gt;0),"Long buildup (interpretation)",IF(AND(R302&lt;0,S302&gt;0),"Short buildup (interpretation)",IF(AND(R302&gt;0,S302&lt;0),"Short covering (interpretation)",IF(AND(R302&lt;0,S302&lt;0),"Long unwinding (interpretation)","Neutral")))))</f>
        <v>Short covering (interpretation)</v>
      </c>
      <c r="V302" s="52" t="str">
        <f aca="false">TEXT(B302,"yyyy-mm")</f>
        <v>2025-06</v>
      </c>
      <c r="W302" s="52" t="n">
        <f aca="false">1+COUNTIFS($B$2:$B$756,B302,$C$2:$C$756,"&lt;"&amp;C302)</f>
        <v>1</v>
      </c>
      <c r="X302" s="53" t="n">
        <f aca="false">IF(AND(ISNUMBER(P302),Q302&gt;0),P302*365/Q302,"")</f>
        <v>0.107715465591866</v>
      </c>
      <c r="Y302" s="42" t="n">
        <f aca="false">IF(AND(C303=C302,ISNUMBER(R303)),R303,"")</f>
        <v>1.18326324043054</v>
      </c>
      <c r="Z302" s="52" t="n">
        <f aca="false">IF(AND(W302=1,Q302&gt;Basis_Analysis!$B$3,ISNUMBER(Y302)),1,0)</f>
        <v>0</v>
      </c>
      <c r="AA302" s="43" t="n">
        <f aca="false">IF(W302=1,IF(SUMIFS($L$2:$L$756,$B$2:$B$756,B302,$W$2:$W$756,2)&gt;0,SUMIFS($L$2:$L$756,$B$2:$B$756,B302,$W$2:$W$756,2),""),"")</f>
        <v>13085475</v>
      </c>
      <c r="AB302" s="54" t="n">
        <f aca="false">IF(AND(W302=1,ISNUMBER(AA302)),L302/(L302+AA302),"")</f>
        <v>0.292918772365664</v>
      </c>
    </row>
    <row r="303" customFormat="false" ht="15" hidden="false" customHeight="true" outlineLevel="0" collapsed="false">
      <c r="A303" s="1" t="s">
        <v>274</v>
      </c>
      <c r="B303" s="46" t="n">
        <v>45834</v>
      </c>
      <c r="C303" s="46" t="n">
        <v>45834</v>
      </c>
      <c r="D303" s="47" t="n">
        <v>25302</v>
      </c>
      <c r="E303" s="47" t="n">
        <v>25564</v>
      </c>
      <c r="F303" s="47" t="n">
        <v>25272.3</v>
      </c>
      <c r="G303" s="47" t="n">
        <v>25551</v>
      </c>
      <c r="H303" s="47" t="n">
        <v>25554.7</v>
      </c>
      <c r="I303" s="47" t="n">
        <v>25549</v>
      </c>
      <c r="J303" s="48" t="n">
        <v>75945</v>
      </c>
      <c r="K303" s="47" t="n">
        <v>1447660.33</v>
      </c>
      <c r="L303" s="48" t="n">
        <v>4190625</v>
      </c>
      <c r="M303" s="48" t="n">
        <v>-1230225</v>
      </c>
      <c r="N303" s="47" t="n">
        <v>25549</v>
      </c>
      <c r="O303" s="47" t="n">
        <f aca="false">IF(AND(ISNUMBER(G303),ISNUMBER(N303)),G303-N303,"")</f>
        <v>2</v>
      </c>
      <c r="P303" s="49" t="n">
        <f aca="false">IF(ISNUMBER(O303),O303/N303,"")</f>
        <v>7.8280950330737E-005</v>
      </c>
      <c r="Q303" s="50" t="n">
        <f aca="false">C303-B303</f>
        <v>0</v>
      </c>
      <c r="R303" s="51" t="n">
        <f aca="false">IF(AND(C303=C302,ISNUMBER(G303),ISNUMBER(G302)),(G303/G302-1)*100,"")</f>
        <v>1.18326324043054</v>
      </c>
      <c r="S303" s="51" t="n">
        <f aca="false">IF(AND(C303=C302,ISNUMBER(L303),ISNUMBER(L302)),(L303/L302-1)*100,"")</f>
        <v>-22.6943191565898</v>
      </c>
      <c r="T303" s="51" t="n">
        <f aca="false">IF(AND(C303=C302,ISNUMBER(G303),ISNUMBER(G302)),G303-G302,"")</f>
        <v>298.799999999999</v>
      </c>
      <c r="U303" s="1" t="str">
        <f aca="false">IF(OR(NOT(ISNUMBER(R303)),NOT(ISNUMBER(S303))),"Not classified",IF(AND(R303&gt;0,S303&gt;0),"Long buildup (interpretation)",IF(AND(R303&lt;0,S303&gt;0),"Short buildup (interpretation)",IF(AND(R303&gt;0,S303&lt;0),"Short covering (interpretation)",IF(AND(R303&lt;0,S303&lt;0),"Long unwinding (interpretation)","Neutral")))))</f>
        <v>Short covering (interpretation)</v>
      </c>
      <c r="V303" s="52" t="str">
        <f aca="false">TEXT(B303,"yyyy-mm")</f>
        <v>2025-06</v>
      </c>
      <c r="W303" s="52" t="n">
        <f aca="false">1+COUNTIFS($B$2:$B$756,B303,$C$2:$C$756,"&lt;"&amp;C303)</f>
        <v>1</v>
      </c>
      <c r="X303" s="53" t="str">
        <f aca="false">IF(AND(ISNUMBER(P303),Q303&gt;0),P303*365/Q303,"")</f>
        <v/>
      </c>
      <c r="Y303" s="42" t="str">
        <f aca="false">IF(AND(C304=C303,ISNUMBER(R304)),R304,"")</f>
        <v/>
      </c>
      <c r="Z303" s="52" t="n">
        <f aca="false">IF(AND(W303=1,Q303&gt;Basis_Analysis!$B$3,ISNUMBER(Y303)),1,0)</f>
        <v>0</v>
      </c>
      <c r="AA303" s="43" t="n">
        <f aca="false">IF(W303=1,IF(SUMIFS($L$2:$L$756,$B$2:$B$756,B303,$W$2:$W$756,2)&gt;0,SUMIFS($L$2:$L$756,$B$2:$B$756,B303,$W$2:$W$756,2),""),"")</f>
        <v>14836575</v>
      </c>
      <c r="AB303" s="54" t="n">
        <f aca="false">IF(AND(W303=1,ISNUMBER(AA303)),L303/(L303+AA303),"")</f>
        <v>0.220243913975782</v>
      </c>
    </row>
    <row r="304" customFormat="false" ht="15" hidden="false" customHeight="true" outlineLevel="0" collapsed="false">
      <c r="A304" s="1" t="s">
        <v>274</v>
      </c>
      <c r="B304" s="46" t="n">
        <v>45771</v>
      </c>
      <c r="C304" s="46" t="n">
        <v>45869</v>
      </c>
      <c r="D304" s="47"/>
      <c r="E304" s="47"/>
      <c r="F304" s="47"/>
      <c r="G304" s="47"/>
      <c r="H304" s="47"/>
      <c r="I304" s="47"/>
      <c r="J304" s="48"/>
      <c r="K304" s="47"/>
      <c r="L304" s="48"/>
      <c r="M304" s="48"/>
      <c r="N304" s="47"/>
      <c r="O304" s="47" t="str">
        <f aca="false">IF(AND(ISNUMBER(G304),ISNUMBER(N304)),G304-N304,"")</f>
        <v/>
      </c>
      <c r="P304" s="49" t="str">
        <f aca="false">IF(ISNUMBER(O304),O304/N304,"")</f>
        <v/>
      </c>
      <c r="Q304" s="50" t="n">
        <f aca="false">C304-B304</f>
        <v>98</v>
      </c>
      <c r="R304" s="51" t="str">
        <f aca="false">IF(AND(C304=C303,ISNUMBER(G304),ISNUMBER(G303)),(G304/G303-1)*100,"")</f>
        <v/>
      </c>
      <c r="S304" s="51" t="str">
        <f aca="false">IF(AND(C304=C303,ISNUMBER(L304),ISNUMBER(L303)),(L304/L303-1)*100,"")</f>
        <v/>
      </c>
      <c r="T304" s="51" t="str">
        <f aca="false">IF(AND(C304=C303,ISNUMBER(G304),ISNUMBER(G303)),G304-G303,"")</f>
        <v/>
      </c>
      <c r="U304" s="1" t="str">
        <f aca="false">IF(OR(NOT(ISNUMBER(R304)),NOT(ISNUMBER(S304))),"Not classified",IF(AND(R304&gt;0,S304&gt;0),"Long buildup (interpretation)",IF(AND(R304&lt;0,S304&gt;0),"Short buildup (interpretation)",IF(AND(R304&gt;0,S304&lt;0),"Short covering (interpretation)",IF(AND(R304&lt;0,S304&lt;0),"Long unwinding (interpretation)","Neutral")))))</f>
        <v>Not classified</v>
      </c>
      <c r="V304" s="52" t="str">
        <f aca="false">TEXT(B304,"yyyy-mm")</f>
        <v>2025-04</v>
      </c>
      <c r="W304" s="52" t="n">
        <f aca="false">1+COUNTIFS($B$2:$B$756,B304,$C$2:$C$756,"&lt;"&amp;C304)</f>
        <v>4</v>
      </c>
      <c r="X304" s="53" t="str">
        <f aca="false">IF(AND(ISNUMBER(P304),Q304&gt;0),P304*365/Q304,"")</f>
        <v/>
      </c>
      <c r="Y304" s="42" t="str">
        <f aca="false">IF(AND(C305=C304,ISNUMBER(R305)),R305,"")</f>
        <v/>
      </c>
      <c r="Z304" s="52" t="n">
        <f aca="false">IF(AND(W304=1,Q304&gt;Basis_Analysis!$B$3,ISNUMBER(Y304)),1,0)</f>
        <v>0</v>
      </c>
      <c r="AA304" s="43" t="str">
        <f aca="false">IF(W304=1,IF(SUMIFS($L$2:$L$756,$B$2:$B$756,B304,$W$2:$W$756,2)&gt;0,SUMIFS($L$2:$L$756,$B$2:$B$756,B304,$W$2:$W$756,2),""),"")</f>
        <v/>
      </c>
      <c r="AB304" s="54" t="str">
        <f aca="false">IF(AND(W304=1,ISNUMBER(AA304)),L304/(L304+AA304),"")</f>
        <v/>
      </c>
    </row>
    <row r="305" customFormat="false" ht="15" hidden="false" customHeight="true" outlineLevel="0" collapsed="false">
      <c r="A305" s="1" t="s">
        <v>274</v>
      </c>
      <c r="B305" s="46" t="n">
        <v>45772</v>
      </c>
      <c r="C305" s="46" t="n">
        <v>45869</v>
      </c>
      <c r="D305" s="47" t="n">
        <v>24487.6</v>
      </c>
      <c r="E305" s="47" t="n">
        <v>24708.9</v>
      </c>
      <c r="F305" s="47" t="n">
        <v>24209</v>
      </c>
      <c r="G305" s="47" t="n">
        <v>24366.4</v>
      </c>
      <c r="H305" s="47" t="n">
        <v>24325.1</v>
      </c>
      <c r="I305" s="47" t="n">
        <v>24366.4</v>
      </c>
      <c r="J305" s="48" t="n">
        <v>2484</v>
      </c>
      <c r="K305" s="47" t="n">
        <v>45482.39</v>
      </c>
      <c r="L305" s="48" t="n">
        <v>67500</v>
      </c>
      <c r="M305" s="48" t="n">
        <v>67500</v>
      </c>
      <c r="N305" s="47" t="n">
        <v>24039.35</v>
      </c>
      <c r="O305" s="47" t="n">
        <f aca="false">IF(AND(ISNUMBER(G305),ISNUMBER(N305)),G305-N305,"")</f>
        <v>327.050000000003</v>
      </c>
      <c r="P305" s="49" t="n">
        <f aca="false">IF(ISNUMBER(O305),O305/N305,"")</f>
        <v>0.013604777167436</v>
      </c>
      <c r="Q305" s="50" t="n">
        <f aca="false">C305-B305</f>
        <v>97</v>
      </c>
      <c r="R305" s="51" t="str">
        <f aca="false">IF(AND(C305=C304,ISNUMBER(G305),ISNUMBER(G304)),(G305/G304-1)*100,"")</f>
        <v/>
      </c>
      <c r="S305" s="51" t="str">
        <f aca="false">IF(AND(C305=C304,ISNUMBER(L305),ISNUMBER(L304)),(L305/L304-1)*100,"")</f>
        <v/>
      </c>
      <c r="T305" s="51" t="str">
        <f aca="false">IF(AND(C305=C304,ISNUMBER(G305),ISNUMBER(G304)),G305-G304,"")</f>
        <v/>
      </c>
      <c r="U305" s="1" t="str">
        <f aca="false">IF(OR(NOT(ISNUMBER(R305)),NOT(ISNUMBER(S305))),"Not classified",IF(AND(R305&gt;0,S305&gt;0),"Long buildup (interpretation)",IF(AND(R305&lt;0,S305&gt;0),"Short buildup (interpretation)",IF(AND(R305&gt;0,S305&lt;0),"Short covering (interpretation)",IF(AND(R305&lt;0,S305&lt;0),"Long unwinding (interpretation)","Neutral")))))</f>
        <v>Not classified</v>
      </c>
      <c r="V305" s="52" t="str">
        <f aca="false">TEXT(B305,"yyyy-mm")</f>
        <v>2025-04</v>
      </c>
      <c r="W305" s="52" t="n">
        <f aca="false">1+COUNTIFS($B$2:$B$756,B305,$C$2:$C$756,"&lt;"&amp;C305)</f>
        <v>3</v>
      </c>
      <c r="X305" s="53" t="n">
        <f aca="false">IF(AND(ISNUMBER(P305),Q305&gt;0),P305*365/Q305,"")</f>
        <v>0.0511932336712798</v>
      </c>
      <c r="Y305" s="42" t="n">
        <f aca="false">IF(AND(C306=C305,ISNUMBER(R306)),R306,"")</f>
        <v>1.30220303368573</v>
      </c>
      <c r="Z305" s="52" t="n">
        <f aca="false">IF(AND(W305=1,Q305&gt;Basis_Analysis!$B$3,ISNUMBER(Y305)),1,0)</f>
        <v>0</v>
      </c>
      <c r="AA305" s="43" t="str">
        <f aca="false">IF(W305=1,IF(SUMIFS($L$2:$L$756,$B$2:$B$756,B305,$W$2:$W$756,2)&gt;0,SUMIFS($L$2:$L$756,$B$2:$B$756,B305,$W$2:$W$756,2),""),"")</f>
        <v/>
      </c>
      <c r="AB305" s="54" t="str">
        <f aca="false">IF(AND(W305=1,ISNUMBER(AA305)),L305/(L305+AA305),"")</f>
        <v/>
      </c>
    </row>
    <row r="306" customFormat="false" ht="15" hidden="false" customHeight="true" outlineLevel="0" collapsed="false">
      <c r="A306" s="1" t="s">
        <v>274</v>
      </c>
      <c r="B306" s="46" t="n">
        <v>45775</v>
      </c>
      <c r="C306" s="46" t="n">
        <v>45869</v>
      </c>
      <c r="D306" s="47" t="n">
        <v>24400</v>
      </c>
      <c r="E306" s="47" t="n">
        <v>24706.9</v>
      </c>
      <c r="F306" s="47" t="n">
        <v>24369.6</v>
      </c>
      <c r="G306" s="47" t="n">
        <v>24683.7</v>
      </c>
      <c r="H306" s="47" t="n">
        <v>24689</v>
      </c>
      <c r="I306" s="47" t="n">
        <v>24683.7</v>
      </c>
      <c r="J306" s="48" t="n">
        <v>2048</v>
      </c>
      <c r="K306" s="47" t="n">
        <v>37789.05</v>
      </c>
      <c r="L306" s="48" t="n">
        <v>117225</v>
      </c>
      <c r="M306" s="48" t="n">
        <v>49725</v>
      </c>
      <c r="N306" s="47" t="n">
        <v>24328.5</v>
      </c>
      <c r="O306" s="47" t="n">
        <f aca="false">IF(AND(ISNUMBER(G306),ISNUMBER(N306)),G306-N306,"")</f>
        <v>355.200000000001</v>
      </c>
      <c r="P306" s="49" t="n">
        <f aca="false">IF(ISNUMBER(O306),O306/N306,"")</f>
        <v>0.0146001603058142</v>
      </c>
      <c r="Q306" s="50" t="n">
        <f aca="false">C306-B306</f>
        <v>94</v>
      </c>
      <c r="R306" s="51" t="n">
        <f aca="false">IF(AND(C306=C305,ISNUMBER(G306),ISNUMBER(G305)),(G306/G305-1)*100,"")</f>
        <v>1.30220303368573</v>
      </c>
      <c r="S306" s="51" t="n">
        <f aca="false">IF(AND(C306=C305,ISNUMBER(L306),ISNUMBER(L305)),(L306/L305-1)*100,"")</f>
        <v>73.6666666666667</v>
      </c>
      <c r="T306" s="51" t="n">
        <f aca="false">IF(AND(C306=C305,ISNUMBER(G306),ISNUMBER(G305)),G306-G305,"")</f>
        <v>317.299999999999</v>
      </c>
      <c r="U306" s="1" t="str">
        <f aca="false">IF(OR(NOT(ISNUMBER(R306)),NOT(ISNUMBER(S306))),"Not classified",IF(AND(R306&gt;0,S306&gt;0),"Long buildup (interpretation)",IF(AND(R306&lt;0,S306&gt;0),"Short buildup (interpretation)",IF(AND(R306&gt;0,S306&lt;0),"Short covering (interpretation)",IF(AND(R306&lt;0,S306&lt;0),"Long unwinding (interpretation)","Neutral")))))</f>
        <v>Long buildup (interpretation)</v>
      </c>
      <c r="V306" s="52" t="str">
        <f aca="false">TEXT(B306,"yyyy-mm")</f>
        <v>2025-04</v>
      </c>
      <c r="W306" s="52" t="n">
        <f aca="false">1+COUNTIFS($B$2:$B$756,B306,$C$2:$C$756,"&lt;"&amp;C306)</f>
        <v>3</v>
      </c>
      <c r="X306" s="53" t="n">
        <f aca="false">IF(AND(ISNUMBER(P306),Q306&gt;0),P306*365/Q306,"")</f>
        <v>0.0566921118257679</v>
      </c>
      <c r="Y306" s="42" t="n">
        <f aca="false">IF(AND(C307=C306,ISNUMBER(R307)),R307,"")</f>
        <v>-0.0818353812435002</v>
      </c>
      <c r="Z306" s="52" t="n">
        <f aca="false">IF(AND(W306=1,Q306&gt;Basis_Analysis!$B$3,ISNUMBER(Y306)),1,0)</f>
        <v>0</v>
      </c>
      <c r="AA306" s="43" t="str">
        <f aca="false">IF(W306=1,IF(SUMIFS($L$2:$L$756,$B$2:$B$756,B306,$W$2:$W$756,2)&gt;0,SUMIFS($L$2:$L$756,$B$2:$B$756,B306,$W$2:$W$756,2),""),"")</f>
        <v/>
      </c>
      <c r="AB306" s="54" t="str">
        <f aca="false">IF(AND(W306=1,ISNUMBER(AA306)),L306/(L306+AA306),"")</f>
        <v/>
      </c>
    </row>
    <row r="307" customFormat="false" ht="15" hidden="false" customHeight="true" outlineLevel="0" collapsed="false">
      <c r="A307" s="1" t="s">
        <v>274</v>
      </c>
      <c r="B307" s="46" t="n">
        <v>45776</v>
      </c>
      <c r="C307" s="46" t="n">
        <v>45869</v>
      </c>
      <c r="D307" s="47" t="n">
        <v>24689</v>
      </c>
      <c r="E307" s="47" t="n">
        <v>24803.9</v>
      </c>
      <c r="F307" s="47" t="n">
        <v>24636</v>
      </c>
      <c r="G307" s="47" t="n">
        <v>24663.5</v>
      </c>
      <c r="H307" s="47" t="n">
        <v>24673.1</v>
      </c>
      <c r="I307" s="47" t="n">
        <v>24663.5</v>
      </c>
      <c r="J307" s="48" t="n">
        <v>1553</v>
      </c>
      <c r="K307" s="47" t="n">
        <v>28789.33</v>
      </c>
      <c r="L307" s="48" t="n">
        <v>156900</v>
      </c>
      <c r="M307" s="48" t="n">
        <v>39675</v>
      </c>
      <c r="N307" s="47" t="n">
        <v>24335.95</v>
      </c>
      <c r="O307" s="47" t="n">
        <f aca="false">IF(AND(ISNUMBER(G307),ISNUMBER(N307)),G307-N307,"")</f>
        <v>327.549999999999</v>
      </c>
      <c r="P307" s="49" t="n">
        <f aca="false">IF(ISNUMBER(O307),O307/N307,"")</f>
        <v>0.0134595115456762</v>
      </c>
      <c r="Q307" s="50" t="n">
        <f aca="false">C307-B307</f>
        <v>93</v>
      </c>
      <c r="R307" s="51" t="n">
        <f aca="false">IF(AND(C307=C306,ISNUMBER(G307),ISNUMBER(G306)),(G307/G306-1)*100,"")</f>
        <v>-0.0818353812435002</v>
      </c>
      <c r="S307" s="51" t="n">
        <f aca="false">IF(AND(C307=C306,ISNUMBER(L307),ISNUMBER(L306)),(L307/L306-1)*100,"")</f>
        <v>33.8451695457454</v>
      </c>
      <c r="T307" s="51" t="n">
        <f aca="false">IF(AND(C307=C306,ISNUMBER(G307),ISNUMBER(G306)),G307-G306,"")</f>
        <v>-20.2000000000007</v>
      </c>
      <c r="U307" s="1" t="str">
        <f aca="false">IF(OR(NOT(ISNUMBER(R307)),NOT(ISNUMBER(S307))),"Not classified",IF(AND(R307&gt;0,S307&gt;0),"Long buildup (interpretation)",IF(AND(R307&lt;0,S307&gt;0),"Short buildup (interpretation)",IF(AND(R307&gt;0,S307&lt;0),"Short covering (interpretation)",IF(AND(R307&lt;0,S307&lt;0),"Long unwinding (interpretation)","Neutral")))))</f>
        <v>Short buildup (interpretation)</v>
      </c>
      <c r="V307" s="52" t="str">
        <f aca="false">TEXT(B307,"yyyy-mm")</f>
        <v>2025-04</v>
      </c>
      <c r="W307" s="52" t="n">
        <f aca="false">1+COUNTIFS($B$2:$B$756,B307,$C$2:$C$756,"&lt;"&amp;C307)</f>
        <v>3</v>
      </c>
      <c r="X307" s="53" t="n">
        <f aca="false">IF(AND(ISNUMBER(P307),Q307&gt;0),P307*365/Q307,"")</f>
        <v>0.0528249646685142</v>
      </c>
      <c r="Y307" s="42" t="n">
        <f aca="false">IF(AND(C308=C307,ISNUMBER(R308)),R308,"")</f>
        <v>-0.0669004804670914</v>
      </c>
      <c r="Z307" s="52" t="n">
        <f aca="false">IF(AND(W307=1,Q307&gt;Basis_Analysis!$B$3,ISNUMBER(Y307)),1,0)</f>
        <v>0</v>
      </c>
      <c r="AA307" s="43" t="str">
        <f aca="false">IF(W307=1,IF(SUMIFS($L$2:$L$756,$B$2:$B$756,B307,$W$2:$W$756,2)&gt;0,SUMIFS($L$2:$L$756,$B$2:$B$756,B307,$W$2:$W$756,2),""),"")</f>
        <v/>
      </c>
      <c r="AB307" s="54" t="str">
        <f aca="false">IF(AND(W307=1,ISNUMBER(AA307)),L307/(L307+AA307),"")</f>
        <v/>
      </c>
    </row>
    <row r="308" customFormat="false" ht="15" hidden="false" customHeight="true" outlineLevel="0" collapsed="false">
      <c r="A308" s="1" t="s">
        <v>274</v>
      </c>
      <c r="B308" s="46" t="n">
        <v>45777</v>
      </c>
      <c r="C308" s="46" t="n">
        <v>45869</v>
      </c>
      <c r="D308" s="47" t="n">
        <v>24617.6</v>
      </c>
      <c r="E308" s="47" t="n">
        <v>24716.4</v>
      </c>
      <c r="F308" s="47" t="n">
        <v>24590</v>
      </c>
      <c r="G308" s="47" t="n">
        <v>24647</v>
      </c>
      <c r="H308" s="47" t="n">
        <v>24618</v>
      </c>
      <c r="I308" s="47" t="n">
        <v>24647</v>
      </c>
      <c r="J308" s="48" t="n">
        <v>820</v>
      </c>
      <c r="K308" s="47" t="n">
        <v>15166.49</v>
      </c>
      <c r="L308" s="48" t="n">
        <v>169125</v>
      </c>
      <c r="M308" s="48" t="n">
        <v>12225</v>
      </c>
      <c r="N308" s="47" t="n">
        <v>24334.2</v>
      </c>
      <c r="O308" s="47" t="n">
        <f aca="false">IF(AND(ISNUMBER(G308),ISNUMBER(N308)),G308-N308,"")</f>
        <v>312.799999999999</v>
      </c>
      <c r="P308" s="49" t="n">
        <f aca="false">IF(ISNUMBER(O308),O308/N308,"")</f>
        <v>0.0128543366948574</v>
      </c>
      <c r="Q308" s="50" t="n">
        <f aca="false">C308-B308</f>
        <v>92</v>
      </c>
      <c r="R308" s="51" t="n">
        <f aca="false">IF(AND(C308=C307,ISNUMBER(G308),ISNUMBER(G307)),(G308/G307-1)*100,"")</f>
        <v>-0.0669004804670914</v>
      </c>
      <c r="S308" s="51" t="n">
        <f aca="false">IF(AND(C308=C307,ISNUMBER(L308),ISNUMBER(L307)),(L308/L307-1)*100,"")</f>
        <v>7.79158699808795</v>
      </c>
      <c r="T308" s="51" t="n">
        <f aca="false">IF(AND(C308=C307,ISNUMBER(G308),ISNUMBER(G307)),G308-G307,"")</f>
        <v>-16.5</v>
      </c>
      <c r="U308" s="1" t="str">
        <f aca="false">IF(OR(NOT(ISNUMBER(R308)),NOT(ISNUMBER(S308))),"Not classified",IF(AND(R308&gt;0,S308&gt;0),"Long buildup (interpretation)",IF(AND(R308&lt;0,S308&gt;0),"Short buildup (interpretation)",IF(AND(R308&gt;0,S308&lt;0),"Short covering (interpretation)",IF(AND(R308&lt;0,S308&lt;0),"Long unwinding (interpretation)","Neutral")))))</f>
        <v>Short buildup (interpretation)</v>
      </c>
      <c r="V308" s="52" t="str">
        <f aca="false">TEXT(B308,"yyyy-mm")</f>
        <v>2025-04</v>
      </c>
      <c r="W308" s="52" t="n">
        <f aca="false">1+COUNTIFS($B$2:$B$756,B308,$C$2:$C$756,"&lt;"&amp;C308)</f>
        <v>3</v>
      </c>
      <c r="X308" s="53" t="n">
        <f aca="false">IF(AND(ISNUMBER(P308),Q308&gt;0),P308*365/Q308,"")</f>
        <v>0.0509981836263365</v>
      </c>
      <c r="Y308" s="42" t="n">
        <f aca="false">IF(AND(C309=C308,ISNUMBER(R309)),R309,"")</f>
        <v>-0.0324583113563537</v>
      </c>
      <c r="Z308" s="52" t="n">
        <f aca="false">IF(AND(W308=1,Q308&gt;Basis_Analysis!$B$3,ISNUMBER(Y308)),1,0)</f>
        <v>0</v>
      </c>
      <c r="AA308" s="43" t="str">
        <f aca="false">IF(W308=1,IF(SUMIFS($L$2:$L$756,$B$2:$B$756,B308,$W$2:$W$756,2)&gt;0,SUMIFS($L$2:$L$756,$B$2:$B$756,B308,$W$2:$W$756,2),""),"")</f>
        <v/>
      </c>
      <c r="AB308" s="54" t="str">
        <f aca="false">IF(AND(W308=1,ISNUMBER(AA308)),L308/(L308+AA308),"")</f>
        <v/>
      </c>
    </row>
    <row r="309" customFormat="false" ht="15" hidden="false" customHeight="true" outlineLevel="0" collapsed="false">
      <c r="A309" s="1" t="s">
        <v>274</v>
      </c>
      <c r="B309" s="46" t="n">
        <v>45779</v>
      </c>
      <c r="C309" s="46" t="n">
        <v>45869</v>
      </c>
      <c r="D309" s="47" t="n">
        <v>24621.1</v>
      </c>
      <c r="E309" s="47" t="n">
        <v>24938.9</v>
      </c>
      <c r="F309" s="47" t="n">
        <v>24554</v>
      </c>
      <c r="G309" s="47" t="n">
        <v>24639</v>
      </c>
      <c r="H309" s="47" t="n">
        <v>24626.5</v>
      </c>
      <c r="I309" s="47" t="n">
        <v>24639</v>
      </c>
      <c r="J309" s="48" t="n">
        <v>3054</v>
      </c>
      <c r="K309" s="47" t="n">
        <v>56701.66</v>
      </c>
      <c r="L309" s="48" t="n">
        <v>203550</v>
      </c>
      <c r="M309" s="48" t="n">
        <v>34425</v>
      </c>
      <c r="N309" s="47" t="n">
        <v>24346.7</v>
      </c>
      <c r="O309" s="47" t="n">
        <f aca="false">IF(AND(ISNUMBER(G309),ISNUMBER(N309)),G309-N309,"")</f>
        <v>292.299999999999</v>
      </c>
      <c r="P309" s="49" t="n">
        <f aca="false">IF(ISNUMBER(O309),O309/N309,"")</f>
        <v>0.0120057338366185</v>
      </c>
      <c r="Q309" s="50" t="n">
        <f aca="false">C309-B309</f>
        <v>90</v>
      </c>
      <c r="R309" s="51" t="n">
        <f aca="false">IF(AND(C309=C308,ISNUMBER(G309),ISNUMBER(G308)),(G309/G308-1)*100,"")</f>
        <v>-0.0324583113563537</v>
      </c>
      <c r="S309" s="51" t="n">
        <f aca="false">IF(AND(C309=C308,ISNUMBER(L309),ISNUMBER(L308)),(L309/L308-1)*100,"")</f>
        <v>20.3547671840355</v>
      </c>
      <c r="T309" s="51" t="n">
        <f aca="false">IF(AND(C309=C308,ISNUMBER(G309),ISNUMBER(G308)),G309-G308,"")</f>
        <v>-8</v>
      </c>
      <c r="U309" s="1" t="str">
        <f aca="false">IF(OR(NOT(ISNUMBER(R309)),NOT(ISNUMBER(S309))),"Not classified",IF(AND(R309&gt;0,S309&gt;0),"Long buildup (interpretation)",IF(AND(R309&lt;0,S309&gt;0),"Short buildup (interpretation)",IF(AND(R309&gt;0,S309&lt;0),"Short covering (interpretation)",IF(AND(R309&lt;0,S309&lt;0),"Long unwinding (interpretation)","Neutral")))))</f>
        <v>Short buildup (interpretation)</v>
      </c>
      <c r="V309" s="52" t="str">
        <f aca="false">TEXT(B309,"yyyy-mm")</f>
        <v>2025-05</v>
      </c>
      <c r="W309" s="52" t="n">
        <f aca="false">1+COUNTIFS($B$2:$B$756,B309,$C$2:$C$756,"&lt;"&amp;C309)</f>
        <v>3</v>
      </c>
      <c r="X309" s="53" t="n">
        <f aca="false">IF(AND(ISNUMBER(P309),Q309&gt;0),P309*365/Q309,"")</f>
        <v>0.0486899205596194</v>
      </c>
      <c r="Y309" s="42" t="n">
        <f aca="false">IF(AND(C310=C309,ISNUMBER(R310)),R310,"")</f>
        <v>0.640853930760188</v>
      </c>
      <c r="Z309" s="52" t="n">
        <f aca="false">IF(AND(W309=1,Q309&gt;Basis_Analysis!$B$3,ISNUMBER(Y309)),1,0)</f>
        <v>0</v>
      </c>
      <c r="AA309" s="43" t="str">
        <f aca="false">IF(W309=1,IF(SUMIFS($L$2:$L$756,$B$2:$B$756,B309,$W$2:$W$756,2)&gt;0,SUMIFS($L$2:$L$756,$B$2:$B$756,B309,$W$2:$W$756,2),""),"")</f>
        <v/>
      </c>
      <c r="AB309" s="54" t="str">
        <f aca="false">IF(AND(W309=1,ISNUMBER(AA309)),L309/(L309+AA309),"")</f>
        <v/>
      </c>
    </row>
    <row r="310" customFormat="false" ht="15" hidden="false" customHeight="true" outlineLevel="0" collapsed="false">
      <c r="A310" s="1" t="s">
        <v>274</v>
      </c>
      <c r="B310" s="46" t="n">
        <v>45782</v>
      </c>
      <c r="C310" s="46" t="n">
        <v>45869</v>
      </c>
      <c r="D310" s="47" t="n">
        <v>24705</v>
      </c>
      <c r="E310" s="47" t="n">
        <v>24859.9</v>
      </c>
      <c r="F310" s="47" t="n">
        <v>24705</v>
      </c>
      <c r="G310" s="47" t="n">
        <v>24796.9</v>
      </c>
      <c r="H310" s="47" t="n">
        <v>24808</v>
      </c>
      <c r="I310" s="47" t="n">
        <v>24796.9</v>
      </c>
      <c r="J310" s="48" t="n">
        <v>1530</v>
      </c>
      <c r="K310" s="47" t="n">
        <v>28447.79</v>
      </c>
      <c r="L310" s="48" t="n">
        <v>204000</v>
      </c>
      <c r="M310" s="48" t="n">
        <v>450</v>
      </c>
      <c r="N310" s="47" t="n">
        <v>24461.15</v>
      </c>
      <c r="O310" s="47" t="n">
        <f aca="false">IF(AND(ISNUMBER(G310),ISNUMBER(N310)),G310-N310,"")</f>
        <v>335.75</v>
      </c>
      <c r="P310" s="49" t="n">
        <f aca="false">IF(ISNUMBER(O310),O310/N310,"")</f>
        <v>0.0137258469041725</v>
      </c>
      <c r="Q310" s="50" t="n">
        <f aca="false">C310-B310</f>
        <v>87</v>
      </c>
      <c r="R310" s="51" t="n">
        <f aca="false">IF(AND(C310=C309,ISNUMBER(G310),ISNUMBER(G309)),(G310/G309-1)*100,"")</f>
        <v>0.640853930760188</v>
      </c>
      <c r="S310" s="51" t="n">
        <f aca="false">IF(AND(C310=C309,ISNUMBER(L310),ISNUMBER(L309)),(L310/L309-1)*100,"")</f>
        <v>0.221075902726597</v>
      </c>
      <c r="T310" s="51" t="n">
        <f aca="false">IF(AND(C310=C309,ISNUMBER(G310),ISNUMBER(G309)),G310-G309,"")</f>
        <v>157.900000000001</v>
      </c>
      <c r="U310" s="1" t="str">
        <f aca="false">IF(OR(NOT(ISNUMBER(R310)),NOT(ISNUMBER(S310))),"Not classified",IF(AND(R310&gt;0,S310&gt;0),"Long buildup (interpretation)",IF(AND(R310&lt;0,S310&gt;0),"Short buildup (interpretation)",IF(AND(R310&gt;0,S310&lt;0),"Short covering (interpretation)",IF(AND(R310&lt;0,S310&lt;0),"Long unwinding (interpretation)","Neutral")))))</f>
        <v>Long buildup (interpretation)</v>
      </c>
      <c r="V310" s="52" t="str">
        <f aca="false">TEXT(B310,"yyyy-mm")</f>
        <v>2025-05</v>
      </c>
      <c r="W310" s="52" t="n">
        <f aca="false">1+COUNTIFS($B$2:$B$756,B310,$C$2:$C$756,"&lt;"&amp;C310)</f>
        <v>3</v>
      </c>
      <c r="X310" s="53" t="n">
        <f aca="false">IF(AND(ISNUMBER(P310),Q310&gt;0),P310*365/Q310,"")</f>
        <v>0.0575854496554365</v>
      </c>
      <c r="Y310" s="42" t="n">
        <f aca="false">IF(AND(C311=C310,ISNUMBER(R311)),R311,"")</f>
        <v>-0.503288717541317</v>
      </c>
      <c r="Z310" s="52" t="n">
        <f aca="false">IF(AND(W310=1,Q310&gt;Basis_Analysis!$B$3,ISNUMBER(Y310)),1,0)</f>
        <v>0</v>
      </c>
      <c r="AA310" s="43" t="str">
        <f aca="false">IF(W310=1,IF(SUMIFS($L$2:$L$756,$B$2:$B$756,B310,$W$2:$W$756,2)&gt;0,SUMIFS($L$2:$L$756,$B$2:$B$756,B310,$W$2:$W$756,2),""),"")</f>
        <v/>
      </c>
      <c r="AB310" s="54" t="str">
        <f aca="false">IF(AND(W310=1,ISNUMBER(AA310)),L310/(L310+AA310),"")</f>
        <v/>
      </c>
    </row>
    <row r="311" customFormat="false" ht="15" hidden="false" customHeight="true" outlineLevel="0" collapsed="false">
      <c r="A311" s="1" t="s">
        <v>274</v>
      </c>
      <c r="B311" s="46" t="n">
        <v>45783</v>
      </c>
      <c r="C311" s="46" t="n">
        <v>45869</v>
      </c>
      <c r="D311" s="47" t="n">
        <v>24816</v>
      </c>
      <c r="E311" s="47" t="n">
        <v>24816</v>
      </c>
      <c r="F311" s="47" t="n">
        <v>24655.2</v>
      </c>
      <c r="G311" s="47" t="n">
        <v>24672.1</v>
      </c>
      <c r="H311" s="47" t="n">
        <v>24662.8</v>
      </c>
      <c r="I311" s="47" t="n">
        <v>24672.1</v>
      </c>
      <c r="J311" s="48" t="n">
        <v>1493</v>
      </c>
      <c r="K311" s="47" t="n">
        <v>27677.41</v>
      </c>
      <c r="L311" s="48" t="n">
        <v>240225</v>
      </c>
      <c r="M311" s="48" t="n">
        <v>36225</v>
      </c>
      <c r="N311" s="47" t="n">
        <v>24379.6</v>
      </c>
      <c r="O311" s="47" t="n">
        <f aca="false">IF(AND(ISNUMBER(G311),ISNUMBER(N311)),G311-N311,"")</f>
        <v>292.5</v>
      </c>
      <c r="P311" s="49" t="n">
        <f aca="false">IF(ISNUMBER(O311),O311/N311,"")</f>
        <v>0.0119977358119083</v>
      </c>
      <c r="Q311" s="50" t="n">
        <f aca="false">C311-B311</f>
        <v>86</v>
      </c>
      <c r="R311" s="51" t="n">
        <f aca="false">IF(AND(C311=C310,ISNUMBER(G311),ISNUMBER(G310)),(G311/G310-1)*100,"")</f>
        <v>-0.503288717541317</v>
      </c>
      <c r="S311" s="51" t="n">
        <f aca="false">IF(AND(C311=C310,ISNUMBER(L311),ISNUMBER(L310)),(L311/L310-1)*100,"")</f>
        <v>17.7573529411765</v>
      </c>
      <c r="T311" s="51" t="n">
        <f aca="false">IF(AND(C311=C310,ISNUMBER(G311),ISNUMBER(G310)),G311-G310,"")</f>
        <v>-124.800000000003</v>
      </c>
      <c r="U311" s="1" t="str">
        <f aca="false">IF(OR(NOT(ISNUMBER(R311)),NOT(ISNUMBER(S311))),"Not classified",IF(AND(R311&gt;0,S311&gt;0),"Long buildup (interpretation)",IF(AND(R311&lt;0,S311&gt;0),"Short buildup (interpretation)",IF(AND(R311&gt;0,S311&lt;0),"Short covering (interpretation)",IF(AND(R311&lt;0,S311&lt;0),"Long unwinding (interpretation)","Neutral")))))</f>
        <v>Short buildup (interpretation)</v>
      </c>
      <c r="V311" s="52" t="str">
        <f aca="false">TEXT(B311,"yyyy-mm")</f>
        <v>2025-05</v>
      </c>
      <c r="W311" s="52" t="n">
        <f aca="false">1+COUNTIFS($B$2:$B$756,B311,$C$2:$C$756,"&lt;"&amp;C311)</f>
        <v>3</v>
      </c>
      <c r="X311" s="53" t="n">
        <f aca="false">IF(AND(ISNUMBER(P311),Q311&gt;0),P311*365/Q311,"")</f>
        <v>0.0509206229226341</v>
      </c>
      <c r="Y311" s="42" t="n">
        <f aca="false">IF(AND(C312=C311,ISNUMBER(R312)),R312,"")</f>
        <v>0.143076592588409</v>
      </c>
      <c r="Z311" s="52" t="n">
        <f aca="false">IF(AND(W311=1,Q311&gt;Basis_Analysis!$B$3,ISNUMBER(Y311)),1,0)</f>
        <v>0</v>
      </c>
      <c r="AA311" s="43" t="str">
        <f aca="false">IF(W311=1,IF(SUMIFS($L$2:$L$756,$B$2:$B$756,B311,$W$2:$W$756,2)&gt;0,SUMIFS($L$2:$L$756,$B$2:$B$756,B311,$W$2:$W$756,2),""),"")</f>
        <v/>
      </c>
      <c r="AB311" s="54" t="str">
        <f aca="false">IF(AND(W311=1,ISNUMBER(AA311)),L311/(L311+AA311),"")</f>
        <v/>
      </c>
    </row>
    <row r="312" customFormat="false" ht="15" hidden="false" customHeight="true" outlineLevel="0" collapsed="false">
      <c r="A312" s="1" t="s">
        <v>274</v>
      </c>
      <c r="B312" s="46" t="n">
        <v>45784</v>
      </c>
      <c r="C312" s="46" t="n">
        <v>45869</v>
      </c>
      <c r="D312" s="47" t="n">
        <v>24556.7</v>
      </c>
      <c r="E312" s="47" t="n">
        <v>24777.9</v>
      </c>
      <c r="F312" s="47" t="n">
        <v>24556.7</v>
      </c>
      <c r="G312" s="47" t="n">
        <v>24707.4</v>
      </c>
      <c r="H312" s="47" t="n">
        <v>24711.2</v>
      </c>
      <c r="I312" s="47" t="n">
        <v>24707.4</v>
      </c>
      <c r="J312" s="48" t="n">
        <v>1903</v>
      </c>
      <c r="K312" s="47" t="n">
        <v>35242.23</v>
      </c>
      <c r="L312" s="48" t="n">
        <v>267900</v>
      </c>
      <c r="M312" s="48" t="n">
        <v>27675</v>
      </c>
      <c r="N312" s="47" t="n">
        <v>24414.4</v>
      </c>
      <c r="O312" s="47" t="n">
        <f aca="false">IF(AND(ISNUMBER(G312),ISNUMBER(N312)),G312-N312,"")</f>
        <v>293</v>
      </c>
      <c r="P312" s="49" t="n">
        <f aca="false">IF(ISNUMBER(O312),O312/N312,"")</f>
        <v>0.0120011140965987</v>
      </c>
      <c r="Q312" s="50" t="n">
        <f aca="false">C312-B312</f>
        <v>85</v>
      </c>
      <c r="R312" s="51" t="n">
        <f aca="false">IF(AND(C312=C311,ISNUMBER(G312),ISNUMBER(G311)),(G312/G311-1)*100,"")</f>
        <v>0.143076592588409</v>
      </c>
      <c r="S312" s="51" t="n">
        <f aca="false">IF(AND(C312=C311,ISNUMBER(L312),ISNUMBER(L311)),(L312/L311-1)*100,"")</f>
        <v>11.5204495785201</v>
      </c>
      <c r="T312" s="51" t="n">
        <f aca="false">IF(AND(C312=C311,ISNUMBER(G312),ISNUMBER(G311)),G312-G311,"")</f>
        <v>35.3000000000029</v>
      </c>
      <c r="U312" s="1" t="str">
        <f aca="false">IF(OR(NOT(ISNUMBER(R312)),NOT(ISNUMBER(S312))),"Not classified",IF(AND(R312&gt;0,S312&gt;0),"Long buildup (interpretation)",IF(AND(R312&lt;0,S312&gt;0),"Short buildup (interpretation)",IF(AND(R312&gt;0,S312&lt;0),"Short covering (interpretation)",IF(AND(R312&lt;0,S312&lt;0),"Long unwinding (interpretation)","Neutral")))))</f>
        <v>Long buildup (interpretation)</v>
      </c>
      <c r="V312" s="52" t="str">
        <f aca="false">TEXT(B312,"yyyy-mm")</f>
        <v>2025-05</v>
      </c>
      <c r="W312" s="52" t="n">
        <f aca="false">1+COUNTIFS($B$2:$B$756,B312,$C$2:$C$756,"&lt;"&amp;C312)</f>
        <v>3</v>
      </c>
      <c r="X312" s="53" t="n">
        <f aca="false">IF(AND(ISNUMBER(P312),Q312&gt;0),P312*365/Q312,"")</f>
        <v>0.051534195826571</v>
      </c>
      <c r="Y312" s="42" t="n">
        <f aca="false">IF(AND(C313=C312,ISNUMBER(R313)),R313,"")</f>
        <v>-0.795308288205154</v>
      </c>
      <c r="Z312" s="52" t="n">
        <f aca="false">IF(AND(W312=1,Q312&gt;Basis_Analysis!$B$3,ISNUMBER(Y312)),1,0)</f>
        <v>0</v>
      </c>
      <c r="AA312" s="43" t="str">
        <f aca="false">IF(W312=1,IF(SUMIFS($L$2:$L$756,$B$2:$B$756,B312,$W$2:$W$756,2)&gt;0,SUMIFS($L$2:$L$756,$B$2:$B$756,B312,$W$2:$W$756,2),""),"")</f>
        <v/>
      </c>
      <c r="AB312" s="54" t="str">
        <f aca="false">IF(AND(W312=1,ISNUMBER(AA312)),L312/(L312+AA312),"")</f>
        <v/>
      </c>
    </row>
    <row r="313" customFormat="false" ht="15" hidden="false" customHeight="true" outlineLevel="0" collapsed="false">
      <c r="A313" s="1" t="s">
        <v>274</v>
      </c>
      <c r="B313" s="46" t="n">
        <v>45785</v>
      </c>
      <c r="C313" s="46" t="n">
        <v>45869</v>
      </c>
      <c r="D313" s="47" t="n">
        <v>24740</v>
      </c>
      <c r="E313" s="47" t="n">
        <v>24751.1</v>
      </c>
      <c r="F313" s="47" t="n">
        <v>24426.6</v>
      </c>
      <c r="G313" s="47" t="n">
        <v>24510.9</v>
      </c>
      <c r="H313" s="47" t="n">
        <v>24454.1</v>
      </c>
      <c r="I313" s="47" t="n">
        <v>24510.9</v>
      </c>
      <c r="J313" s="48" t="n">
        <v>2360</v>
      </c>
      <c r="K313" s="47" t="n">
        <v>43535.84</v>
      </c>
      <c r="L313" s="48" t="n">
        <v>264225</v>
      </c>
      <c r="M313" s="48" t="n">
        <v>-3675</v>
      </c>
      <c r="N313" s="47" t="n">
        <v>24273.8</v>
      </c>
      <c r="O313" s="47" t="n">
        <f aca="false">IF(AND(ISNUMBER(G313),ISNUMBER(N313)),G313-N313,"")</f>
        <v>237.100000000002</v>
      </c>
      <c r="P313" s="49" t="n">
        <f aca="false">IF(ISNUMBER(O313),O313/N313,"")</f>
        <v>0.00976773311142063</v>
      </c>
      <c r="Q313" s="50" t="n">
        <f aca="false">C313-B313</f>
        <v>84</v>
      </c>
      <c r="R313" s="51" t="n">
        <f aca="false">IF(AND(C313=C312,ISNUMBER(G313),ISNUMBER(G312)),(G313/G312-1)*100,"")</f>
        <v>-0.795308288205154</v>
      </c>
      <c r="S313" s="51" t="n">
        <f aca="false">IF(AND(C313=C312,ISNUMBER(L313),ISNUMBER(L312)),(L313/L312-1)*100,"")</f>
        <v>-1.37178051511758</v>
      </c>
      <c r="T313" s="51" t="n">
        <f aca="false">IF(AND(C313=C312,ISNUMBER(G313),ISNUMBER(G312)),G313-G312,"")</f>
        <v>-196.5</v>
      </c>
      <c r="U313" s="1" t="str">
        <f aca="false">IF(OR(NOT(ISNUMBER(R313)),NOT(ISNUMBER(S313))),"Not classified",IF(AND(R313&gt;0,S313&gt;0),"Long buildup (interpretation)",IF(AND(R313&lt;0,S313&gt;0),"Short buildup (interpretation)",IF(AND(R313&gt;0,S313&lt;0),"Short covering (interpretation)",IF(AND(R313&lt;0,S313&lt;0),"Long unwinding (interpretation)","Neutral")))))</f>
        <v>Long unwinding (interpretation)</v>
      </c>
      <c r="V313" s="52" t="str">
        <f aca="false">TEXT(B313,"yyyy-mm")</f>
        <v>2025-05</v>
      </c>
      <c r="W313" s="52" t="n">
        <f aca="false">1+COUNTIFS($B$2:$B$756,B313,$C$2:$C$756,"&lt;"&amp;C313)</f>
        <v>3</v>
      </c>
      <c r="X313" s="53" t="n">
        <f aca="false">IF(AND(ISNUMBER(P313),Q313&gt;0),P313*365/Q313,"")</f>
        <v>0.0424431260198635</v>
      </c>
      <c r="Y313" s="42" t="n">
        <f aca="false">IF(AND(C314=C313,ISNUMBER(R314)),R314,"")</f>
        <v>-0.799236258154545</v>
      </c>
      <c r="Z313" s="52" t="n">
        <f aca="false">IF(AND(W313=1,Q313&gt;Basis_Analysis!$B$3,ISNUMBER(Y313)),1,0)</f>
        <v>0</v>
      </c>
      <c r="AA313" s="43" t="str">
        <f aca="false">IF(W313=1,IF(SUMIFS($L$2:$L$756,$B$2:$B$756,B313,$W$2:$W$756,2)&gt;0,SUMIFS($L$2:$L$756,$B$2:$B$756,B313,$W$2:$W$756,2),""),"")</f>
        <v/>
      </c>
      <c r="AB313" s="54" t="str">
        <f aca="false">IF(AND(W313=1,ISNUMBER(AA313)),L313/(L313+AA313),"")</f>
        <v/>
      </c>
    </row>
    <row r="314" customFormat="false" ht="15" hidden="false" customHeight="true" outlineLevel="0" collapsed="false">
      <c r="A314" s="1" t="s">
        <v>274</v>
      </c>
      <c r="B314" s="46" t="n">
        <v>45786</v>
      </c>
      <c r="C314" s="46" t="n">
        <v>45869</v>
      </c>
      <c r="D314" s="47" t="n">
        <v>24210.9</v>
      </c>
      <c r="E314" s="47" t="n">
        <v>24439</v>
      </c>
      <c r="F314" s="47" t="n">
        <v>24210.9</v>
      </c>
      <c r="G314" s="47" t="n">
        <v>24315</v>
      </c>
      <c r="H314" s="47" t="n">
        <v>24330.2</v>
      </c>
      <c r="I314" s="47" t="n">
        <v>24315</v>
      </c>
      <c r="J314" s="48" t="n">
        <v>3014</v>
      </c>
      <c r="K314" s="47" t="n">
        <v>54996.5</v>
      </c>
      <c r="L314" s="48" t="n">
        <v>295650</v>
      </c>
      <c r="M314" s="48" t="n">
        <v>31425</v>
      </c>
      <c r="N314" s="47" t="n">
        <v>24008</v>
      </c>
      <c r="O314" s="47" t="n">
        <f aca="false">IF(AND(ISNUMBER(G314),ISNUMBER(N314)),G314-N314,"")</f>
        <v>307</v>
      </c>
      <c r="P314" s="49" t="n">
        <f aca="false">IF(ISNUMBER(O314),O314/N314,"")</f>
        <v>0.0127874041986005</v>
      </c>
      <c r="Q314" s="50" t="n">
        <f aca="false">C314-B314</f>
        <v>83</v>
      </c>
      <c r="R314" s="51" t="n">
        <f aca="false">IF(AND(C314=C313,ISNUMBER(G314),ISNUMBER(G313)),(G314/G313-1)*100,"")</f>
        <v>-0.799236258154545</v>
      </c>
      <c r="S314" s="51" t="n">
        <f aca="false">IF(AND(C314=C313,ISNUMBER(L314),ISNUMBER(L313)),(L314/L313-1)*100,"")</f>
        <v>11.8932727788816</v>
      </c>
      <c r="T314" s="51" t="n">
        <f aca="false">IF(AND(C314=C313,ISNUMBER(G314),ISNUMBER(G313)),G314-G313,"")</f>
        <v>-195.900000000001</v>
      </c>
      <c r="U314" s="1" t="str">
        <f aca="false">IF(OR(NOT(ISNUMBER(R314)),NOT(ISNUMBER(S314))),"Not classified",IF(AND(R314&gt;0,S314&gt;0),"Long buildup (interpretation)",IF(AND(R314&lt;0,S314&gt;0),"Short buildup (interpretation)",IF(AND(R314&gt;0,S314&lt;0),"Short covering (interpretation)",IF(AND(R314&lt;0,S314&lt;0),"Long unwinding (interpretation)","Neutral")))))</f>
        <v>Short buildup (interpretation)</v>
      </c>
      <c r="V314" s="52" t="str">
        <f aca="false">TEXT(B314,"yyyy-mm")</f>
        <v>2025-05</v>
      </c>
      <c r="W314" s="52" t="n">
        <f aca="false">1+COUNTIFS($B$2:$B$756,B314,$C$2:$C$756,"&lt;"&amp;C314)</f>
        <v>3</v>
      </c>
      <c r="X314" s="53" t="n">
        <f aca="false">IF(AND(ISNUMBER(P314),Q314&gt;0),P314*365/Q314,"")</f>
        <v>0.0562337654516768</v>
      </c>
      <c r="Y314" s="42" t="n">
        <f aca="false">IF(AND(C315=C314,ISNUMBER(R315)),R315,"")</f>
        <v>3.95064774830352</v>
      </c>
      <c r="Z314" s="52" t="n">
        <f aca="false">IF(AND(W314=1,Q314&gt;Basis_Analysis!$B$3,ISNUMBER(Y314)),1,0)</f>
        <v>0</v>
      </c>
      <c r="AA314" s="43" t="str">
        <f aca="false">IF(W314=1,IF(SUMIFS($L$2:$L$756,$B$2:$B$756,B314,$W$2:$W$756,2)&gt;0,SUMIFS($L$2:$L$756,$B$2:$B$756,B314,$W$2:$W$756,2),""),"")</f>
        <v/>
      </c>
      <c r="AB314" s="54" t="str">
        <f aca="false">IF(AND(W314=1,ISNUMBER(AA314)),L314/(L314+AA314),"")</f>
        <v/>
      </c>
    </row>
    <row r="315" customFormat="false" ht="15" hidden="false" customHeight="true" outlineLevel="0" collapsed="false">
      <c r="A315" s="1" t="s">
        <v>274</v>
      </c>
      <c r="B315" s="46" t="n">
        <v>45789</v>
      </c>
      <c r="C315" s="46" t="n">
        <v>45869</v>
      </c>
      <c r="D315" s="47" t="n">
        <v>24667.4</v>
      </c>
      <c r="E315" s="47" t="n">
        <v>25300</v>
      </c>
      <c r="F315" s="47" t="n">
        <v>24667.4</v>
      </c>
      <c r="G315" s="47" t="n">
        <v>25275.6</v>
      </c>
      <c r="H315" s="47" t="n">
        <v>25278.4</v>
      </c>
      <c r="I315" s="47" t="n">
        <v>25275.6</v>
      </c>
      <c r="J315" s="48" t="n">
        <v>6002</v>
      </c>
      <c r="K315" s="47" t="n">
        <v>112810.06</v>
      </c>
      <c r="L315" s="48" t="n">
        <v>332175</v>
      </c>
      <c r="M315" s="48" t="n">
        <v>36525</v>
      </c>
      <c r="N315" s="47" t="n">
        <v>24924.7</v>
      </c>
      <c r="O315" s="47" t="n">
        <f aca="false">IF(AND(ISNUMBER(G315),ISNUMBER(N315)),G315-N315,"")</f>
        <v>350.899999999998</v>
      </c>
      <c r="P315" s="49" t="n">
        <f aca="false">IF(ISNUMBER(O315),O315/N315,"")</f>
        <v>0.0140784041533097</v>
      </c>
      <c r="Q315" s="50" t="n">
        <f aca="false">C315-B315</f>
        <v>80</v>
      </c>
      <c r="R315" s="51" t="n">
        <f aca="false">IF(AND(C315=C314,ISNUMBER(G315),ISNUMBER(G314)),(G315/G314-1)*100,"")</f>
        <v>3.95064774830352</v>
      </c>
      <c r="S315" s="51" t="n">
        <f aca="false">IF(AND(C315=C314,ISNUMBER(L315),ISNUMBER(L314)),(L315/L314-1)*100,"")</f>
        <v>12.3541349568747</v>
      </c>
      <c r="T315" s="51" t="n">
        <f aca="false">IF(AND(C315=C314,ISNUMBER(G315),ISNUMBER(G314)),G315-G314,"")</f>
        <v>960.599999999999</v>
      </c>
      <c r="U315" s="1" t="str">
        <f aca="false">IF(OR(NOT(ISNUMBER(R315)),NOT(ISNUMBER(S315))),"Not classified",IF(AND(R315&gt;0,S315&gt;0),"Long buildup (interpretation)",IF(AND(R315&lt;0,S315&gt;0),"Short buildup (interpretation)",IF(AND(R315&gt;0,S315&lt;0),"Short covering (interpretation)",IF(AND(R315&lt;0,S315&lt;0),"Long unwinding (interpretation)","Neutral")))))</f>
        <v>Long buildup (interpretation)</v>
      </c>
      <c r="V315" s="52" t="str">
        <f aca="false">TEXT(B315,"yyyy-mm")</f>
        <v>2025-05</v>
      </c>
      <c r="W315" s="52" t="n">
        <f aca="false">1+COUNTIFS($B$2:$B$756,B315,$C$2:$C$756,"&lt;"&amp;C315)</f>
        <v>3</v>
      </c>
      <c r="X315" s="53" t="n">
        <f aca="false">IF(AND(ISNUMBER(P315),Q315&gt;0),P315*365/Q315,"")</f>
        <v>0.0642327189494754</v>
      </c>
      <c r="Y315" s="42" t="n">
        <f aca="false">IF(AND(C316=C315,ISNUMBER(R316)),R316,"")</f>
        <v>-1.48760068999351</v>
      </c>
      <c r="Z315" s="52" t="n">
        <f aca="false">IF(AND(W315=1,Q315&gt;Basis_Analysis!$B$3,ISNUMBER(Y315)),1,0)</f>
        <v>0</v>
      </c>
      <c r="AA315" s="43" t="str">
        <f aca="false">IF(W315=1,IF(SUMIFS($L$2:$L$756,$B$2:$B$756,B315,$W$2:$W$756,2)&gt;0,SUMIFS($L$2:$L$756,$B$2:$B$756,B315,$W$2:$W$756,2),""),"")</f>
        <v/>
      </c>
      <c r="AB315" s="54" t="str">
        <f aca="false">IF(AND(W315=1,ISNUMBER(AA315)),L315/(L315+AA315),"")</f>
        <v/>
      </c>
    </row>
    <row r="316" customFormat="false" ht="15" hidden="false" customHeight="true" outlineLevel="0" collapsed="false">
      <c r="A316" s="1" t="s">
        <v>274</v>
      </c>
      <c r="B316" s="46" t="n">
        <v>45790</v>
      </c>
      <c r="C316" s="46" t="n">
        <v>45869</v>
      </c>
      <c r="D316" s="47" t="n">
        <v>25199</v>
      </c>
      <c r="E316" s="47" t="n">
        <v>25277.9</v>
      </c>
      <c r="F316" s="47" t="n">
        <v>24873.6</v>
      </c>
      <c r="G316" s="47" t="n">
        <v>24899.6</v>
      </c>
      <c r="H316" s="47" t="n">
        <v>24905</v>
      </c>
      <c r="I316" s="47" t="n">
        <v>24899.6</v>
      </c>
      <c r="J316" s="48" t="n">
        <v>4546</v>
      </c>
      <c r="K316" s="47" t="n">
        <v>85337.69</v>
      </c>
      <c r="L316" s="48" t="n">
        <v>386925</v>
      </c>
      <c r="M316" s="48" t="n">
        <v>54750</v>
      </c>
      <c r="N316" s="47" t="n">
        <v>24578.35</v>
      </c>
      <c r="O316" s="47" t="n">
        <f aca="false">IF(AND(ISNUMBER(G316),ISNUMBER(N316)),G316-N316,"")</f>
        <v>321.25</v>
      </c>
      <c r="P316" s="49" t="n">
        <f aca="false">IF(ISNUMBER(O316),O316/N316,"")</f>
        <v>0.0130704461446761</v>
      </c>
      <c r="Q316" s="50" t="n">
        <f aca="false">C316-B316</f>
        <v>79</v>
      </c>
      <c r="R316" s="51" t="n">
        <f aca="false">IF(AND(C316=C315,ISNUMBER(G316),ISNUMBER(G315)),(G316/G315-1)*100,"")</f>
        <v>-1.48760068999351</v>
      </c>
      <c r="S316" s="51" t="n">
        <f aca="false">IF(AND(C316=C315,ISNUMBER(L316),ISNUMBER(L315)),(L316/L315-1)*100,"")</f>
        <v>16.482275908783</v>
      </c>
      <c r="T316" s="51" t="n">
        <f aca="false">IF(AND(C316=C315,ISNUMBER(G316),ISNUMBER(G315)),G316-G315,"")</f>
        <v>-376</v>
      </c>
      <c r="U316" s="1" t="str">
        <f aca="false">IF(OR(NOT(ISNUMBER(R316)),NOT(ISNUMBER(S316))),"Not classified",IF(AND(R316&gt;0,S316&gt;0),"Long buildup (interpretation)",IF(AND(R316&lt;0,S316&gt;0),"Short buildup (interpretation)",IF(AND(R316&gt;0,S316&lt;0),"Short covering (interpretation)",IF(AND(R316&lt;0,S316&lt;0),"Long unwinding (interpretation)","Neutral")))))</f>
        <v>Short buildup (interpretation)</v>
      </c>
      <c r="V316" s="52" t="str">
        <f aca="false">TEXT(B316,"yyyy-mm")</f>
        <v>2025-05</v>
      </c>
      <c r="W316" s="52" t="n">
        <f aca="false">1+COUNTIFS($B$2:$B$756,B316,$C$2:$C$756,"&lt;"&amp;C316)</f>
        <v>3</v>
      </c>
      <c r="X316" s="53" t="n">
        <f aca="false">IF(AND(ISNUMBER(P316),Q316&gt;0),P316*365/Q316,"")</f>
        <v>0.0603887701621111</v>
      </c>
      <c r="Y316" s="42" t="n">
        <f aca="false">IF(AND(C317=C316,ISNUMBER(R317)),R317,"")</f>
        <v>0.264261273273481</v>
      </c>
      <c r="Z316" s="52" t="n">
        <f aca="false">IF(AND(W316=1,Q316&gt;Basis_Analysis!$B$3,ISNUMBER(Y316)),1,0)</f>
        <v>0</v>
      </c>
      <c r="AA316" s="43" t="str">
        <f aca="false">IF(W316=1,IF(SUMIFS($L$2:$L$756,$B$2:$B$756,B316,$W$2:$W$756,2)&gt;0,SUMIFS($L$2:$L$756,$B$2:$B$756,B316,$W$2:$W$756,2),""),"")</f>
        <v/>
      </c>
      <c r="AB316" s="54" t="str">
        <f aca="false">IF(AND(W316=1,ISNUMBER(AA316)),L316/(L316+AA316),"")</f>
        <v/>
      </c>
    </row>
    <row r="317" customFormat="false" ht="15" hidden="false" customHeight="true" outlineLevel="0" collapsed="false">
      <c r="A317" s="1" t="s">
        <v>274</v>
      </c>
      <c r="B317" s="46" t="n">
        <v>45791</v>
      </c>
      <c r="C317" s="46" t="n">
        <v>45869</v>
      </c>
      <c r="D317" s="47" t="n">
        <v>24914.3</v>
      </c>
      <c r="E317" s="47" t="n">
        <v>25074</v>
      </c>
      <c r="F317" s="47" t="n">
        <v>24834.1</v>
      </c>
      <c r="G317" s="47" t="n">
        <v>24965.4</v>
      </c>
      <c r="H317" s="47" t="n">
        <v>24981</v>
      </c>
      <c r="I317" s="47" t="n">
        <v>24965.4</v>
      </c>
      <c r="J317" s="48" t="n">
        <v>2855</v>
      </c>
      <c r="K317" s="47" t="n">
        <v>53478.55</v>
      </c>
      <c r="L317" s="48" t="n">
        <v>391500</v>
      </c>
      <c r="M317" s="48" t="n">
        <v>4575</v>
      </c>
      <c r="N317" s="47" t="n">
        <v>24666.9</v>
      </c>
      <c r="O317" s="47" t="n">
        <f aca="false">IF(AND(ISNUMBER(G317),ISNUMBER(N317)),G317-N317,"")</f>
        <v>298.5</v>
      </c>
      <c r="P317" s="49" t="n">
        <f aca="false">IF(ISNUMBER(O317),O317/N317,"")</f>
        <v>0.0121012368801917</v>
      </c>
      <c r="Q317" s="50" t="n">
        <f aca="false">C317-B317</f>
        <v>78</v>
      </c>
      <c r="R317" s="51" t="n">
        <f aca="false">IF(AND(C317=C316,ISNUMBER(G317),ISNUMBER(G316)),(G317/G316-1)*100,"")</f>
        <v>0.264261273273481</v>
      </c>
      <c r="S317" s="51" t="n">
        <f aca="false">IF(AND(C317=C316,ISNUMBER(L317),ISNUMBER(L316)),(L317/L316-1)*100,"")</f>
        <v>1.18239968986238</v>
      </c>
      <c r="T317" s="51" t="n">
        <f aca="false">IF(AND(C317=C316,ISNUMBER(G317),ISNUMBER(G316)),G317-G316,"")</f>
        <v>65.8000000000029</v>
      </c>
      <c r="U317" s="1" t="str">
        <f aca="false">IF(OR(NOT(ISNUMBER(R317)),NOT(ISNUMBER(S317))),"Not classified",IF(AND(R317&gt;0,S317&gt;0),"Long buildup (interpretation)",IF(AND(R317&lt;0,S317&gt;0),"Short buildup (interpretation)",IF(AND(R317&gt;0,S317&lt;0),"Short covering (interpretation)",IF(AND(R317&lt;0,S317&lt;0),"Long unwinding (interpretation)","Neutral")))))</f>
        <v>Long buildup (interpretation)</v>
      </c>
      <c r="V317" s="52" t="str">
        <f aca="false">TEXT(B317,"yyyy-mm")</f>
        <v>2025-05</v>
      </c>
      <c r="W317" s="52" t="n">
        <f aca="false">1+COUNTIFS($B$2:$B$756,B317,$C$2:$C$756,"&lt;"&amp;C317)</f>
        <v>3</v>
      </c>
      <c r="X317" s="53" t="n">
        <f aca="false">IF(AND(ISNUMBER(P317),Q317&gt;0),P317*365/Q317,"")</f>
        <v>0.0566275828367944</v>
      </c>
      <c r="Y317" s="42" t="n">
        <f aca="false">IF(AND(C318=C317,ISNUMBER(R318)),R318,"")</f>
        <v>1.41475802510673</v>
      </c>
      <c r="Z317" s="52" t="n">
        <f aca="false">IF(AND(W317=1,Q317&gt;Basis_Analysis!$B$3,ISNUMBER(Y317)),1,0)</f>
        <v>0</v>
      </c>
      <c r="AA317" s="43" t="str">
        <f aca="false">IF(W317=1,IF(SUMIFS($L$2:$L$756,$B$2:$B$756,B317,$W$2:$W$756,2)&gt;0,SUMIFS($L$2:$L$756,$B$2:$B$756,B317,$W$2:$W$756,2),""),"")</f>
        <v/>
      </c>
      <c r="AB317" s="54" t="str">
        <f aca="false">IF(AND(W317=1,ISNUMBER(AA317)),L317/(L317+AA317),"")</f>
        <v/>
      </c>
    </row>
    <row r="318" customFormat="false" ht="15" hidden="false" customHeight="true" outlineLevel="0" collapsed="false">
      <c r="A318" s="1" t="s">
        <v>274</v>
      </c>
      <c r="B318" s="46" t="n">
        <v>45792</v>
      </c>
      <c r="C318" s="46" t="n">
        <v>45869</v>
      </c>
      <c r="D318" s="47" t="n">
        <v>24931</v>
      </c>
      <c r="E318" s="47" t="n">
        <v>25375</v>
      </c>
      <c r="F318" s="47" t="n">
        <v>24846.3</v>
      </c>
      <c r="G318" s="47" t="n">
        <v>25318.6</v>
      </c>
      <c r="H318" s="47" t="n">
        <v>25316</v>
      </c>
      <c r="I318" s="47" t="n">
        <v>25318.6</v>
      </c>
      <c r="J318" s="48" t="n">
        <v>6061</v>
      </c>
      <c r="K318" s="47" t="n">
        <v>114356.87</v>
      </c>
      <c r="L318" s="48" t="n">
        <v>386925</v>
      </c>
      <c r="M318" s="48" t="n">
        <v>-4575</v>
      </c>
      <c r="N318" s="47" t="n">
        <v>25062.1</v>
      </c>
      <c r="O318" s="47" t="n">
        <f aca="false">IF(AND(ISNUMBER(G318),ISNUMBER(N318)),G318-N318,"")</f>
        <v>256.5</v>
      </c>
      <c r="P318" s="49" t="n">
        <f aca="false">IF(ISNUMBER(O318),O318/N318,"")</f>
        <v>0.0102345773099621</v>
      </c>
      <c r="Q318" s="50" t="n">
        <f aca="false">C318-B318</f>
        <v>77</v>
      </c>
      <c r="R318" s="51" t="n">
        <f aca="false">IF(AND(C318=C317,ISNUMBER(G318),ISNUMBER(G317)),(G318/G317-1)*100,"")</f>
        <v>1.41475802510673</v>
      </c>
      <c r="S318" s="51" t="n">
        <f aca="false">IF(AND(C318=C317,ISNUMBER(L318),ISNUMBER(L317)),(L318/L317-1)*100,"")</f>
        <v>-1.16858237547893</v>
      </c>
      <c r="T318" s="51" t="n">
        <f aca="false">IF(AND(C318=C317,ISNUMBER(G318),ISNUMBER(G317)),G318-G317,"")</f>
        <v>353.199999999997</v>
      </c>
      <c r="U318" s="1" t="str">
        <f aca="false">IF(OR(NOT(ISNUMBER(R318)),NOT(ISNUMBER(S318))),"Not classified",IF(AND(R318&gt;0,S318&gt;0),"Long buildup (interpretation)",IF(AND(R318&lt;0,S318&gt;0),"Short buildup (interpretation)",IF(AND(R318&gt;0,S318&lt;0),"Short covering (interpretation)",IF(AND(R318&lt;0,S318&lt;0),"Long unwinding (interpretation)","Neutral")))))</f>
        <v>Short covering (interpretation)</v>
      </c>
      <c r="V318" s="52" t="str">
        <f aca="false">TEXT(B318,"yyyy-mm")</f>
        <v>2025-05</v>
      </c>
      <c r="W318" s="52" t="n">
        <f aca="false">1+COUNTIFS($B$2:$B$756,B318,$C$2:$C$756,"&lt;"&amp;C318)</f>
        <v>3</v>
      </c>
      <c r="X318" s="53" t="n">
        <f aca="false">IF(AND(ISNUMBER(P318),Q318&gt;0),P318*365/Q318,"")</f>
        <v>0.048514554780989</v>
      </c>
      <c r="Y318" s="42" t="n">
        <f aca="false">IF(AND(C319=C318,ISNUMBER(R319)),R319,"")</f>
        <v>0.0438412866430316</v>
      </c>
      <c r="Z318" s="52" t="n">
        <f aca="false">IF(AND(W318=1,Q318&gt;Basis_Analysis!$B$3,ISNUMBER(Y318)),1,0)</f>
        <v>0</v>
      </c>
      <c r="AA318" s="43" t="str">
        <f aca="false">IF(W318=1,IF(SUMIFS($L$2:$L$756,$B$2:$B$756,B318,$W$2:$W$756,2)&gt;0,SUMIFS($L$2:$L$756,$B$2:$B$756,B318,$W$2:$W$756,2),""),"")</f>
        <v/>
      </c>
      <c r="AB318" s="54" t="str">
        <f aca="false">IF(AND(W318=1,ISNUMBER(AA318)),L318/(L318+AA318),"")</f>
        <v/>
      </c>
    </row>
    <row r="319" customFormat="false" ht="15" hidden="false" customHeight="true" outlineLevel="0" collapsed="false">
      <c r="A319" s="1" t="s">
        <v>274</v>
      </c>
      <c r="B319" s="46" t="n">
        <v>45793</v>
      </c>
      <c r="C319" s="46" t="n">
        <v>45869</v>
      </c>
      <c r="D319" s="47" t="n">
        <v>25377.3</v>
      </c>
      <c r="E319" s="47" t="n">
        <v>25383.7</v>
      </c>
      <c r="F319" s="47" t="n">
        <v>25260.1</v>
      </c>
      <c r="G319" s="47" t="n">
        <v>25329.7</v>
      </c>
      <c r="H319" s="47" t="n">
        <v>25325</v>
      </c>
      <c r="I319" s="47" t="n">
        <v>25329.7</v>
      </c>
      <c r="J319" s="48" t="n">
        <v>2855</v>
      </c>
      <c r="K319" s="47" t="n">
        <v>54204.12</v>
      </c>
      <c r="L319" s="48" t="n">
        <v>434100</v>
      </c>
      <c r="M319" s="48" t="n">
        <v>47175</v>
      </c>
      <c r="N319" s="47" t="n">
        <v>25019.8</v>
      </c>
      <c r="O319" s="47" t="n">
        <f aca="false">IF(AND(ISNUMBER(G319),ISNUMBER(N319)),G319-N319,"")</f>
        <v>309.900000000001</v>
      </c>
      <c r="P319" s="49" t="n">
        <f aca="false">IF(ISNUMBER(O319),O319/N319,"")</f>
        <v>0.0123861901374112</v>
      </c>
      <c r="Q319" s="50" t="n">
        <f aca="false">C319-B319</f>
        <v>76</v>
      </c>
      <c r="R319" s="51" t="n">
        <f aca="false">IF(AND(C319=C318,ISNUMBER(G319),ISNUMBER(G318)),(G319/G318-1)*100,"")</f>
        <v>0.0438412866430316</v>
      </c>
      <c r="S319" s="51" t="n">
        <f aca="false">IF(AND(C319=C318,ISNUMBER(L319),ISNUMBER(L318)),(L319/L318-1)*100,"")</f>
        <v>12.1922853266137</v>
      </c>
      <c r="T319" s="51" t="n">
        <f aca="false">IF(AND(C319=C318,ISNUMBER(G319),ISNUMBER(G318)),G319-G318,"")</f>
        <v>11.1000000000022</v>
      </c>
      <c r="U319" s="1" t="str">
        <f aca="false">IF(OR(NOT(ISNUMBER(R319)),NOT(ISNUMBER(S319))),"Not classified",IF(AND(R319&gt;0,S319&gt;0),"Long buildup (interpretation)",IF(AND(R319&lt;0,S319&gt;0),"Short buildup (interpretation)",IF(AND(R319&gt;0,S319&lt;0),"Short covering (interpretation)",IF(AND(R319&lt;0,S319&lt;0),"Long unwinding (interpretation)","Neutral")))))</f>
        <v>Long buildup (interpretation)</v>
      </c>
      <c r="V319" s="52" t="str">
        <f aca="false">TEXT(B319,"yyyy-mm")</f>
        <v>2025-05</v>
      </c>
      <c r="W319" s="52" t="n">
        <f aca="false">1+COUNTIFS($B$2:$B$756,B319,$C$2:$C$756,"&lt;"&amp;C319)</f>
        <v>3</v>
      </c>
      <c r="X319" s="53" t="n">
        <f aca="false">IF(AND(ISNUMBER(P319),Q319&gt;0),P319*365/Q319,"")</f>
        <v>0.0594863078967776</v>
      </c>
      <c r="Y319" s="42" t="n">
        <f aca="false">IF(AND(C320=C319,ISNUMBER(R320)),R320,"")</f>
        <v>-0.385713214132033</v>
      </c>
      <c r="Z319" s="52" t="n">
        <f aca="false">IF(AND(W319=1,Q319&gt;Basis_Analysis!$B$3,ISNUMBER(Y319)),1,0)</f>
        <v>0</v>
      </c>
      <c r="AA319" s="43" t="str">
        <f aca="false">IF(W319=1,IF(SUMIFS($L$2:$L$756,$B$2:$B$756,B319,$W$2:$W$756,2)&gt;0,SUMIFS($L$2:$L$756,$B$2:$B$756,B319,$W$2:$W$756,2),""),"")</f>
        <v/>
      </c>
      <c r="AB319" s="54" t="str">
        <f aca="false">IF(AND(W319=1,ISNUMBER(AA319)),L319/(L319+AA319),"")</f>
        <v/>
      </c>
    </row>
    <row r="320" customFormat="false" ht="15" hidden="false" customHeight="true" outlineLevel="0" collapsed="false">
      <c r="A320" s="1" t="s">
        <v>274</v>
      </c>
      <c r="B320" s="46" t="n">
        <v>45796</v>
      </c>
      <c r="C320" s="46" t="n">
        <v>45869</v>
      </c>
      <c r="D320" s="47" t="n">
        <v>25310.1</v>
      </c>
      <c r="E320" s="47" t="n">
        <v>25359.8</v>
      </c>
      <c r="F320" s="47" t="n">
        <v>25206.4</v>
      </c>
      <c r="G320" s="47" t="n">
        <v>25232</v>
      </c>
      <c r="H320" s="47" t="n">
        <v>25221</v>
      </c>
      <c r="I320" s="47" t="n">
        <v>25232</v>
      </c>
      <c r="J320" s="48" t="n">
        <v>1713</v>
      </c>
      <c r="K320" s="47" t="n">
        <v>32487.31</v>
      </c>
      <c r="L320" s="48" t="n">
        <v>455400</v>
      </c>
      <c r="M320" s="48" t="n">
        <v>21300</v>
      </c>
      <c r="N320" s="47" t="n">
        <v>24945.45</v>
      </c>
      <c r="O320" s="47" t="n">
        <f aca="false">IF(AND(ISNUMBER(G320),ISNUMBER(N320)),G320-N320,"")</f>
        <v>286.549999999999</v>
      </c>
      <c r="P320" s="49" t="n">
        <f aca="false">IF(ISNUMBER(O320),O320/N320,"")</f>
        <v>0.0114870647753398</v>
      </c>
      <c r="Q320" s="50" t="n">
        <f aca="false">C320-B320</f>
        <v>73</v>
      </c>
      <c r="R320" s="51" t="n">
        <f aca="false">IF(AND(C320=C319,ISNUMBER(G320),ISNUMBER(G319)),(G320/G319-1)*100,"")</f>
        <v>-0.385713214132033</v>
      </c>
      <c r="S320" s="51" t="n">
        <f aca="false">IF(AND(C320=C319,ISNUMBER(L320),ISNUMBER(L319)),(L320/L319-1)*100,"")</f>
        <v>4.90670352453351</v>
      </c>
      <c r="T320" s="51" t="n">
        <f aca="false">IF(AND(C320=C319,ISNUMBER(G320),ISNUMBER(G319)),G320-G319,"")</f>
        <v>-97.7000000000007</v>
      </c>
      <c r="U320" s="1" t="str">
        <f aca="false">IF(OR(NOT(ISNUMBER(R320)),NOT(ISNUMBER(S320))),"Not classified",IF(AND(R320&gt;0,S320&gt;0),"Long buildup (interpretation)",IF(AND(R320&lt;0,S320&gt;0),"Short buildup (interpretation)",IF(AND(R320&gt;0,S320&lt;0),"Short covering (interpretation)",IF(AND(R320&lt;0,S320&lt;0),"Long unwinding (interpretation)","Neutral")))))</f>
        <v>Short buildup (interpretation)</v>
      </c>
      <c r="V320" s="52" t="str">
        <f aca="false">TEXT(B320,"yyyy-mm")</f>
        <v>2025-05</v>
      </c>
      <c r="W320" s="52" t="n">
        <f aca="false">1+COUNTIFS($B$2:$B$756,B320,$C$2:$C$756,"&lt;"&amp;C320)</f>
        <v>3</v>
      </c>
      <c r="X320" s="53" t="n">
        <f aca="false">IF(AND(ISNUMBER(P320),Q320&gt;0),P320*365/Q320,"")</f>
        <v>0.0574353238766988</v>
      </c>
      <c r="Y320" s="42" t="n">
        <f aca="false">IF(AND(C321=C320,ISNUMBER(R321)),R321,"")</f>
        <v>-0.828709575142672</v>
      </c>
      <c r="Z320" s="52" t="n">
        <f aca="false">IF(AND(W320=1,Q320&gt;Basis_Analysis!$B$3,ISNUMBER(Y320)),1,0)</f>
        <v>0</v>
      </c>
      <c r="AA320" s="43" t="str">
        <f aca="false">IF(W320=1,IF(SUMIFS($L$2:$L$756,$B$2:$B$756,B320,$W$2:$W$756,2)&gt;0,SUMIFS($L$2:$L$756,$B$2:$B$756,B320,$W$2:$W$756,2),""),"")</f>
        <v/>
      </c>
      <c r="AB320" s="54" t="str">
        <f aca="false">IF(AND(W320=1,ISNUMBER(AA320)),L320/(L320+AA320),"")</f>
        <v/>
      </c>
    </row>
    <row r="321" customFormat="false" ht="15" hidden="false" customHeight="true" outlineLevel="0" collapsed="false">
      <c r="A321" s="1" t="s">
        <v>274</v>
      </c>
      <c r="B321" s="46" t="n">
        <v>45797</v>
      </c>
      <c r="C321" s="46" t="n">
        <v>45869</v>
      </c>
      <c r="D321" s="47" t="n">
        <v>25282.1</v>
      </c>
      <c r="E321" s="47" t="n">
        <v>25304</v>
      </c>
      <c r="F321" s="47" t="n">
        <v>25000</v>
      </c>
      <c r="G321" s="47" t="n">
        <v>25022.9</v>
      </c>
      <c r="H321" s="47" t="n">
        <v>25035</v>
      </c>
      <c r="I321" s="47" t="n">
        <v>25022.9</v>
      </c>
      <c r="J321" s="48" t="n">
        <v>4083</v>
      </c>
      <c r="K321" s="47" t="n">
        <v>76937.27</v>
      </c>
      <c r="L321" s="48" t="n">
        <v>514725</v>
      </c>
      <c r="M321" s="48" t="n">
        <v>59325</v>
      </c>
      <c r="N321" s="47" t="n">
        <v>24683.9</v>
      </c>
      <c r="O321" s="47" t="n">
        <f aca="false">IF(AND(ISNUMBER(G321),ISNUMBER(N321)),G321-N321,"")</f>
        <v>339</v>
      </c>
      <c r="P321" s="49" t="n">
        <f aca="false">IF(ISNUMBER(O321),O321/N321,"")</f>
        <v>0.0137336482484534</v>
      </c>
      <c r="Q321" s="50" t="n">
        <f aca="false">C321-B321</f>
        <v>72</v>
      </c>
      <c r="R321" s="51" t="n">
        <f aca="false">IF(AND(C321=C320,ISNUMBER(G321),ISNUMBER(G320)),(G321/G320-1)*100,"")</f>
        <v>-0.828709575142672</v>
      </c>
      <c r="S321" s="51" t="n">
        <f aca="false">IF(AND(C321=C320,ISNUMBER(L321),ISNUMBER(L320)),(L321/L320-1)*100,"")</f>
        <v>13.0270092226614</v>
      </c>
      <c r="T321" s="51" t="n">
        <f aca="false">IF(AND(C321=C320,ISNUMBER(G321),ISNUMBER(G320)),G321-G320,"")</f>
        <v>-209.099999999999</v>
      </c>
      <c r="U321" s="1" t="str">
        <f aca="false">IF(OR(NOT(ISNUMBER(R321)),NOT(ISNUMBER(S321))),"Not classified",IF(AND(R321&gt;0,S321&gt;0),"Long buildup (interpretation)",IF(AND(R321&lt;0,S321&gt;0),"Short buildup (interpretation)",IF(AND(R321&gt;0,S321&lt;0),"Short covering (interpretation)",IF(AND(R321&lt;0,S321&lt;0),"Long unwinding (interpretation)","Neutral")))))</f>
        <v>Short buildup (interpretation)</v>
      </c>
      <c r="V321" s="52" t="str">
        <f aca="false">TEXT(B321,"yyyy-mm")</f>
        <v>2025-05</v>
      </c>
      <c r="W321" s="52" t="n">
        <f aca="false">1+COUNTIFS($B$2:$B$756,B321,$C$2:$C$756,"&lt;"&amp;C321)</f>
        <v>3</v>
      </c>
      <c r="X321" s="53" t="n">
        <f aca="false">IF(AND(ISNUMBER(P321),Q321&gt;0),P321*365/Q321,"")</f>
        <v>0.0696219668150765</v>
      </c>
      <c r="Y321" s="42" t="n">
        <f aca="false">IF(AND(C322=C321,ISNUMBER(R322)),R322,"")</f>
        <v>0.165048815285185</v>
      </c>
      <c r="Z321" s="52" t="n">
        <f aca="false">IF(AND(W321=1,Q321&gt;Basis_Analysis!$B$3,ISNUMBER(Y321)),1,0)</f>
        <v>0</v>
      </c>
      <c r="AA321" s="43" t="str">
        <f aca="false">IF(W321=1,IF(SUMIFS($L$2:$L$756,$B$2:$B$756,B321,$W$2:$W$756,2)&gt;0,SUMIFS($L$2:$L$756,$B$2:$B$756,B321,$W$2:$W$756,2),""),"")</f>
        <v/>
      </c>
      <c r="AB321" s="54" t="str">
        <f aca="false">IF(AND(W321=1,ISNUMBER(AA321)),L321/(L321+AA321),"")</f>
        <v/>
      </c>
    </row>
    <row r="322" customFormat="false" ht="15" hidden="false" customHeight="true" outlineLevel="0" collapsed="false">
      <c r="A322" s="1" t="s">
        <v>274</v>
      </c>
      <c r="B322" s="46" t="n">
        <v>45798</v>
      </c>
      <c r="C322" s="46" t="n">
        <v>45869</v>
      </c>
      <c r="D322" s="47" t="n">
        <v>25089.9</v>
      </c>
      <c r="E322" s="47" t="n">
        <v>25250</v>
      </c>
      <c r="F322" s="47" t="n">
        <v>24978.1</v>
      </c>
      <c r="G322" s="47" t="n">
        <v>25064.2</v>
      </c>
      <c r="H322" s="47" t="n">
        <v>25058</v>
      </c>
      <c r="I322" s="47" t="n">
        <v>25064.2</v>
      </c>
      <c r="J322" s="48" t="n">
        <v>3419</v>
      </c>
      <c r="K322" s="47" t="n">
        <v>64368.53</v>
      </c>
      <c r="L322" s="48" t="n">
        <v>530775</v>
      </c>
      <c r="M322" s="48" t="n">
        <v>16050</v>
      </c>
      <c r="N322" s="47" t="n">
        <v>24813.45</v>
      </c>
      <c r="O322" s="47" t="n">
        <f aca="false">IF(AND(ISNUMBER(G322),ISNUMBER(N322)),G322-N322,"")</f>
        <v>250.75</v>
      </c>
      <c r="P322" s="49" t="n">
        <f aca="false">IF(ISNUMBER(O322),O322/N322,"")</f>
        <v>0.0101054065436286</v>
      </c>
      <c r="Q322" s="50" t="n">
        <f aca="false">C322-B322</f>
        <v>71</v>
      </c>
      <c r="R322" s="51" t="n">
        <f aca="false">IF(AND(C322=C321,ISNUMBER(G322),ISNUMBER(G321)),(G322/G321-1)*100,"")</f>
        <v>0.165048815285185</v>
      </c>
      <c r="S322" s="51" t="n">
        <f aca="false">IF(AND(C322=C321,ISNUMBER(L322),ISNUMBER(L321)),(L322/L321-1)*100,"")</f>
        <v>3.1181698965467</v>
      </c>
      <c r="T322" s="51" t="n">
        <f aca="false">IF(AND(C322=C321,ISNUMBER(G322),ISNUMBER(G321)),G322-G321,"")</f>
        <v>41.2999999999993</v>
      </c>
      <c r="U322" s="1" t="str">
        <f aca="false">IF(OR(NOT(ISNUMBER(R322)),NOT(ISNUMBER(S322))),"Not classified",IF(AND(R322&gt;0,S322&gt;0),"Long buildup (interpretation)",IF(AND(R322&lt;0,S322&gt;0),"Short buildup (interpretation)",IF(AND(R322&gt;0,S322&lt;0),"Short covering (interpretation)",IF(AND(R322&lt;0,S322&lt;0),"Long unwinding (interpretation)","Neutral")))))</f>
        <v>Long buildup (interpretation)</v>
      </c>
      <c r="V322" s="52" t="str">
        <f aca="false">TEXT(B322,"yyyy-mm")</f>
        <v>2025-05</v>
      </c>
      <c r="W322" s="52" t="n">
        <f aca="false">1+COUNTIFS($B$2:$B$756,B322,$C$2:$C$756,"&lt;"&amp;C322)</f>
        <v>3</v>
      </c>
      <c r="X322" s="53" t="n">
        <f aca="false">IF(AND(ISNUMBER(P322),Q322&gt;0),P322*365/Q322,"")</f>
        <v>0.0519503294144285</v>
      </c>
      <c r="Y322" s="42" t="n">
        <f aca="false">IF(AND(C323=C322,ISNUMBER(R323)),R323,"")</f>
        <v>-0.668283847080697</v>
      </c>
      <c r="Z322" s="52" t="n">
        <f aca="false">IF(AND(W322=1,Q322&gt;Basis_Analysis!$B$3,ISNUMBER(Y322)),1,0)</f>
        <v>0</v>
      </c>
      <c r="AA322" s="43" t="str">
        <f aca="false">IF(W322=1,IF(SUMIFS($L$2:$L$756,$B$2:$B$756,B322,$W$2:$W$756,2)&gt;0,SUMIFS($L$2:$L$756,$B$2:$B$756,B322,$W$2:$W$756,2),""),"")</f>
        <v/>
      </c>
      <c r="AB322" s="54" t="str">
        <f aca="false">IF(AND(W322=1,ISNUMBER(AA322)),L322/(L322+AA322),"")</f>
        <v/>
      </c>
    </row>
    <row r="323" customFormat="false" ht="15" hidden="false" customHeight="true" outlineLevel="0" collapsed="false">
      <c r="A323" s="1" t="s">
        <v>274</v>
      </c>
      <c r="B323" s="46" t="n">
        <v>45799</v>
      </c>
      <c r="C323" s="46" t="n">
        <v>45869</v>
      </c>
      <c r="D323" s="47" t="n">
        <v>24989</v>
      </c>
      <c r="E323" s="47" t="n">
        <v>24995.6</v>
      </c>
      <c r="F323" s="47" t="n">
        <v>24770.9</v>
      </c>
      <c r="G323" s="47" t="n">
        <v>24896.7</v>
      </c>
      <c r="H323" s="47" t="n">
        <v>24911</v>
      </c>
      <c r="I323" s="47" t="n">
        <v>24896.7</v>
      </c>
      <c r="J323" s="48" t="n">
        <v>4479</v>
      </c>
      <c r="K323" s="47" t="n">
        <v>83550.1</v>
      </c>
      <c r="L323" s="48" t="n">
        <v>606525</v>
      </c>
      <c r="M323" s="48" t="n">
        <v>75750</v>
      </c>
      <c r="N323" s="47" t="n">
        <v>24609.7</v>
      </c>
      <c r="O323" s="47" t="n">
        <f aca="false">IF(AND(ISNUMBER(G323),ISNUMBER(N323)),G323-N323,"")</f>
        <v>287</v>
      </c>
      <c r="P323" s="49" t="n">
        <f aca="false">IF(ISNUMBER(O323),O323/N323,"")</f>
        <v>0.011662068208877</v>
      </c>
      <c r="Q323" s="50" t="n">
        <f aca="false">C323-B323</f>
        <v>70</v>
      </c>
      <c r="R323" s="51" t="n">
        <f aca="false">IF(AND(C323=C322,ISNUMBER(G323),ISNUMBER(G322)),(G323/G322-1)*100,"")</f>
        <v>-0.668283847080697</v>
      </c>
      <c r="S323" s="51" t="n">
        <f aca="false">IF(AND(C323=C322,ISNUMBER(L323),ISNUMBER(L322)),(L323/L322-1)*100,"")</f>
        <v>14.2715840045217</v>
      </c>
      <c r="T323" s="51" t="n">
        <f aca="false">IF(AND(C323=C322,ISNUMBER(G323),ISNUMBER(G322)),G323-G322,"")</f>
        <v>-167.5</v>
      </c>
      <c r="U323" s="1" t="str">
        <f aca="false">IF(OR(NOT(ISNUMBER(R323)),NOT(ISNUMBER(S323))),"Not classified",IF(AND(R323&gt;0,S323&gt;0),"Long buildup (interpretation)",IF(AND(R323&lt;0,S323&gt;0),"Short buildup (interpretation)",IF(AND(R323&gt;0,S323&lt;0),"Short covering (interpretation)",IF(AND(R323&lt;0,S323&lt;0),"Long unwinding (interpretation)","Neutral")))))</f>
        <v>Short buildup (interpretation)</v>
      </c>
      <c r="V323" s="52" t="str">
        <f aca="false">TEXT(B323,"yyyy-mm")</f>
        <v>2025-05</v>
      </c>
      <c r="W323" s="52" t="n">
        <f aca="false">1+COUNTIFS($B$2:$B$756,B323,$C$2:$C$756,"&lt;"&amp;C323)</f>
        <v>3</v>
      </c>
      <c r="X323" s="53" t="n">
        <f aca="false">IF(AND(ISNUMBER(P323),Q323&gt;0),P323*365/Q323,"")</f>
        <v>0.0608093556605729</v>
      </c>
      <c r="Y323" s="42" t="n">
        <f aca="false">IF(AND(C324=C323,ISNUMBER(R324)),R324,"")</f>
        <v>0.836657067000846</v>
      </c>
      <c r="Z323" s="52" t="n">
        <f aca="false">IF(AND(W323=1,Q323&gt;Basis_Analysis!$B$3,ISNUMBER(Y323)),1,0)</f>
        <v>0</v>
      </c>
      <c r="AA323" s="43" t="str">
        <f aca="false">IF(W323=1,IF(SUMIFS($L$2:$L$756,$B$2:$B$756,B323,$W$2:$W$756,2)&gt;0,SUMIFS($L$2:$L$756,$B$2:$B$756,B323,$W$2:$W$756,2),""),"")</f>
        <v/>
      </c>
      <c r="AB323" s="54" t="str">
        <f aca="false">IF(AND(W323=1,ISNUMBER(AA323)),L323/(L323+AA323),"")</f>
        <v/>
      </c>
    </row>
    <row r="324" customFormat="false" ht="15" hidden="false" customHeight="true" outlineLevel="0" collapsed="false">
      <c r="A324" s="1" t="s">
        <v>274</v>
      </c>
      <c r="B324" s="46" t="n">
        <v>45800</v>
      </c>
      <c r="C324" s="46" t="n">
        <v>45869</v>
      </c>
      <c r="D324" s="47" t="n">
        <v>24911</v>
      </c>
      <c r="E324" s="47" t="n">
        <v>25185.5</v>
      </c>
      <c r="F324" s="47" t="n">
        <v>24875.7</v>
      </c>
      <c r="G324" s="47" t="n">
        <v>25105</v>
      </c>
      <c r="H324" s="47" t="n">
        <v>25114.1</v>
      </c>
      <c r="I324" s="47" t="n">
        <v>25105</v>
      </c>
      <c r="J324" s="48" t="n">
        <v>6857</v>
      </c>
      <c r="K324" s="47" t="n">
        <v>129091.3</v>
      </c>
      <c r="L324" s="48" t="n">
        <v>816750</v>
      </c>
      <c r="M324" s="48" t="n">
        <v>210225</v>
      </c>
      <c r="N324" s="47" t="n">
        <v>24853.15</v>
      </c>
      <c r="O324" s="47" t="n">
        <f aca="false">IF(AND(ISNUMBER(G324),ISNUMBER(N324)),G324-N324,"")</f>
        <v>251.849999999999</v>
      </c>
      <c r="P324" s="49" t="n">
        <f aca="false">IF(ISNUMBER(O324),O324/N324,"")</f>
        <v>0.0101335243218666</v>
      </c>
      <c r="Q324" s="50" t="n">
        <f aca="false">C324-B324</f>
        <v>69</v>
      </c>
      <c r="R324" s="51" t="n">
        <f aca="false">IF(AND(C324=C323,ISNUMBER(G324),ISNUMBER(G323)),(G324/G323-1)*100,"")</f>
        <v>0.836657067000846</v>
      </c>
      <c r="S324" s="51" t="n">
        <f aca="false">IF(AND(C324=C323,ISNUMBER(L324),ISNUMBER(L323)),(L324/L323-1)*100,"")</f>
        <v>34.6605663410412</v>
      </c>
      <c r="T324" s="51" t="n">
        <f aca="false">IF(AND(C324=C323,ISNUMBER(G324),ISNUMBER(G323)),G324-G323,"")</f>
        <v>208.299999999999</v>
      </c>
      <c r="U324" s="1" t="str">
        <f aca="false">IF(OR(NOT(ISNUMBER(R324)),NOT(ISNUMBER(S324))),"Not classified",IF(AND(R324&gt;0,S324&gt;0),"Long buildup (interpretation)",IF(AND(R324&lt;0,S324&gt;0),"Short buildup (interpretation)",IF(AND(R324&gt;0,S324&lt;0),"Short covering (interpretation)",IF(AND(R324&lt;0,S324&lt;0),"Long unwinding (interpretation)","Neutral")))))</f>
        <v>Long buildup (interpretation)</v>
      </c>
      <c r="V324" s="52" t="str">
        <f aca="false">TEXT(B324,"yyyy-mm")</f>
        <v>2025-05</v>
      </c>
      <c r="W324" s="52" t="n">
        <f aca="false">1+COUNTIFS($B$2:$B$756,B324,$C$2:$C$756,"&lt;"&amp;C324)</f>
        <v>3</v>
      </c>
      <c r="X324" s="53" t="n">
        <f aca="false">IF(AND(ISNUMBER(P324),Q324&gt;0),P324*365/Q324,"")</f>
        <v>0.0536048750359609</v>
      </c>
      <c r="Y324" s="42" t="n">
        <f aca="false">IF(AND(C325=C324,ISNUMBER(R325)),R325,"")</f>
        <v>0.59350726946823</v>
      </c>
      <c r="Z324" s="52" t="n">
        <f aca="false">IF(AND(W324=1,Q324&gt;Basis_Analysis!$B$3,ISNUMBER(Y324)),1,0)</f>
        <v>0</v>
      </c>
      <c r="AA324" s="43" t="str">
        <f aca="false">IF(W324=1,IF(SUMIFS($L$2:$L$756,$B$2:$B$756,B324,$W$2:$W$756,2)&gt;0,SUMIFS($L$2:$L$756,$B$2:$B$756,B324,$W$2:$W$756,2),""),"")</f>
        <v/>
      </c>
      <c r="AB324" s="54" t="str">
        <f aca="false">IF(AND(W324=1,ISNUMBER(AA324)),L324/(L324+AA324),"")</f>
        <v/>
      </c>
    </row>
    <row r="325" customFormat="false" ht="15" hidden="false" customHeight="true" outlineLevel="0" collapsed="false">
      <c r="A325" s="1" t="s">
        <v>274</v>
      </c>
      <c r="B325" s="46" t="n">
        <v>45803</v>
      </c>
      <c r="C325" s="46" t="n">
        <v>45869</v>
      </c>
      <c r="D325" s="47" t="n">
        <v>25165.5</v>
      </c>
      <c r="E325" s="47" t="n">
        <v>25326.7</v>
      </c>
      <c r="F325" s="47" t="n">
        <v>25158.6</v>
      </c>
      <c r="G325" s="47" t="n">
        <v>25254</v>
      </c>
      <c r="H325" s="47" t="n">
        <v>25251</v>
      </c>
      <c r="I325" s="47" t="n">
        <v>25254</v>
      </c>
      <c r="J325" s="48" t="n">
        <v>5030</v>
      </c>
      <c r="K325" s="47" t="n">
        <v>95261.81</v>
      </c>
      <c r="L325" s="48" t="n">
        <v>966825</v>
      </c>
      <c r="M325" s="48" t="n">
        <v>150075</v>
      </c>
      <c r="N325" s="47" t="n">
        <v>25001.15</v>
      </c>
      <c r="O325" s="47" t="n">
        <f aca="false">IF(AND(ISNUMBER(G325),ISNUMBER(N325)),G325-N325,"")</f>
        <v>252.849999999999</v>
      </c>
      <c r="P325" s="49" t="n">
        <f aca="false">IF(ISNUMBER(O325),O325/N325,"")</f>
        <v>0.0101135347774002</v>
      </c>
      <c r="Q325" s="50" t="n">
        <f aca="false">C325-B325</f>
        <v>66</v>
      </c>
      <c r="R325" s="51" t="n">
        <f aca="false">IF(AND(C325=C324,ISNUMBER(G325),ISNUMBER(G324)),(G325/G324-1)*100,"")</f>
        <v>0.59350726946823</v>
      </c>
      <c r="S325" s="51" t="n">
        <f aca="false">IF(AND(C325=C324,ISNUMBER(L325),ISNUMBER(L324)),(L325/L324-1)*100,"")</f>
        <v>18.3746556473829</v>
      </c>
      <c r="T325" s="51" t="n">
        <f aca="false">IF(AND(C325=C324,ISNUMBER(G325),ISNUMBER(G324)),G325-G324,"")</f>
        <v>149</v>
      </c>
      <c r="U325" s="1" t="str">
        <f aca="false">IF(OR(NOT(ISNUMBER(R325)),NOT(ISNUMBER(S325))),"Not classified",IF(AND(R325&gt;0,S325&gt;0),"Long buildup (interpretation)",IF(AND(R325&lt;0,S325&gt;0),"Short buildup (interpretation)",IF(AND(R325&gt;0,S325&lt;0),"Short covering (interpretation)",IF(AND(R325&lt;0,S325&lt;0),"Long unwinding (interpretation)","Neutral")))))</f>
        <v>Long buildup (interpretation)</v>
      </c>
      <c r="V325" s="52" t="str">
        <f aca="false">TEXT(B325,"yyyy-mm")</f>
        <v>2025-05</v>
      </c>
      <c r="W325" s="52" t="n">
        <f aca="false">1+COUNTIFS($B$2:$B$756,B325,$C$2:$C$756,"&lt;"&amp;C325)</f>
        <v>3</v>
      </c>
      <c r="X325" s="53" t="n">
        <f aca="false">IF(AND(ISNUMBER(P325),Q325&gt;0),P325*365/Q325,"")</f>
        <v>0.0559309120265313</v>
      </c>
      <c r="Y325" s="42" t="n">
        <f aca="false">IF(AND(C326=C325,ISNUMBER(R326)),R326,"")</f>
        <v>-0.630791161796152</v>
      </c>
      <c r="Z325" s="52" t="n">
        <f aca="false">IF(AND(W325=1,Q325&gt;Basis_Analysis!$B$3,ISNUMBER(Y325)),1,0)</f>
        <v>0</v>
      </c>
      <c r="AA325" s="43" t="str">
        <f aca="false">IF(W325=1,IF(SUMIFS($L$2:$L$756,$B$2:$B$756,B325,$W$2:$W$756,2)&gt;0,SUMIFS($L$2:$L$756,$B$2:$B$756,B325,$W$2:$W$756,2),""),"")</f>
        <v/>
      </c>
      <c r="AB325" s="54" t="str">
        <f aca="false">IF(AND(W325=1,ISNUMBER(AA325)),L325/(L325+AA325),"")</f>
        <v/>
      </c>
    </row>
    <row r="326" customFormat="false" ht="15" hidden="false" customHeight="true" outlineLevel="0" collapsed="false">
      <c r="A326" s="1" t="s">
        <v>274</v>
      </c>
      <c r="B326" s="46" t="n">
        <v>45804</v>
      </c>
      <c r="C326" s="46" t="n">
        <v>45869</v>
      </c>
      <c r="D326" s="47" t="n">
        <v>25251</v>
      </c>
      <c r="E326" s="47" t="n">
        <v>25317</v>
      </c>
      <c r="F326" s="47" t="n">
        <v>24990.1</v>
      </c>
      <c r="G326" s="47" t="n">
        <v>25094.7</v>
      </c>
      <c r="H326" s="47" t="n">
        <v>25081</v>
      </c>
      <c r="I326" s="47" t="n">
        <v>25094.7</v>
      </c>
      <c r="J326" s="48" t="n">
        <v>10506</v>
      </c>
      <c r="K326" s="47" t="n">
        <v>197794.7</v>
      </c>
      <c r="L326" s="48" t="n">
        <v>1306650</v>
      </c>
      <c r="M326" s="48" t="n">
        <v>339825</v>
      </c>
      <c r="N326" s="47" t="n">
        <v>24826.2</v>
      </c>
      <c r="O326" s="47" t="n">
        <f aca="false">IF(AND(ISNUMBER(G326),ISNUMBER(N326)),G326-N326,"")</f>
        <v>268.5</v>
      </c>
      <c r="P326" s="49" t="n">
        <f aca="false">IF(ISNUMBER(O326),O326/N326,"")</f>
        <v>0.0108151871812843</v>
      </c>
      <c r="Q326" s="50" t="n">
        <f aca="false">C326-B326</f>
        <v>65</v>
      </c>
      <c r="R326" s="51" t="n">
        <f aca="false">IF(AND(C326=C325,ISNUMBER(G326),ISNUMBER(G325)),(G326/G325-1)*100,"")</f>
        <v>-0.630791161796152</v>
      </c>
      <c r="S326" s="51" t="n">
        <f aca="false">IF(AND(C326=C325,ISNUMBER(L326),ISNUMBER(L325)),(L326/L325-1)*100,"")</f>
        <v>35.1485532542084</v>
      </c>
      <c r="T326" s="51" t="n">
        <f aca="false">IF(AND(C326=C325,ISNUMBER(G326),ISNUMBER(G325)),G326-G325,"")</f>
        <v>-159.299999999999</v>
      </c>
      <c r="U326" s="1" t="str">
        <f aca="false">IF(OR(NOT(ISNUMBER(R326)),NOT(ISNUMBER(S326))),"Not classified",IF(AND(R326&gt;0,S326&gt;0),"Long buildup (interpretation)",IF(AND(R326&lt;0,S326&gt;0),"Short buildup (interpretation)",IF(AND(R326&gt;0,S326&lt;0),"Short covering (interpretation)",IF(AND(R326&lt;0,S326&lt;0),"Long unwinding (interpretation)","Neutral")))))</f>
        <v>Short buildup (interpretation)</v>
      </c>
      <c r="V326" s="52" t="str">
        <f aca="false">TEXT(B326,"yyyy-mm")</f>
        <v>2025-05</v>
      </c>
      <c r="W326" s="52" t="n">
        <f aca="false">1+COUNTIFS($B$2:$B$756,B326,$C$2:$C$756,"&lt;"&amp;C326)</f>
        <v>3</v>
      </c>
      <c r="X326" s="53" t="n">
        <f aca="false">IF(AND(ISNUMBER(P326),Q326&gt;0),P326*365/Q326,"")</f>
        <v>0.0607314357102887</v>
      </c>
      <c r="Y326" s="42" t="n">
        <f aca="false">IF(AND(C327=C326,ISNUMBER(R327)),R327,"")</f>
        <v>-0.392911650667283</v>
      </c>
      <c r="Z326" s="52" t="n">
        <f aca="false">IF(AND(W326=1,Q326&gt;Basis_Analysis!$B$3,ISNUMBER(Y326)),1,0)</f>
        <v>0</v>
      </c>
      <c r="AA326" s="43" t="str">
        <f aca="false">IF(W326=1,IF(SUMIFS($L$2:$L$756,$B$2:$B$756,B326,$W$2:$W$756,2)&gt;0,SUMIFS($L$2:$L$756,$B$2:$B$756,B326,$W$2:$W$756,2),""),"")</f>
        <v/>
      </c>
      <c r="AB326" s="54" t="str">
        <f aca="false">IF(AND(W326=1,ISNUMBER(AA326)),L326/(L326+AA326),"")</f>
        <v/>
      </c>
    </row>
    <row r="327" customFormat="false" ht="15" hidden="false" customHeight="true" outlineLevel="0" collapsed="false">
      <c r="A327" s="1" t="s">
        <v>274</v>
      </c>
      <c r="B327" s="46" t="n">
        <v>45805</v>
      </c>
      <c r="C327" s="46" t="n">
        <v>45869</v>
      </c>
      <c r="D327" s="47" t="n">
        <v>25094.7</v>
      </c>
      <c r="E327" s="47" t="n">
        <v>25114.8</v>
      </c>
      <c r="F327" s="47" t="n">
        <v>24980</v>
      </c>
      <c r="G327" s="47" t="n">
        <v>24996.1</v>
      </c>
      <c r="H327" s="47" t="n">
        <v>24980</v>
      </c>
      <c r="I327" s="47" t="n">
        <v>24996.1</v>
      </c>
      <c r="J327" s="48" t="n">
        <v>4665</v>
      </c>
      <c r="K327" s="47" t="n">
        <v>87555.56</v>
      </c>
      <c r="L327" s="48" t="n">
        <v>1462575</v>
      </c>
      <c r="M327" s="48" t="n">
        <v>155925</v>
      </c>
      <c r="N327" s="47" t="n">
        <v>24752.45</v>
      </c>
      <c r="O327" s="47" t="n">
        <f aca="false">IF(AND(ISNUMBER(G327),ISNUMBER(N327)),G327-N327,"")</f>
        <v>243.649999999998</v>
      </c>
      <c r="P327" s="49" t="n">
        <f aca="false">IF(ISNUMBER(O327),O327/N327,"")</f>
        <v>0.00984347004033935</v>
      </c>
      <c r="Q327" s="50" t="n">
        <f aca="false">C327-B327</f>
        <v>64</v>
      </c>
      <c r="R327" s="51" t="n">
        <f aca="false">IF(AND(C327=C326,ISNUMBER(G327),ISNUMBER(G326)),(G327/G326-1)*100,"")</f>
        <v>-0.392911650667283</v>
      </c>
      <c r="S327" s="51" t="n">
        <f aca="false">IF(AND(C327=C326,ISNUMBER(L327),ISNUMBER(L326)),(L327/L326-1)*100,"")</f>
        <v>11.9331879233153</v>
      </c>
      <c r="T327" s="51" t="n">
        <f aca="false">IF(AND(C327=C326,ISNUMBER(G327),ISNUMBER(G326)),G327-G326,"")</f>
        <v>-98.6000000000022</v>
      </c>
      <c r="U327" s="1" t="str">
        <f aca="false">IF(OR(NOT(ISNUMBER(R327)),NOT(ISNUMBER(S327))),"Not classified",IF(AND(R327&gt;0,S327&gt;0),"Long buildup (interpretation)",IF(AND(R327&lt;0,S327&gt;0),"Short buildup (interpretation)",IF(AND(R327&gt;0,S327&lt;0),"Short covering (interpretation)",IF(AND(R327&lt;0,S327&lt;0),"Long unwinding (interpretation)","Neutral")))))</f>
        <v>Short buildup (interpretation)</v>
      </c>
      <c r="V327" s="52" t="str">
        <f aca="false">TEXT(B327,"yyyy-mm")</f>
        <v>2025-05</v>
      </c>
      <c r="W327" s="52" t="n">
        <f aca="false">1+COUNTIFS($B$2:$B$756,B327,$C$2:$C$756,"&lt;"&amp;C327)</f>
        <v>3</v>
      </c>
      <c r="X327" s="53" t="n">
        <f aca="false">IF(AND(ISNUMBER(P327),Q327&gt;0),P327*365/Q327,"")</f>
        <v>0.0561385400738104</v>
      </c>
      <c r="Y327" s="42" t="n">
        <f aca="false">IF(AND(C328=C327,ISNUMBER(R328)),R328,"")</f>
        <v>0.35285504538709</v>
      </c>
      <c r="Z327" s="52" t="n">
        <f aca="false">IF(AND(W327=1,Q327&gt;Basis_Analysis!$B$3,ISNUMBER(Y327)),1,0)</f>
        <v>0</v>
      </c>
      <c r="AA327" s="43" t="str">
        <f aca="false">IF(W327=1,IF(SUMIFS($L$2:$L$756,$B$2:$B$756,B327,$W$2:$W$756,2)&gt;0,SUMIFS($L$2:$L$756,$B$2:$B$756,B327,$W$2:$W$756,2),""),"")</f>
        <v/>
      </c>
      <c r="AB327" s="54" t="str">
        <f aca="false">IF(AND(W327=1,ISNUMBER(AA327)),L327/(L327+AA327),"")</f>
        <v/>
      </c>
    </row>
    <row r="328" customFormat="false" ht="15" hidden="false" customHeight="true" outlineLevel="0" collapsed="false">
      <c r="A328" s="1" t="s">
        <v>274</v>
      </c>
      <c r="B328" s="46" t="n">
        <v>45806</v>
      </c>
      <c r="C328" s="46" t="n">
        <v>45869</v>
      </c>
      <c r="D328" s="47" t="n">
        <v>25079.9</v>
      </c>
      <c r="E328" s="47" t="n">
        <v>25118.4</v>
      </c>
      <c r="F328" s="47" t="n">
        <v>24940</v>
      </c>
      <c r="G328" s="47" t="n">
        <v>25084.3</v>
      </c>
      <c r="H328" s="47" t="n">
        <v>25106.4</v>
      </c>
      <c r="I328" s="47" t="n">
        <v>25084.3</v>
      </c>
      <c r="J328" s="48" t="n">
        <v>17066</v>
      </c>
      <c r="K328" s="47" t="n">
        <v>320297.04</v>
      </c>
      <c r="L328" s="48" t="n">
        <v>2243925</v>
      </c>
      <c r="M328" s="48" t="n">
        <v>781350</v>
      </c>
      <c r="N328" s="47" t="n">
        <v>24833.6</v>
      </c>
      <c r="O328" s="47" t="n">
        <f aca="false">IF(AND(ISNUMBER(G328),ISNUMBER(N328)),G328-N328,"")</f>
        <v>250.700000000001</v>
      </c>
      <c r="P328" s="49" t="n">
        <f aca="false">IF(ISNUMBER(O328),O328/N328,"")</f>
        <v>0.0100951936086593</v>
      </c>
      <c r="Q328" s="50" t="n">
        <f aca="false">C328-B328</f>
        <v>63</v>
      </c>
      <c r="R328" s="51" t="n">
        <f aca="false">IF(AND(C328=C327,ISNUMBER(G328),ISNUMBER(G327)),(G328/G327-1)*100,"")</f>
        <v>0.35285504538709</v>
      </c>
      <c r="S328" s="51" t="n">
        <f aca="false">IF(AND(C328=C327,ISNUMBER(L328),ISNUMBER(L327)),(L328/L327-1)*100,"")</f>
        <v>53.4229013896723</v>
      </c>
      <c r="T328" s="51" t="n">
        <f aca="false">IF(AND(C328=C327,ISNUMBER(G328),ISNUMBER(G327)),G328-G327,"")</f>
        <v>88.2000000000007</v>
      </c>
      <c r="U328" s="1" t="str">
        <f aca="false">IF(OR(NOT(ISNUMBER(R328)),NOT(ISNUMBER(S328))),"Not classified",IF(AND(R328&gt;0,S328&gt;0),"Long buildup (interpretation)",IF(AND(R328&lt;0,S328&gt;0),"Short buildup (interpretation)",IF(AND(R328&gt;0,S328&lt;0),"Short covering (interpretation)",IF(AND(R328&lt;0,S328&lt;0),"Long unwinding (interpretation)","Neutral")))))</f>
        <v>Long buildup (interpretation)</v>
      </c>
      <c r="V328" s="52" t="str">
        <f aca="false">TEXT(B328,"yyyy-mm")</f>
        <v>2025-05</v>
      </c>
      <c r="W328" s="52" t="n">
        <f aca="false">1+COUNTIFS($B$2:$B$756,B328,$C$2:$C$756,"&lt;"&amp;C328)</f>
        <v>3</v>
      </c>
      <c r="X328" s="53" t="n">
        <f aca="false">IF(AND(ISNUMBER(P328),Q328&gt;0),P328*365/Q328,"")</f>
        <v>0.0584880264628672</v>
      </c>
      <c r="Y328" s="42" t="n">
        <f aca="false">IF(AND(C329=C328,ISNUMBER(R329)),R329,"")</f>
        <v>-0.32570173375378</v>
      </c>
      <c r="Z328" s="52" t="n">
        <f aca="false">IF(AND(W328=1,Q328&gt;Basis_Analysis!$B$3,ISNUMBER(Y328)),1,0)</f>
        <v>0</v>
      </c>
      <c r="AA328" s="43" t="str">
        <f aca="false">IF(W328=1,IF(SUMIFS($L$2:$L$756,$B$2:$B$756,B328,$W$2:$W$756,2)&gt;0,SUMIFS($L$2:$L$756,$B$2:$B$756,B328,$W$2:$W$756,2),""),"")</f>
        <v/>
      </c>
      <c r="AB328" s="54" t="str">
        <f aca="false">IF(AND(W328=1,ISNUMBER(AA328)),L328/(L328+AA328),"")</f>
        <v/>
      </c>
    </row>
    <row r="329" customFormat="false" ht="15" hidden="false" customHeight="true" outlineLevel="0" collapsed="false">
      <c r="A329" s="1" t="s">
        <v>274</v>
      </c>
      <c r="B329" s="46" t="n">
        <v>45807</v>
      </c>
      <c r="C329" s="46" t="n">
        <v>45869</v>
      </c>
      <c r="D329" s="47" t="n">
        <v>25120.7</v>
      </c>
      <c r="E329" s="47" t="n">
        <v>25120.7</v>
      </c>
      <c r="F329" s="47" t="n">
        <v>24970</v>
      </c>
      <c r="G329" s="47" t="n">
        <v>25002.6</v>
      </c>
      <c r="H329" s="47" t="n">
        <v>24990</v>
      </c>
      <c r="I329" s="47" t="n">
        <v>25002.6</v>
      </c>
      <c r="J329" s="48" t="n">
        <v>7995</v>
      </c>
      <c r="K329" s="47" t="n">
        <v>150029.25</v>
      </c>
      <c r="L329" s="48" t="n">
        <v>2560950</v>
      </c>
      <c r="M329" s="48" t="n">
        <v>317025</v>
      </c>
      <c r="N329" s="47"/>
      <c r="O329" s="47" t="str">
        <f aca="false">IF(AND(ISNUMBER(G329),ISNUMBER(N329)),G329-N329,"")</f>
        <v/>
      </c>
      <c r="P329" s="49" t="str">
        <f aca="false">IF(ISNUMBER(O329),O329/N329,"")</f>
        <v/>
      </c>
      <c r="Q329" s="50" t="n">
        <f aca="false">C329-B329</f>
        <v>62</v>
      </c>
      <c r="R329" s="51" t="n">
        <f aca="false">IF(AND(C329=C328,ISNUMBER(G329),ISNUMBER(G328)),(G329/G328-1)*100,"")</f>
        <v>-0.32570173375378</v>
      </c>
      <c r="S329" s="51" t="n">
        <f aca="false">IF(AND(C329=C328,ISNUMBER(L329),ISNUMBER(L328)),(L329/L328-1)*100,"")</f>
        <v>14.1281459941843</v>
      </c>
      <c r="T329" s="51" t="n">
        <f aca="false">IF(AND(C329=C328,ISNUMBER(G329),ISNUMBER(G328)),G329-G328,"")</f>
        <v>-81.7000000000007</v>
      </c>
      <c r="U329" s="1" t="str">
        <f aca="false">IF(OR(NOT(ISNUMBER(R329)),NOT(ISNUMBER(S329))),"Not classified",IF(AND(R329&gt;0,S329&gt;0),"Long buildup (interpretation)",IF(AND(R329&lt;0,S329&gt;0),"Short buildup (interpretation)",IF(AND(R329&gt;0,S329&lt;0),"Short covering (interpretation)",IF(AND(R329&lt;0,S329&lt;0),"Long unwinding (interpretation)","Neutral")))))</f>
        <v>Short buildup (interpretation)</v>
      </c>
      <c r="V329" s="52" t="str">
        <f aca="false">TEXT(B329,"yyyy-mm")</f>
        <v>2025-05</v>
      </c>
      <c r="W329" s="52" t="n">
        <f aca="false">1+COUNTIFS($B$2:$B$756,B329,$C$2:$C$756,"&lt;"&amp;C329)</f>
        <v>2</v>
      </c>
      <c r="X329" s="53" t="str">
        <f aca="false">IF(AND(ISNUMBER(P329),Q329&gt;0),P329*365/Q329,"")</f>
        <v/>
      </c>
      <c r="Y329" s="42" t="n">
        <f aca="false">IF(AND(C330=C329,ISNUMBER(R330)),R330,"")</f>
        <v>-0.147984609600604</v>
      </c>
      <c r="Z329" s="52" t="n">
        <f aca="false">IF(AND(W329=1,Q329&gt;Basis_Analysis!$B$3,ISNUMBER(Y329)),1,0)</f>
        <v>0</v>
      </c>
      <c r="AA329" s="43" t="str">
        <f aca="false">IF(W329=1,IF(SUMIFS($L$2:$L$756,$B$2:$B$756,B329,$W$2:$W$756,2)&gt;0,SUMIFS($L$2:$L$756,$B$2:$B$756,B329,$W$2:$W$756,2),""),"")</f>
        <v/>
      </c>
      <c r="AB329" s="54" t="str">
        <f aca="false">IF(AND(W329=1,ISNUMBER(AA329)),L329/(L329+AA329),"")</f>
        <v/>
      </c>
    </row>
    <row r="330" customFormat="false" ht="15" hidden="false" customHeight="true" outlineLevel="0" collapsed="false">
      <c r="A330" s="1" t="s">
        <v>274</v>
      </c>
      <c r="B330" s="46" t="n">
        <v>45810</v>
      </c>
      <c r="C330" s="46" t="n">
        <v>45869</v>
      </c>
      <c r="D330" s="47" t="n">
        <v>24936.8</v>
      </c>
      <c r="E330" s="47" t="n">
        <v>25004.3</v>
      </c>
      <c r="F330" s="47" t="n">
        <v>24743.6</v>
      </c>
      <c r="G330" s="47" t="n">
        <v>24965.6</v>
      </c>
      <c r="H330" s="47" t="n">
        <v>24935</v>
      </c>
      <c r="I330" s="47" t="n">
        <v>24965.6</v>
      </c>
      <c r="J330" s="48" t="n">
        <v>8889</v>
      </c>
      <c r="K330" s="47" t="n">
        <v>165976.64</v>
      </c>
      <c r="L330" s="48" t="n">
        <v>2828025</v>
      </c>
      <c r="M330" s="48" t="n">
        <v>267075</v>
      </c>
      <c r="N330" s="47" t="n">
        <v>24716.6</v>
      </c>
      <c r="O330" s="47" t="n">
        <f aca="false">IF(AND(ISNUMBER(G330),ISNUMBER(N330)),G330-N330,"")</f>
        <v>249</v>
      </c>
      <c r="P330" s="49" t="n">
        <f aca="false">IF(ISNUMBER(O330),O330/N330,"")</f>
        <v>0.0100742011441703</v>
      </c>
      <c r="Q330" s="50" t="n">
        <f aca="false">C330-B330</f>
        <v>59</v>
      </c>
      <c r="R330" s="51" t="n">
        <f aca="false">IF(AND(C330=C329,ISNUMBER(G330),ISNUMBER(G329)),(G330/G329-1)*100,"")</f>
        <v>-0.147984609600604</v>
      </c>
      <c r="S330" s="51" t="n">
        <f aca="false">IF(AND(C330=C329,ISNUMBER(L330),ISNUMBER(L329)),(L330/L329-1)*100,"")</f>
        <v>10.4287471446143</v>
      </c>
      <c r="T330" s="51" t="n">
        <f aca="false">IF(AND(C330=C329,ISNUMBER(G330),ISNUMBER(G329)),G330-G329,"")</f>
        <v>-37</v>
      </c>
      <c r="U330" s="1" t="str">
        <f aca="false">IF(OR(NOT(ISNUMBER(R330)),NOT(ISNUMBER(S330))),"Not classified",IF(AND(R330&gt;0,S330&gt;0),"Long buildup (interpretation)",IF(AND(R330&lt;0,S330&gt;0),"Short buildup (interpretation)",IF(AND(R330&gt;0,S330&lt;0),"Short covering (interpretation)",IF(AND(R330&lt;0,S330&lt;0),"Long unwinding (interpretation)","Neutral")))))</f>
        <v>Short buildup (interpretation)</v>
      </c>
      <c r="V330" s="52" t="str">
        <f aca="false">TEXT(B330,"yyyy-mm")</f>
        <v>2025-06</v>
      </c>
      <c r="W330" s="52" t="n">
        <f aca="false">1+COUNTIFS($B$2:$B$756,B330,$C$2:$C$756,"&lt;"&amp;C330)</f>
        <v>2</v>
      </c>
      <c r="X330" s="53" t="n">
        <f aca="false">IF(AND(ISNUMBER(P330),Q330&gt;0),P330*365/Q330,"")</f>
        <v>0.0623234477563079</v>
      </c>
      <c r="Y330" s="42" t="n">
        <f aca="false">IF(AND(C331=C330,ISNUMBER(R331)),R331,"")</f>
        <v>-0.598423430640549</v>
      </c>
      <c r="Z330" s="52" t="n">
        <f aca="false">IF(AND(W330=1,Q330&gt;Basis_Analysis!$B$3,ISNUMBER(Y330)),1,0)</f>
        <v>0</v>
      </c>
      <c r="AA330" s="43" t="str">
        <f aca="false">IF(W330=1,IF(SUMIFS($L$2:$L$756,$B$2:$B$756,B330,$W$2:$W$756,2)&gt;0,SUMIFS($L$2:$L$756,$B$2:$B$756,B330,$W$2:$W$756,2),""),"")</f>
        <v/>
      </c>
      <c r="AB330" s="54" t="str">
        <f aca="false">IF(AND(W330=1,ISNUMBER(AA330)),L330/(L330+AA330),"")</f>
        <v/>
      </c>
    </row>
    <row r="331" customFormat="false" ht="15" hidden="false" customHeight="true" outlineLevel="0" collapsed="false">
      <c r="A331" s="1" t="s">
        <v>274</v>
      </c>
      <c r="B331" s="46" t="n">
        <v>45811</v>
      </c>
      <c r="C331" s="46" t="n">
        <v>45869</v>
      </c>
      <c r="D331" s="47" t="n">
        <v>25019.9</v>
      </c>
      <c r="E331" s="47" t="n">
        <v>25064.9</v>
      </c>
      <c r="F331" s="47" t="n">
        <v>24765</v>
      </c>
      <c r="G331" s="47" t="n">
        <v>24816.2</v>
      </c>
      <c r="H331" s="47" t="n">
        <v>24781.1</v>
      </c>
      <c r="I331" s="47" t="n">
        <v>24816.2</v>
      </c>
      <c r="J331" s="48" t="n">
        <v>15673</v>
      </c>
      <c r="K331" s="47" t="n">
        <v>292173.84</v>
      </c>
      <c r="L331" s="48" t="n">
        <v>3503250</v>
      </c>
      <c r="M331" s="48" t="n">
        <v>675225</v>
      </c>
      <c r="N331" s="47" t="n">
        <v>24542.5</v>
      </c>
      <c r="O331" s="47" t="n">
        <f aca="false">IF(AND(ISNUMBER(G331),ISNUMBER(N331)),G331-N331,"")</f>
        <v>273.700000000001</v>
      </c>
      <c r="P331" s="49" t="n">
        <f aca="false">IF(ISNUMBER(O331),O331/N331,"")</f>
        <v>0.0111520831211165</v>
      </c>
      <c r="Q331" s="50" t="n">
        <f aca="false">C331-B331</f>
        <v>58</v>
      </c>
      <c r="R331" s="51" t="n">
        <f aca="false">IF(AND(C331=C330,ISNUMBER(G331),ISNUMBER(G330)),(G331/G330-1)*100,"")</f>
        <v>-0.598423430640549</v>
      </c>
      <c r="S331" s="51" t="n">
        <f aca="false">IF(AND(C331=C330,ISNUMBER(L331),ISNUMBER(L330)),(L331/L330-1)*100,"")</f>
        <v>23.8762033574668</v>
      </c>
      <c r="T331" s="51" t="n">
        <f aca="false">IF(AND(C331=C330,ISNUMBER(G331),ISNUMBER(G330)),G331-G330,"")</f>
        <v>-149.399999999998</v>
      </c>
      <c r="U331" s="1" t="str">
        <f aca="false">IF(OR(NOT(ISNUMBER(R331)),NOT(ISNUMBER(S331))),"Not classified",IF(AND(R331&gt;0,S331&gt;0),"Long buildup (interpretation)",IF(AND(R331&lt;0,S331&gt;0),"Short buildup (interpretation)",IF(AND(R331&gt;0,S331&lt;0),"Short covering (interpretation)",IF(AND(R331&lt;0,S331&lt;0),"Long unwinding (interpretation)","Neutral")))))</f>
        <v>Short buildup (interpretation)</v>
      </c>
      <c r="V331" s="52" t="str">
        <f aca="false">TEXT(B331,"yyyy-mm")</f>
        <v>2025-06</v>
      </c>
      <c r="W331" s="52" t="n">
        <f aca="false">1+COUNTIFS($B$2:$B$756,B331,$C$2:$C$756,"&lt;"&amp;C331)</f>
        <v>2</v>
      </c>
      <c r="X331" s="53" t="n">
        <f aca="false">IF(AND(ISNUMBER(P331),Q331&gt;0),P331*365/Q331,"")</f>
        <v>0.070181212744957</v>
      </c>
      <c r="Y331" s="42" t="n">
        <f aca="false">IF(AND(C332=C331,ISNUMBER(R332)),R332,"")</f>
        <v>0.19825758980021</v>
      </c>
      <c r="Z331" s="52" t="n">
        <f aca="false">IF(AND(W331=1,Q331&gt;Basis_Analysis!$B$3,ISNUMBER(Y331)),1,0)</f>
        <v>0</v>
      </c>
      <c r="AA331" s="43" t="str">
        <f aca="false">IF(W331=1,IF(SUMIFS($L$2:$L$756,$B$2:$B$756,B331,$W$2:$W$756,2)&gt;0,SUMIFS($L$2:$L$756,$B$2:$B$756,B331,$W$2:$W$756,2),""),"")</f>
        <v/>
      </c>
      <c r="AB331" s="54" t="str">
        <f aca="false">IF(AND(W331=1,ISNUMBER(AA331)),L331/(L331+AA331),"")</f>
        <v/>
      </c>
    </row>
    <row r="332" customFormat="false" ht="15" hidden="false" customHeight="true" outlineLevel="0" collapsed="false">
      <c r="A332" s="1" t="s">
        <v>274</v>
      </c>
      <c r="B332" s="46" t="n">
        <v>45812</v>
      </c>
      <c r="C332" s="46" t="n">
        <v>45869</v>
      </c>
      <c r="D332" s="47" t="n">
        <v>24770.8</v>
      </c>
      <c r="E332" s="47" t="n">
        <v>24894.2</v>
      </c>
      <c r="F332" s="47" t="n">
        <v>24770.8</v>
      </c>
      <c r="G332" s="47" t="n">
        <v>24865.4</v>
      </c>
      <c r="H332" s="47" t="n">
        <v>24855</v>
      </c>
      <c r="I332" s="47" t="n">
        <v>24865.4</v>
      </c>
      <c r="J332" s="48" t="n">
        <v>9423</v>
      </c>
      <c r="K332" s="47" t="n">
        <v>175613.43</v>
      </c>
      <c r="L332" s="48" t="n">
        <v>3963375</v>
      </c>
      <c r="M332" s="48" t="n">
        <v>460125</v>
      </c>
      <c r="N332" s="47" t="n">
        <v>24620.2</v>
      </c>
      <c r="O332" s="47" t="n">
        <f aca="false">IF(AND(ISNUMBER(G332),ISNUMBER(N332)),G332-N332,"")</f>
        <v>245.200000000001</v>
      </c>
      <c r="P332" s="49" t="n">
        <f aca="false">IF(ISNUMBER(O332),O332/N332,"")</f>
        <v>0.0099593017116027</v>
      </c>
      <c r="Q332" s="50" t="n">
        <f aca="false">C332-B332</f>
        <v>57</v>
      </c>
      <c r="R332" s="51" t="n">
        <f aca="false">IF(AND(C332=C331,ISNUMBER(G332),ISNUMBER(G331)),(G332/G331-1)*100,"")</f>
        <v>0.19825758980021</v>
      </c>
      <c r="S332" s="51" t="n">
        <f aca="false">IF(AND(C332=C331,ISNUMBER(L332),ISNUMBER(L331)),(L332/L331-1)*100,"")</f>
        <v>13.1342324983943</v>
      </c>
      <c r="T332" s="51" t="n">
        <f aca="false">IF(AND(C332=C331,ISNUMBER(G332),ISNUMBER(G331)),G332-G331,"")</f>
        <v>49.2000000000007</v>
      </c>
      <c r="U332" s="1" t="str">
        <f aca="false">IF(OR(NOT(ISNUMBER(R332)),NOT(ISNUMBER(S332))),"Not classified",IF(AND(R332&gt;0,S332&gt;0),"Long buildup (interpretation)",IF(AND(R332&lt;0,S332&gt;0),"Short buildup (interpretation)",IF(AND(R332&gt;0,S332&lt;0),"Short covering (interpretation)",IF(AND(R332&lt;0,S332&lt;0),"Long unwinding (interpretation)","Neutral")))))</f>
        <v>Long buildup (interpretation)</v>
      </c>
      <c r="V332" s="52" t="str">
        <f aca="false">TEXT(B332,"yyyy-mm")</f>
        <v>2025-06</v>
      </c>
      <c r="W332" s="52" t="n">
        <f aca="false">1+COUNTIFS($B$2:$B$756,B332,$C$2:$C$756,"&lt;"&amp;C332)</f>
        <v>2</v>
      </c>
      <c r="X332" s="53" t="n">
        <f aca="false">IF(AND(ISNUMBER(P332),Q332&gt;0),P332*365/Q332,"")</f>
        <v>0.0637744758725436</v>
      </c>
      <c r="Y332" s="42" t="n">
        <f aca="false">IF(AND(C333=C332,ISNUMBER(R333)),R333,"")</f>
        <v>0.537694949608691</v>
      </c>
      <c r="Z332" s="52" t="n">
        <f aca="false">IF(AND(W332=1,Q332&gt;Basis_Analysis!$B$3,ISNUMBER(Y332)),1,0)</f>
        <v>0</v>
      </c>
      <c r="AA332" s="43" t="str">
        <f aca="false">IF(W332=1,IF(SUMIFS($L$2:$L$756,$B$2:$B$756,B332,$W$2:$W$756,2)&gt;0,SUMIFS($L$2:$L$756,$B$2:$B$756,B332,$W$2:$W$756,2),""),"")</f>
        <v/>
      </c>
      <c r="AB332" s="54" t="str">
        <f aca="false">IF(AND(W332=1,ISNUMBER(AA332)),L332/(L332+AA332),"")</f>
        <v/>
      </c>
    </row>
    <row r="333" customFormat="false" ht="15" hidden="false" customHeight="true" outlineLevel="0" collapsed="false">
      <c r="A333" s="1" t="s">
        <v>274</v>
      </c>
      <c r="B333" s="46" t="n">
        <v>45813</v>
      </c>
      <c r="C333" s="46" t="n">
        <v>45869</v>
      </c>
      <c r="D333" s="47" t="n">
        <v>24827.5</v>
      </c>
      <c r="E333" s="47" t="n">
        <v>25143</v>
      </c>
      <c r="F333" s="47" t="n">
        <v>24827.5</v>
      </c>
      <c r="G333" s="47" t="n">
        <v>24999.1</v>
      </c>
      <c r="H333" s="47" t="n">
        <v>25004.6</v>
      </c>
      <c r="I333" s="47" t="n">
        <v>24999.1</v>
      </c>
      <c r="J333" s="48" t="n">
        <v>17955</v>
      </c>
      <c r="K333" s="47" t="n">
        <v>336940.27</v>
      </c>
      <c r="L333" s="48" t="n">
        <v>4818150</v>
      </c>
      <c r="M333" s="48" t="n">
        <v>854775</v>
      </c>
      <c r="N333" s="47" t="n">
        <v>24750.9</v>
      </c>
      <c r="O333" s="47" t="n">
        <f aca="false">IF(AND(ISNUMBER(G333),ISNUMBER(N333)),G333-N333,"")</f>
        <v>248.199999999997</v>
      </c>
      <c r="P333" s="49" t="n">
        <f aca="false">IF(ISNUMBER(O333),O333/N333,"")</f>
        <v>0.0100279181767126</v>
      </c>
      <c r="Q333" s="50" t="n">
        <f aca="false">C333-B333</f>
        <v>56</v>
      </c>
      <c r="R333" s="51" t="n">
        <f aca="false">IF(AND(C333=C332,ISNUMBER(G333),ISNUMBER(G332)),(G333/G332-1)*100,"")</f>
        <v>0.537694949608691</v>
      </c>
      <c r="S333" s="51" t="n">
        <f aca="false">IF(AND(C333=C332,ISNUMBER(L333),ISNUMBER(L332)),(L333/L332-1)*100,"")</f>
        <v>21.5668464376952</v>
      </c>
      <c r="T333" s="51" t="n">
        <f aca="false">IF(AND(C333=C332,ISNUMBER(G333),ISNUMBER(G332)),G333-G332,"")</f>
        <v>133.699999999997</v>
      </c>
      <c r="U333" s="1" t="str">
        <f aca="false">IF(OR(NOT(ISNUMBER(R333)),NOT(ISNUMBER(S333))),"Not classified",IF(AND(R333&gt;0,S333&gt;0),"Long buildup (interpretation)",IF(AND(R333&lt;0,S333&gt;0),"Short buildup (interpretation)",IF(AND(R333&gt;0,S333&lt;0),"Short covering (interpretation)",IF(AND(R333&lt;0,S333&lt;0),"Long unwinding (interpretation)","Neutral")))))</f>
        <v>Long buildup (interpretation)</v>
      </c>
      <c r="V333" s="52" t="str">
        <f aca="false">TEXT(B333,"yyyy-mm")</f>
        <v>2025-06</v>
      </c>
      <c r="W333" s="52" t="n">
        <f aca="false">1+COUNTIFS($B$2:$B$756,B333,$C$2:$C$756,"&lt;"&amp;C333)</f>
        <v>2</v>
      </c>
      <c r="X333" s="53" t="n">
        <f aca="false">IF(AND(ISNUMBER(P333),Q333&gt;0),P333*365/Q333,"")</f>
        <v>0.0653605381160735</v>
      </c>
      <c r="Y333" s="42" t="n">
        <f aca="false">IF(AND(C334=C333,ISNUMBER(R334)),R334,"")</f>
        <v>0.911232804380968</v>
      </c>
      <c r="Z333" s="52" t="n">
        <f aca="false">IF(AND(W333=1,Q333&gt;Basis_Analysis!$B$3,ISNUMBER(Y333)),1,0)</f>
        <v>0</v>
      </c>
      <c r="AA333" s="43" t="str">
        <f aca="false">IF(W333=1,IF(SUMIFS($L$2:$L$756,$B$2:$B$756,B333,$W$2:$W$756,2)&gt;0,SUMIFS($L$2:$L$756,$B$2:$B$756,B333,$W$2:$W$756,2),""),"")</f>
        <v/>
      </c>
      <c r="AB333" s="54" t="str">
        <f aca="false">IF(AND(W333=1,ISNUMBER(AA333)),L333/(L333+AA333),"")</f>
        <v/>
      </c>
    </row>
    <row r="334" customFormat="false" ht="15" hidden="false" customHeight="true" outlineLevel="0" collapsed="false">
      <c r="A334" s="1" t="s">
        <v>274</v>
      </c>
      <c r="B334" s="46" t="n">
        <v>45814</v>
      </c>
      <c r="C334" s="46" t="n">
        <v>45869</v>
      </c>
      <c r="D334" s="47" t="n">
        <v>25000</v>
      </c>
      <c r="E334" s="47" t="n">
        <v>25265</v>
      </c>
      <c r="F334" s="47" t="n">
        <v>24888.2</v>
      </c>
      <c r="G334" s="47" t="n">
        <v>25226.9</v>
      </c>
      <c r="H334" s="47" t="n">
        <v>25219.6</v>
      </c>
      <c r="I334" s="47" t="n">
        <v>25226.9</v>
      </c>
      <c r="J334" s="48" t="n">
        <v>11244</v>
      </c>
      <c r="K334" s="47" t="n">
        <v>212065.34</v>
      </c>
      <c r="L334" s="48" t="n">
        <v>5003250</v>
      </c>
      <c r="M334" s="48" t="n">
        <v>185100</v>
      </c>
      <c r="N334" s="47" t="n">
        <v>25003.05</v>
      </c>
      <c r="O334" s="47" t="n">
        <f aca="false">IF(AND(ISNUMBER(G334),ISNUMBER(N334)),G334-N334,"")</f>
        <v>223.850000000002</v>
      </c>
      <c r="P334" s="49" t="n">
        <f aca="false">IF(ISNUMBER(O334),O334/N334,"")</f>
        <v>0.00895290774525517</v>
      </c>
      <c r="Q334" s="50" t="n">
        <f aca="false">C334-B334</f>
        <v>55</v>
      </c>
      <c r="R334" s="51" t="n">
        <f aca="false">IF(AND(C334=C333,ISNUMBER(G334),ISNUMBER(G333)),(G334/G333-1)*100,"")</f>
        <v>0.911232804380968</v>
      </c>
      <c r="S334" s="51" t="n">
        <f aca="false">IF(AND(C334=C333,ISNUMBER(L334),ISNUMBER(L333)),(L334/L333-1)*100,"")</f>
        <v>3.84172348307961</v>
      </c>
      <c r="T334" s="51" t="n">
        <f aca="false">IF(AND(C334=C333,ISNUMBER(G334),ISNUMBER(G333)),G334-G333,"")</f>
        <v>227.800000000003</v>
      </c>
      <c r="U334" s="1" t="str">
        <f aca="false">IF(OR(NOT(ISNUMBER(R334)),NOT(ISNUMBER(S334))),"Not classified",IF(AND(R334&gt;0,S334&gt;0),"Long buildup (interpretation)",IF(AND(R334&lt;0,S334&gt;0),"Short buildup (interpretation)",IF(AND(R334&gt;0,S334&lt;0),"Short covering (interpretation)",IF(AND(R334&lt;0,S334&lt;0),"Long unwinding (interpretation)","Neutral")))))</f>
        <v>Long buildup (interpretation)</v>
      </c>
      <c r="V334" s="52" t="str">
        <f aca="false">TEXT(B334,"yyyy-mm")</f>
        <v>2025-06</v>
      </c>
      <c r="W334" s="52" t="n">
        <f aca="false">1+COUNTIFS($B$2:$B$756,B334,$C$2:$C$756,"&lt;"&amp;C334)</f>
        <v>2</v>
      </c>
      <c r="X334" s="53" t="n">
        <f aca="false">IF(AND(ISNUMBER(P334),Q334&gt;0),P334*365/Q334,"")</f>
        <v>0.0594147514003297</v>
      </c>
      <c r="Y334" s="42" t="n">
        <f aca="false">IF(AND(C335=C334,ISNUMBER(R335)),R335,"")</f>
        <v>0.3555728210759</v>
      </c>
      <c r="Z334" s="52" t="n">
        <f aca="false">IF(AND(W334=1,Q334&gt;Basis_Analysis!$B$3,ISNUMBER(Y334)),1,0)</f>
        <v>0</v>
      </c>
      <c r="AA334" s="43" t="str">
        <f aca="false">IF(W334=1,IF(SUMIFS($L$2:$L$756,$B$2:$B$756,B334,$W$2:$W$756,2)&gt;0,SUMIFS($L$2:$L$756,$B$2:$B$756,B334,$W$2:$W$756,2),""),"")</f>
        <v/>
      </c>
      <c r="AB334" s="54" t="str">
        <f aca="false">IF(AND(W334=1,ISNUMBER(AA334)),L334/(L334+AA334),"")</f>
        <v/>
      </c>
    </row>
    <row r="335" customFormat="false" ht="15" hidden="false" customHeight="true" outlineLevel="0" collapsed="false">
      <c r="A335" s="1" t="s">
        <v>274</v>
      </c>
      <c r="B335" s="46" t="n">
        <v>45817</v>
      </c>
      <c r="C335" s="46" t="n">
        <v>45869</v>
      </c>
      <c r="D335" s="47" t="n">
        <v>25340.9</v>
      </c>
      <c r="E335" s="47" t="n">
        <v>25342.8</v>
      </c>
      <c r="F335" s="47" t="n">
        <v>25282.7</v>
      </c>
      <c r="G335" s="47" t="n">
        <v>25316.6</v>
      </c>
      <c r="H335" s="47" t="n">
        <v>25318</v>
      </c>
      <c r="I335" s="47" t="n">
        <v>25316.6</v>
      </c>
      <c r="J335" s="48" t="n">
        <v>6755</v>
      </c>
      <c r="K335" s="47" t="n">
        <v>128245.97</v>
      </c>
      <c r="L335" s="48" t="n">
        <v>5245950</v>
      </c>
      <c r="M335" s="48" t="n">
        <v>242700</v>
      </c>
      <c r="N335" s="47" t="n">
        <v>25103.2</v>
      </c>
      <c r="O335" s="47" t="n">
        <f aca="false">IF(AND(ISNUMBER(G335),ISNUMBER(N335)),G335-N335,"")</f>
        <v>213.399999999998</v>
      </c>
      <c r="P335" s="49" t="n">
        <f aca="false">IF(ISNUMBER(O335),O335/N335,"")</f>
        <v>0.00850090825074086</v>
      </c>
      <c r="Q335" s="50" t="n">
        <f aca="false">C335-B335</f>
        <v>52</v>
      </c>
      <c r="R335" s="51" t="n">
        <f aca="false">IF(AND(C335=C334,ISNUMBER(G335),ISNUMBER(G334)),(G335/G334-1)*100,"")</f>
        <v>0.3555728210759</v>
      </c>
      <c r="S335" s="51" t="n">
        <f aca="false">IF(AND(C335=C334,ISNUMBER(L335),ISNUMBER(L334)),(L335/L334-1)*100,"")</f>
        <v>4.85084694948283</v>
      </c>
      <c r="T335" s="51" t="n">
        <f aca="false">IF(AND(C335=C334,ISNUMBER(G335),ISNUMBER(G334)),G335-G334,"")</f>
        <v>89.6999999999971</v>
      </c>
      <c r="U335" s="1" t="str">
        <f aca="false">IF(OR(NOT(ISNUMBER(R335)),NOT(ISNUMBER(S335))),"Not classified",IF(AND(R335&gt;0,S335&gt;0),"Long buildup (interpretation)",IF(AND(R335&lt;0,S335&gt;0),"Short buildup (interpretation)",IF(AND(R335&gt;0,S335&lt;0),"Short covering (interpretation)",IF(AND(R335&lt;0,S335&lt;0),"Long unwinding (interpretation)","Neutral")))))</f>
        <v>Long buildup (interpretation)</v>
      </c>
      <c r="V335" s="52" t="str">
        <f aca="false">TEXT(B335,"yyyy-mm")</f>
        <v>2025-06</v>
      </c>
      <c r="W335" s="52" t="n">
        <f aca="false">1+COUNTIFS($B$2:$B$756,B335,$C$2:$C$756,"&lt;"&amp;C335)</f>
        <v>2</v>
      </c>
      <c r="X335" s="53" t="n">
        <f aca="false">IF(AND(ISNUMBER(P335),Q335&gt;0),P335*365/Q335,"")</f>
        <v>0.0596698367600079</v>
      </c>
      <c r="Y335" s="42" t="n">
        <f aca="false">IF(AND(C336=C335,ISNUMBER(R336)),R336,"")</f>
        <v>-0.085319513678761</v>
      </c>
      <c r="Z335" s="52" t="n">
        <f aca="false">IF(AND(W335=1,Q335&gt;Basis_Analysis!$B$3,ISNUMBER(Y335)),1,0)</f>
        <v>0</v>
      </c>
      <c r="AA335" s="43" t="str">
        <f aca="false">IF(W335=1,IF(SUMIFS($L$2:$L$756,$B$2:$B$756,B335,$W$2:$W$756,2)&gt;0,SUMIFS($L$2:$L$756,$B$2:$B$756,B335,$W$2:$W$756,2),""),"")</f>
        <v/>
      </c>
      <c r="AB335" s="54" t="str">
        <f aca="false">IF(AND(W335=1,ISNUMBER(AA335)),L335/(L335+AA335),"")</f>
        <v/>
      </c>
    </row>
    <row r="336" customFormat="false" ht="15" hidden="false" customHeight="true" outlineLevel="0" collapsed="false">
      <c r="A336" s="1" t="s">
        <v>274</v>
      </c>
      <c r="B336" s="46" t="n">
        <v>45818</v>
      </c>
      <c r="C336" s="46" t="n">
        <v>45869</v>
      </c>
      <c r="D336" s="47" t="n">
        <v>25350</v>
      </c>
      <c r="E336" s="47" t="n">
        <v>25380</v>
      </c>
      <c r="F336" s="47" t="n">
        <v>25262.3</v>
      </c>
      <c r="G336" s="47" t="n">
        <v>25295</v>
      </c>
      <c r="H336" s="47" t="n">
        <v>25290.1</v>
      </c>
      <c r="I336" s="47" t="n">
        <v>25295</v>
      </c>
      <c r="J336" s="48" t="n">
        <v>4343</v>
      </c>
      <c r="K336" s="47" t="n">
        <v>82514.62</v>
      </c>
      <c r="L336" s="48" t="n">
        <v>5335200</v>
      </c>
      <c r="M336" s="48" t="n">
        <v>89250</v>
      </c>
      <c r="N336" s="47" t="n">
        <v>25104.25</v>
      </c>
      <c r="O336" s="47" t="n">
        <f aca="false">IF(AND(ISNUMBER(G336),ISNUMBER(N336)),G336-N336,"")</f>
        <v>190.75</v>
      </c>
      <c r="P336" s="49" t="n">
        <f aca="false">IF(ISNUMBER(O336),O336/N336,"")</f>
        <v>0.00759831502634016</v>
      </c>
      <c r="Q336" s="50" t="n">
        <f aca="false">C336-B336</f>
        <v>51</v>
      </c>
      <c r="R336" s="51" t="n">
        <f aca="false">IF(AND(C336=C335,ISNUMBER(G336),ISNUMBER(G335)),(G336/G335-1)*100,"")</f>
        <v>-0.085319513678761</v>
      </c>
      <c r="S336" s="51" t="n">
        <f aca="false">IF(AND(C336=C335,ISNUMBER(L336),ISNUMBER(L335)),(L336/L335-1)*100,"")</f>
        <v>1.70131244102594</v>
      </c>
      <c r="T336" s="51" t="n">
        <f aca="false">IF(AND(C336=C335,ISNUMBER(G336),ISNUMBER(G335)),G336-G335,"")</f>
        <v>-21.5999999999985</v>
      </c>
      <c r="U336" s="1" t="str">
        <f aca="false">IF(OR(NOT(ISNUMBER(R336)),NOT(ISNUMBER(S336))),"Not classified",IF(AND(R336&gt;0,S336&gt;0),"Long buildup (interpretation)",IF(AND(R336&lt;0,S336&gt;0),"Short buildup (interpretation)",IF(AND(R336&gt;0,S336&lt;0),"Short covering (interpretation)",IF(AND(R336&lt;0,S336&lt;0),"Long unwinding (interpretation)","Neutral")))))</f>
        <v>Short buildup (interpretation)</v>
      </c>
      <c r="V336" s="52" t="str">
        <f aca="false">TEXT(B336,"yyyy-mm")</f>
        <v>2025-06</v>
      </c>
      <c r="W336" s="52" t="n">
        <f aca="false">1+COUNTIFS($B$2:$B$756,B336,$C$2:$C$756,"&lt;"&amp;C336)</f>
        <v>2</v>
      </c>
      <c r="X336" s="53" t="n">
        <f aca="false">IF(AND(ISNUMBER(P336),Q336&gt;0),P336*365/Q336,"")</f>
        <v>0.0543800977375325</v>
      </c>
      <c r="Y336" s="42" t="n">
        <f aca="false">IF(AND(C337=C336,ISNUMBER(R337)),R337,"")</f>
        <v>0.187388812018185</v>
      </c>
      <c r="Z336" s="52" t="n">
        <f aca="false">IF(AND(W336=1,Q336&gt;Basis_Analysis!$B$3,ISNUMBER(Y336)),1,0)</f>
        <v>0</v>
      </c>
      <c r="AA336" s="43" t="str">
        <f aca="false">IF(W336=1,IF(SUMIFS($L$2:$L$756,$B$2:$B$756,B336,$W$2:$W$756,2)&gt;0,SUMIFS($L$2:$L$756,$B$2:$B$756,B336,$W$2:$W$756,2),""),"")</f>
        <v/>
      </c>
      <c r="AB336" s="54" t="str">
        <f aca="false">IF(AND(W336=1,ISNUMBER(AA336)),L336/(L336+AA336),"")</f>
        <v/>
      </c>
    </row>
    <row r="337" customFormat="false" ht="15" hidden="false" customHeight="true" outlineLevel="0" collapsed="false">
      <c r="A337" s="1" t="s">
        <v>274</v>
      </c>
      <c r="B337" s="46" t="n">
        <v>45819</v>
      </c>
      <c r="C337" s="46" t="n">
        <v>45869</v>
      </c>
      <c r="D337" s="47" t="n">
        <v>25290.1</v>
      </c>
      <c r="E337" s="47" t="n">
        <v>25435</v>
      </c>
      <c r="F337" s="47" t="n">
        <v>25274.7</v>
      </c>
      <c r="G337" s="47" t="n">
        <v>25342.4</v>
      </c>
      <c r="H337" s="47" t="n">
        <v>25330</v>
      </c>
      <c r="I337" s="47" t="n">
        <v>25342.4</v>
      </c>
      <c r="J337" s="48" t="n">
        <v>5292</v>
      </c>
      <c r="K337" s="47" t="n">
        <v>100708.25</v>
      </c>
      <c r="L337" s="48" t="n">
        <v>5408250</v>
      </c>
      <c r="M337" s="48" t="n">
        <v>73050</v>
      </c>
      <c r="N337" s="47" t="n">
        <v>25141.4</v>
      </c>
      <c r="O337" s="47" t="n">
        <f aca="false">IF(AND(ISNUMBER(G337),ISNUMBER(N337)),G337-N337,"")</f>
        <v>201</v>
      </c>
      <c r="P337" s="49" t="n">
        <f aca="false">IF(ISNUMBER(O337),O337/N337,"")</f>
        <v>0.00799478151574693</v>
      </c>
      <c r="Q337" s="50" t="n">
        <f aca="false">C337-B337</f>
        <v>50</v>
      </c>
      <c r="R337" s="51" t="n">
        <f aca="false">IF(AND(C337=C336,ISNUMBER(G337),ISNUMBER(G336)),(G337/G336-1)*100,"")</f>
        <v>0.187388812018185</v>
      </c>
      <c r="S337" s="51" t="n">
        <f aca="false">IF(AND(C337=C336,ISNUMBER(L337),ISNUMBER(L336)),(L337/L336-1)*100,"")</f>
        <v>1.36920827710301</v>
      </c>
      <c r="T337" s="51" t="n">
        <f aca="false">IF(AND(C337=C336,ISNUMBER(G337),ISNUMBER(G336)),G337-G336,"")</f>
        <v>47.4000000000015</v>
      </c>
      <c r="U337" s="1" t="str">
        <f aca="false">IF(OR(NOT(ISNUMBER(R337)),NOT(ISNUMBER(S337))),"Not classified",IF(AND(R337&gt;0,S337&gt;0),"Long buildup (interpretation)",IF(AND(R337&lt;0,S337&gt;0),"Short buildup (interpretation)",IF(AND(R337&gt;0,S337&lt;0),"Short covering (interpretation)",IF(AND(R337&lt;0,S337&lt;0),"Long unwinding (interpretation)","Neutral")))))</f>
        <v>Long buildup (interpretation)</v>
      </c>
      <c r="V337" s="52" t="str">
        <f aca="false">TEXT(B337,"yyyy-mm")</f>
        <v>2025-06</v>
      </c>
      <c r="W337" s="52" t="n">
        <f aca="false">1+COUNTIFS($B$2:$B$756,B337,$C$2:$C$756,"&lt;"&amp;C337)</f>
        <v>2</v>
      </c>
      <c r="X337" s="53" t="n">
        <f aca="false">IF(AND(ISNUMBER(P337),Q337&gt;0),P337*365/Q337,"")</f>
        <v>0.0583619050649526</v>
      </c>
      <c r="Y337" s="42" t="n">
        <f aca="false">IF(AND(C338=C337,ISNUMBER(R338)),R338,"")</f>
        <v>-1.08000820758887</v>
      </c>
      <c r="Z337" s="52" t="n">
        <f aca="false">IF(AND(W337=1,Q337&gt;Basis_Analysis!$B$3,ISNUMBER(Y337)),1,0)</f>
        <v>0</v>
      </c>
      <c r="AA337" s="43" t="str">
        <f aca="false">IF(W337=1,IF(SUMIFS($L$2:$L$756,$B$2:$B$756,B337,$W$2:$W$756,2)&gt;0,SUMIFS($L$2:$L$756,$B$2:$B$756,B337,$W$2:$W$756,2),""),"")</f>
        <v/>
      </c>
      <c r="AB337" s="54" t="str">
        <f aca="false">IF(AND(W337=1,ISNUMBER(AA337)),L337/(L337+AA337),"")</f>
        <v/>
      </c>
    </row>
    <row r="338" customFormat="false" ht="15" hidden="false" customHeight="true" outlineLevel="0" collapsed="false">
      <c r="A338" s="1" t="s">
        <v>274</v>
      </c>
      <c r="B338" s="46" t="n">
        <v>45820</v>
      </c>
      <c r="C338" s="46" t="n">
        <v>45869</v>
      </c>
      <c r="D338" s="47" t="n">
        <v>25337.8</v>
      </c>
      <c r="E338" s="47" t="n">
        <v>25386.9</v>
      </c>
      <c r="F338" s="47" t="n">
        <v>25039.9</v>
      </c>
      <c r="G338" s="47" t="n">
        <v>25068.7</v>
      </c>
      <c r="H338" s="47" t="n">
        <v>25049</v>
      </c>
      <c r="I338" s="47" t="n">
        <v>25068.7</v>
      </c>
      <c r="J338" s="48" t="n">
        <v>14512</v>
      </c>
      <c r="K338" s="47" t="n">
        <v>274084.94</v>
      </c>
      <c r="L338" s="48" t="n">
        <v>5735625</v>
      </c>
      <c r="M338" s="48" t="n">
        <v>327375</v>
      </c>
      <c r="N338" s="47" t="n">
        <v>24888.2</v>
      </c>
      <c r="O338" s="47" t="n">
        <f aca="false">IF(AND(ISNUMBER(G338),ISNUMBER(N338)),G338-N338,"")</f>
        <v>180.5</v>
      </c>
      <c r="P338" s="49" t="n">
        <f aca="false">IF(ISNUMBER(O338),O338/N338,"")</f>
        <v>0.00725243287983864</v>
      </c>
      <c r="Q338" s="50" t="n">
        <f aca="false">C338-B338</f>
        <v>49</v>
      </c>
      <c r="R338" s="51" t="n">
        <f aca="false">IF(AND(C338=C337,ISNUMBER(G338),ISNUMBER(G337)),(G338/G337-1)*100,"")</f>
        <v>-1.08000820758887</v>
      </c>
      <c r="S338" s="51" t="n">
        <f aca="false">IF(AND(C338=C337,ISNUMBER(L338),ISNUMBER(L337)),(L338/L337-1)*100,"")</f>
        <v>6.05325197614754</v>
      </c>
      <c r="T338" s="51" t="n">
        <f aca="false">IF(AND(C338=C337,ISNUMBER(G338),ISNUMBER(G337)),G338-G337,"")</f>
        <v>-273.700000000001</v>
      </c>
      <c r="U338" s="1" t="str">
        <f aca="false">IF(OR(NOT(ISNUMBER(R338)),NOT(ISNUMBER(S338))),"Not classified",IF(AND(R338&gt;0,S338&gt;0),"Long buildup (interpretation)",IF(AND(R338&lt;0,S338&gt;0),"Short buildup (interpretation)",IF(AND(R338&gt;0,S338&lt;0),"Short covering (interpretation)",IF(AND(R338&lt;0,S338&lt;0),"Long unwinding (interpretation)","Neutral")))))</f>
        <v>Short buildup (interpretation)</v>
      </c>
      <c r="V338" s="52" t="str">
        <f aca="false">TEXT(B338,"yyyy-mm")</f>
        <v>2025-06</v>
      </c>
      <c r="W338" s="52" t="n">
        <f aca="false">1+COUNTIFS($B$2:$B$756,B338,$C$2:$C$756,"&lt;"&amp;C338)</f>
        <v>2</v>
      </c>
      <c r="X338" s="53" t="n">
        <f aca="false">IF(AND(ISNUMBER(P338),Q338&gt;0),P338*365/Q338,"")</f>
        <v>0.0540232245130837</v>
      </c>
      <c r="Y338" s="42" t="n">
        <f aca="false">IF(AND(C339=C338,ISNUMBER(R339)),R339,"")</f>
        <v>-0.845277178313997</v>
      </c>
      <c r="Z338" s="52" t="n">
        <f aca="false">IF(AND(W338=1,Q338&gt;Basis_Analysis!$B$3,ISNUMBER(Y338)),1,0)</f>
        <v>0</v>
      </c>
      <c r="AA338" s="43" t="str">
        <f aca="false">IF(W338=1,IF(SUMIFS($L$2:$L$756,$B$2:$B$756,B338,$W$2:$W$756,2)&gt;0,SUMIFS($L$2:$L$756,$B$2:$B$756,B338,$W$2:$W$756,2),""),"")</f>
        <v/>
      </c>
      <c r="AB338" s="54" t="str">
        <f aca="false">IF(AND(W338=1,ISNUMBER(AA338)),L338/(L338+AA338),"")</f>
        <v/>
      </c>
    </row>
    <row r="339" customFormat="false" ht="15" hidden="false" customHeight="true" outlineLevel="0" collapsed="false">
      <c r="A339" s="1" t="s">
        <v>274</v>
      </c>
      <c r="B339" s="46" t="n">
        <v>45821</v>
      </c>
      <c r="C339" s="46" t="n">
        <v>45869</v>
      </c>
      <c r="D339" s="47" t="n">
        <v>24988.7</v>
      </c>
      <c r="E339" s="47" t="n">
        <v>24988.7</v>
      </c>
      <c r="F339" s="47" t="n">
        <v>24716</v>
      </c>
      <c r="G339" s="47" t="n">
        <v>24856.8</v>
      </c>
      <c r="H339" s="47" t="n">
        <v>24871.7</v>
      </c>
      <c r="I339" s="47" t="n">
        <v>24856.8</v>
      </c>
      <c r="J339" s="48" t="n">
        <v>10331</v>
      </c>
      <c r="K339" s="47" t="n">
        <v>192319.23</v>
      </c>
      <c r="L339" s="48" t="n">
        <v>5864700</v>
      </c>
      <c r="M339" s="48" t="n">
        <v>129075</v>
      </c>
      <c r="N339" s="47" t="n">
        <v>24718.6</v>
      </c>
      <c r="O339" s="47" t="n">
        <f aca="false">IF(AND(ISNUMBER(G339),ISNUMBER(N339)),G339-N339,"")</f>
        <v>138.200000000001</v>
      </c>
      <c r="P339" s="49" t="n">
        <f aca="false">IF(ISNUMBER(O339),O339/N339,"")</f>
        <v>0.00559093152524822</v>
      </c>
      <c r="Q339" s="50" t="n">
        <f aca="false">C339-B339</f>
        <v>48</v>
      </c>
      <c r="R339" s="51" t="n">
        <f aca="false">IF(AND(C339=C338,ISNUMBER(G339),ISNUMBER(G338)),(G339/G338-1)*100,"")</f>
        <v>-0.845277178313997</v>
      </c>
      <c r="S339" s="51" t="n">
        <f aca="false">IF(AND(C339=C338,ISNUMBER(L339),ISNUMBER(L338)),(L339/L338-1)*100,"")</f>
        <v>2.25040863027133</v>
      </c>
      <c r="T339" s="51" t="n">
        <f aca="false">IF(AND(C339=C338,ISNUMBER(G339),ISNUMBER(G338)),G339-G338,"")</f>
        <v>-211.900000000001</v>
      </c>
      <c r="U339" s="1" t="str">
        <f aca="false">IF(OR(NOT(ISNUMBER(R339)),NOT(ISNUMBER(S339))),"Not classified",IF(AND(R339&gt;0,S339&gt;0),"Long buildup (interpretation)",IF(AND(R339&lt;0,S339&gt;0),"Short buildup (interpretation)",IF(AND(R339&gt;0,S339&lt;0),"Short covering (interpretation)",IF(AND(R339&lt;0,S339&lt;0),"Long unwinding (interpretation)","Neutral")))))</f>
        <v>Short buildup (interpretation)</v>
      </c>
      <c r="V339" s="52" t="str">
        <f aca="false">TEXT(B339,"yyyy-mm")</f>
        <v>2025-06</v>
      </c>
      <c r="W339" s="52" t="n">
        <f aca="false">1+COUNTIFS($B$2:$B$756,B339,$C$2:$C$756,"&lt;"&amp;C339)</f>
        <v>2</v>
      </c>
      <c r="X339" s="53" t="n">
        <f aca="false">IF(AND(ISNUMBER(P339),Q339&gt;0),P339*365/Q339,"")</f>
        <v>0.0425143751399084</v>
      </c>
      <c r="Y339" s="42" t="n">
        <f aca="false">IF(AND(C340=C339,ISNUMBER(R340)),R340,"")</f>
        <v>1.03191078497635</v>
      </c>
      <c r="Z339" s="52" t="n">
        <f aca="false">IF(AND(W339=1,Q339&gt;Basis_Analysis!$B$3,ISNUMBER(Y339)),1,0)</f>
        <v>0</v>
      </c>
      <c r="AA339" s="43" t="str">
        <f aca="false">IF(W339=1,IF(SUMIFS($L$2:$L$756,$B$2:$B$756,B339,$W$2:$W$756,2)&gt;0,SUMIFS($L$2:$L$756,$B$2:$B$756,B339,$W$2:$W$756,2),""),"")</f>
        <v/>
      </c>
      <c r="AB339" s="54" t="str">
        <f aca="false">IF(AND(W339=1,ISNUMBER(AA339)),L339/(L339+AA339),"")</f>
        <v/>
      </c>
    </row>
    <row r="340" customFormat="false" ht="15" hidden="false" customHeight="true" outlineLevel="0" collapsed="false">
      <c r="A340" s="1" t="s">
        <v>274</v>
      </c>
      <c r="B340" s="46" t="n">
        <v>45824</v>
      </c>
      <c r="C340" s="46" t="n">
        <v>45869</v>
      </c>
      <c r="D340" s="47" t="n">
        <v>24800</v>
      </c>
      <c r="E340" s="47" t="n">
        <v>25133.5</v>
      </c>
      <c r="F340" s="47" t="n">
        <v>24800</v>
      </c>
      <c r="G340" s="47" t="n">
        <v>25113.3</v>
      </c>
      <c r="H340" s="47" t="n">
        <v>25119</v>
      </c>
      <c r="I340" s="47" t="n">
        <v>25113.3</v>
      </c>
      <c r="J340" s="48" t="n">
        <v>16672</v>
      </c>
      <c r="K340" s="47" t="n">
        <v>313094.44</v>
      </c>
      <c r="L340" s="48" t="n">
        <v>6054075</v>
      </c>
      <c r="M340" s="48" t="n">
        <v>189375</v>
      </c>
      <c r="N340" s="47" t="n">
        <v>24946.5</v>
      </c>
      <c r="O340" s="47" t="n">
        <f aca="false">IF(AND(ISNUMBER(G340),ISNUMBER(N340)),G340-N340,"")</f>
        <v>166.799999999999</v>
      </c>
      <c r="P340" s="49" t="n">
        <f aca="false">IF(ISNUMBER(O340),O340/N340,"")</f>
        <v>0.0066863087006193</v>
      </c>
      <c r="Q340" s="50" t="n">
        <f aca="false">C340-B340</f>
        <v>45</v>
      </c>
      <c r="R340" s="51" t="n">
        <f aca="false">IF(AND(C340=C339,ISNUMBER(G340),ISNUMBER(G339)),(G340/G339-1)*100,"")</f>
        <v>1.03191078497635</v>
      </c>
      <c r="S340" s="51" t="n">
        <f aca="false">IF(AND(C340=C339,ISNUMBER(L340),ISNUMBER(L339)),(L340/L339-1)*100,"")</f>
        <v>3.22906542534145</v>
      </c>
      <c r="T340" s="51" t="n">
        <f aca="false">IF(AND(C340=C339,ISNUMBER(G340),ISNUMBER(G339)),G340-G339,"")</f>
        <v>256.5</v>
      </c>
      <c r="U340" s="1" t="str">
        <f aca="false">IF(OR(NOT(ISNUMBER(R340)),NOT(ISNUMBER(S340))),"Not classified",IF(AND(R340&gt;0,S340&gt;0),"Long buildup (interpretation)",IF(AND(R340&lt;0,S340&gt;0),"Short buildup (interpretation)",IF(AND(R340&gt;0,S340&lt;0),"Short covering (interpretation)",IF(AND(R340&lt;0,S340&lt;0),"Long unwinding (interpretation)","Neutral")))))</f>
        <v>Long buildup (interpretation)</v>
      </c>
      <c r="V340" s="52" t="str">
        <f aca="false">TEXT(B340,"yyyy-mm")</f>
        <v>2025-06</v>
      </c>
      <c r="W340" s="52" t="n">
        <f aca="false">1+COUNTIFS($B$2:$B$756,B340,$C$2:$C$756,"&lt;"&amp;C340)</f>
        <v>2</v>
      </c>
      <c r="X340" s="53" t="n">
        <f aca="false">IF(AND(ISNUMBER(P340),Q340&gt;0),P340*365/Q340,"")</f>
        <v>0.0542333927939121</v>
      </c>
      <c r="Y340" s="42" t="n">
        <f aca="false">IF(AND(C341=C340,ISNUMBER(R341)),R341,"")</f>
        <v>-0.509291889158325</v>
      </c>
      <c r="Z340" s="52" t="n">
        <f aca="false">IF(AND(W340=1,Q340&gt;Basis_Analysis!$B$3,ISNUMBER(Y340)),1,0)</f>
        <v>0</v>
      </c>
      <c r="AA340" s="43" t="str">
        <f aca="false">IF(W340=1,IF(SUMIFS($L$2:$L$756,$B$2:$B$756,B340,$W$2:$W$756,2)&gt;0,SUMIFS($L$2:$L$756,$B$2:$B$756,B340,$W$2:$W$756,2),""),"")</f>
        <v/>
      </c>
      <c r="AB340" s="54" t="str">
        <f aca="false">IF(AND(W340=1,ISNUMBER(AA340)),L340/(L340+AA340),"")</f>
        <v/>
      </c>
    </row>
    <row r="341" customFormat="false" ht="15" hidden="false" customHeight="true" outlineLevel="0" collapsed="false">
      <c r="A341" s="1" t="s">
        <v>274</v>
      </c>
      <c r="B341" s="46" t="n">
        <v>45825</v>
      </c>
      <c r="C341" s="46" t="n">
        <v>45869</v>
      </c>
      <c r="D341" s="47" t="n">
        <v>25101.7</v>
      </c>
      <c r="E341" s="47" t="n">
        <v>25111.9</v>
      </c>
      <c r="F341" s="47" t="n">
        <v>24960</v>
      </c>
      <c r="G341" s="47" t="n">
        <v>24985.4</v>
      </c>
      <c r="H341" s="47" t="n">
        <v>24982</v>
      </c>
      <c r="I341" s="47" t="n">
        <v>24985.4</v>
      </c>
      <c r="J341" s="48" t="n">
        <v>9469</v>
      </c>
      <c r="K341" s="47" t="n">
        <v>177642.19</v>
      </c>
      <c r="L341" s="48" t="n">
        <v>6266775</v>
      </c>
      <c r="M341" s="48" t="n">
        <v>212700</v>
      </c>
      <c r="N341" s="47" t="n">
        <v>24853.4</v>
      </c>
      <c r="O341" s="47" t="n">
        <f aca="false">IF(AND(ISNUMBER(G341),ISNUMBER(N341)),G341-N341,"")</f>
        <v>132</v>
      </c>
      <c r="P341" s="49" t="n">
        <f aca="false">IF(ISNUMBER(O341),O341/N341,"")</f>
        <v>0.00531114455165088</v>
      </c>
      <c r="Q341" s="50" t="n">
        <f aca="false">C341-B341</f>
        <v>44</v>
      </c>
      <c r="R341" s="51" t="n">
        <f aca="false">IF(AND(C341=C340,ISNUMBER(G341),ISNUMBER(G340)),(G341/G340-1)*100,"")</f>
        <v>-0.509291889158325</v>
      </c>
      <c r="S341" s="51" t="n">
        <f aca="false">IF(AND(C341=C340,ISNUMBER(L341),ISNUMBER(L340)),(L341/L340-1)*100,"")</f>
        <v>3.51333605877033</v>
      </c>
      <c r="T341" s="51" t="n">
        <f aca="false">IF(AND(C341=C340,ISNUMBER(G341),ISNUMBER(G340)),G341-G340,"")</f>
        <v>-127.899999999998</v>
      </c>
      <c r="U341" s="1" t="str">
        <f aca="false">IF(OR(NOT(ISNUMBER(R341)),NOT(ISNUMBER(S341))),"Not classified",IF(AND(R341&gt;0,S341&gt;0),"Long buildup (interpretation)",IF(AND(R341&lt;0,S341&gt;0),"Short buildup (interpretation)",IF(AND(R341&gt;0,S341&lt;0),"Short covering (interpretation)",IF(AND(R341&lt;0,S341&lt;0),"Long unwinding (interpretation)","Neutral")))))</f>
        <v>Short buildup (interpretation)</v>
      </c>
      <c r="V341" s="52" t="str">
        <f aca="false">TEXT(B341,"yyyy-mm")</f>
        <v>2025-06</v>
      </c>
      <c r="W341" s="52" t="n">
        <f aca="false">1+COUNTIFS($B$2:$B$756,B341,$C$2:$C$756,"&lt;"&amp;C341)</f>
        <v>2</v>
      </c>
      <c r="X341" s="53" t="n">
        <f aca="false">IF(AND(ISNUMBER(P341),Q341&gt;0),P341*365/Q341,"")</f>
        <v>0.0440583582125584</v>
      </c>
      <c r="Y341" s="42" t="n">
        <f aca="false">IF(AND(C342=C341,ISNUMBER(R342)),R342,"")</f>
        <v>-0.175302376587938</v>
      </c>
      <c r="Z341" s="52" t="n">
        <f aca="false">IF(AND(W341=1,Q341&gt;Basis_Analysis!$B$3,ISNUMBER(Y341)),1,0)</f>
        <v>0</v>
      </c>
      <c r="AA341" s="43" t="str">
        <f aca="false">IF(W341=1,IF(SUMIFS($L$2:$L$756,$B$2:$B$756,B341,$W$2:$W$756,2)&gt;0,SUMIFS($L$2:$L$756,$B$2:$B$756,B341,$W$2:$W$756,2),""),"")</f>
        <v/>
      </c>
      <c r="AB341" s="54" t="str">
        <f aca="false">IF(AND(W341=1,ISNUMBER(AA341)),L341/(L341+AA341),"")</f>
        <v/>
      </c>
    </row>
    <row r="342" customFormat="false" ht="15" hidden="false" customHeight="true" outlineLevel="0" collapsed="false">
      <c r="A342" s="1" t="s">
        <v>274</v>
      </c>
      <c r="B342" s="46" t="n">
        <v>45826</v>
      </c>
      <c r="C342" s="46" t="n">
        <v>45869</v>
      </c>
      <c r="D342" s="47" t="n">
        <v>24944.5</v>
      </c>
      <c r="E342" s="47" t="n">
        <v>25091.5</v>
      </c>
      <c r="F342" s="47" t="n">
        <v>24905</v>
      </c>
      <c r="G342" s="47" t="n">
        <v>24941.6</v>
      </c>
      <c r="H342" s="47" t="n">
        <v>24934</v>
      </c>
      <c r="I342" s="47" t="n">
        <v>24941.6</v>
      </c>
      <c r="J342" s="48" t="n">
        <v>10523</v>
      </c>
      <c r="K342" s="47" t="n">
        <v>197141.63</v>
      </c>
      <c r="L342" s="48" t="n">
        <v>6371400</v>
      </c>
      <c r="M342" s="48" t="n">
        <v>104625</v>
      </c>
      <c r="N342" s="47" t="n">
        <v>24812.05</v>
      </c>
      <c r="O342" s="47" t="n">
        <f aca="false">IF(AND(ISNUMBER(G342),ISNUMBER(N342)),G342-N342,"")</f>
        <v>129.549999999999</v>
      </c>
      <c r="P342" s="49" t="n">
        <f aca="false">IF(ISNUMBER(O342),O342/N342,"")</f>
        <v>0.00522125338293286</v>
      </c>
      <c r="Q342" s="50" t="n">
        <f aca="false">C342-B342</f>
        <v>43</v>
      </c>
      <c r="R342" s="51" t="n">
        <f aca="false">IF(AND(C342=C341,ISNUMBER(G342),ISNUMBER(G341)),(G342/G341-1)*100,"")</f>
        <v>-0.175302376587938</v>
      </c>
      <c r="S342" s="51" t="n">
        <f aca="false">IF(AND(C342=C341,ISNUMBER(L342),ISNUMBER(L341)),(L342/L341-1)*100,"")</f>
        <v>1.66951901097454</v>
      </c>
      <c r="T342" s="51" t="n">
        <f aca="false">IF(AND(C342=C341,ISNUMBER(G342),ISNUMBER(G341)),G342-G341,"")</f>
        <v>-43.8000000000029</v>
      </c>
      <c r="U342" s="1" t="str">
        <f aca="false">IF(OR(NOT(ISNUMBER(R342)),NOT(ISNUMBER(S342))),"Not classified",IF(AND(R342&gt;0,S342&gt;0),"Long buildup (interpretation)",IF(AND(R342&lt;0,S342&gt;0),"Short buildup (interpretation)",IF(AND(R342&gt;0,S342&lt;0),"Short covering (interpretation)",IF(AND(R342&lt;0,S342&lt;0),"Long unwinding (interpretation)","Neutral")))))</f>
        <v>Short buildup (interpretation)</v>
      </c>
      <c r="V342" s="52" t="str">
        <f aca="false">TEXT(B342,"yyyy-mm")</f>
        <v>2025-06</v>
      </c>
      <c r="W342" s="52" t="n">
        <f aca="false">1+COUNTIFS($B$2:$B$756,B342,$C$2:$C$756,"&lt;"&amp;C342)</f>
        <v>2</v>
      </c>
      <c r="X342" s="53" t="n">
        <f aca="false">IF(AND(ISNUMBER(P342),Q342&gt;0),P342*365/Q342,"")</f>
        <v>0.0443199415062906</v>
      </c>
      <c r="Y342" s="42" t="n">
        <f aca="false">IF(AND(C343=C342,ISNUMBER(R343)),R343,"")</f>
        <v>-0.104644449433877</v>
      </c>
      <c r="Z342" s="52" t="n">
        <f aca="false">IF(AND(W342=1,Q342&gt;Basis_Analysis!$B$3,ISNUMBER(Y342)),1,0)</f>
        <v>0</v>
      </c>
      <c r="AA342" s="43" t="str">
        <f aca="false">IF(W342=1,IF(SUMIFS($L$2:$L$756,$B$2:$B$756,B342,$W$2:$W$756,2)&gt;0,SUMIFS($L$2:$L$756,$B$2:$B$756,B342,$W$2:$W$756,2),""),"")</f>
        <v/>
      </c>
      <c r="AB342" s="54" t="str">
        <f aca="false">IF(AND(W342=1,ISNUMBER(AA342)),L342/(L342+AA342),"")</f>
        <v/>
      </c>
    </row>
    <row r="343" customFormat="false" ht="15" hidden="false" customHeight="true" outlineLevel="0" collapsed="false">
      <c r="A343" s="1" t="s">
        <v>274</v>
      </c>
      <c r="B343" s="46" t="n">
        <v>45827</v>
      </c>
      <c r="C343" s="46" t="n">
        <v>45869</v>
      </c>
      <c r="D343" s="47" t="n">
        <v>24924</v>
      </c>
      <c r="E343" s="47" t="n">
        <v>25000</v>
      </c>
      <c r="F343" s="47" t="n">
        <v>24875.5</v>
      </c>
      <c r="G343" s="47" t="n">
        <v>24915.5</v>
      </c>
      <c r="H343" s="47" t="n">
        <v>24892.6</v>
      </c>
      <c r="I343" s="47" t="n">
        <v>24915.5</v>
      </c>
      <c r="J343" s="48" t="n">
        <v>10526</v>
      </c>
      <c r="K343" s="47" t="n">
        <v>196894.1</v>
      </c>
      <c r="L343" s="48" t="n">
        <v>6598050</v>
      </c>
      <c r="M343" s="48" t="n">
        <v>226650</v>
      </c>
      <c r="N343" s="47" t="n">
        <v>24793.25</v>
      </c>
      <c r="O343" s="47" t="n">
        <f aca="false">IF(AND(ISNUMBER(G343),ISNUMBER(N343)),G343-N343,"")</f>
        <v>122.25</v>
      </c>
      <c r="P343" s="49" t="n">
        <f aca="false">IF(ISNUMBER(O343),O343/N343,"")</f>
        <v>0.00493077753017454</v>
      </c>
      <c r="Q343" s="50" t="n">
        <f aca="false">C343-B343</f>
        <v>42</v>
      </c>
      <c r="R343" s="51" t="n">
        <f aca="false">IF(AND(C343=C342,ISNUMBER(G343),ISNUMBER(G342)),(G343/G342-1)*100,"")</f>
        <v>-0.104644449433877</v>
      </c>
      <c r="S343" s="51" t="n">
        <f aca="false">IF(AND(C343=C342,ISNUMBER(L343),ISNUMBER(L342)),(L343/L342-1)*100,"")</f>
        <v>3.55730294754686</v>
      </c>
      <c r="T343" s="51" t="n">
        <f aca="false">IF(AND(C343=C342,ISNUMBER(G343),ISNUMBER(G342)),G343-G342,"")</f>
        <v>-26.0999999999985</v>
      </c>
      <c r="U343" s="1" t="str">
        <f aca="false">IF(OR(NOT(ISNUMBER(R343)),NOT(ISNUMBER(S343))),"Not classified",IF(AND(R343&gt;0,S343&gt;0),"Long buildup (interpretation)",IF(AND(R343&lt;0,S343&gt;0),"Short buildup (interpretation)",IF(AND(R343&gt;0,S343&lt;0),"Short covering (interpretation)",IF(AND(R343&lt;0,S343&lt;0),"Long unwinding (interpretation)","Neutral")))))</f>
        <v>Short buildup (interpretation)</v>
      </c>
      <c r="V343" s="52" t="str">
        <f aca="false">TEXT(B343,"yyyy-mm")</f>
        <v>2025-06</v>
      </c>
      <c r="W343" s="52" t="n">
        <f aca="false">1+COUNTIFS($B$2:$B$756,B343,$C$2:$C$756,"&lt;"&amp;C343)</f>
        <v>2</v>
      </c>
      <c r="X343" s="53" t="n">
        <f aca="false">IF(AND(ISNUMBER(P343),Q343&gt;0),P343*365/Q343,"")</f>
        <v>0.0428508047265169</v>
      </c>
      <c r="Y343" s="42" t="n">
        <f aca="false">IF(AND(C344=C343,ISNUMBER(R344)),R344,"")</f>
        <v>1.14667576408261</v>
      </c>
      <c r="Z343" s="52" t="n">
        <f aca="false">IF(AND(W343=1,Q343&gt;Basis_Analysis!$B$3,ISNUMBER(Y343)),1,0)</f>
        <v>0</v>
      </c>
      <c r="AA343" s="43" t="str">
        <f aca="false">IF(W343=1,IF(SUMIFS($L$2:$L$756,$B$2:$B$756,B343,$W$2:$W$756,2)&gt;0,SUMIFS($L$2:$L$756,$B$2:$B$756,B343,$W$2:$W$756,2),""),"")</f>
        <v/>
      </c>
      <c r="AB343" s="54" t="str">
        <f aca="false">IF(AND(W343=1,ISNUMBER(AA343)),L343/(L343+AA343),"")</f>
        <v/>
      </c>
    </row>
    <row r="344" customFormat="false" ht="15" hidden="false" customHeight="true" outlineLevel="0" collapsed="false">
      <c r="A344" s="1" t="s">
        <v>274</v>
      </c>
      <c r="B344" s="46" t="n">
        <v>45828</v>
      </c>
      <c r="C344" s="46" t="n">
        <v>45869</v>
      </c>
      <c r="D344" s="47" t="n">
        <v>24910</v>
      </c>
      <c r="E344" s="47" t="n">
        <v>25225</v>
      </c>
      <c r="F344" s="47" t="n">
        <v>24910</v>
      </c>
      <c r="G344" s="47" t="n">
        <v>25201.2</v>
      </c>
      <c r="H344" s="47" t="n">
        <v>25192</v>
      </c>
      <c r="I344" s="47" t="n">
        <v>25201.2</v>
      </c>
      <c r="J344" s="48" t="n">
        <v>37380</v>
      </c>
      <c r="K344" s="47" t="n">
        <v>704996.04</v>
      </c>
      <c r="L344" s="48" t="n">
        <v>7210425</v>
      </c>
      <c r="M344" s="48" t="n">
        <v>612375</v>
      </c>
      <c r="N344" s="47" t="n">
        <v>25112.4</v>
      </c>
      <c r="O344" s="47" t="n">
        <f aca="false">IF(AND(ISNUMBER(G344),ISNUMBER(N344)),G344-N344,"")</f>
        <v>88.7999999999993</v>
      </c>
      <c r="P344" s="49" t="n">
        <f aca="false">IF(ISNUMBER(O344),O344/N344,"")</f>
        <v>0.00353610168681605</v>
      </c>
      <c r="Q344" s="50" t="n">
        <f aca="false">C344-B344</f>
        <v>41</v>
      </c>
      <c r="R344" s="51" t="n">
        <f aca="false">IF(AND(C344=C343,ISNUMBER(G344),ISNUMBER(G343)),(G344/G343-1)*100,"")</f>
        <v>1.14667576408261</v>
      </c>
      <c r="S344" s="51" t="n">
        <f aca="false">IF(AND(C344=C343,ISNUMBER(L344),ISNUMBER(L343)),(L344/L343-1)*100,"")</f>
        <v>9.28115124923272</v>
      </c>
      <c r="T344" s="51" t="n">
        <f aca="false">IF(AND(C344=C343,ISNUMBER(G344),ISNUMBER(G343)),G344-G343,"")</f>
        <v>285.700000000001</v>
      </c>
      <c r="U344" s="1" t="str">
        <f aca="false">IF(OR(NOT(ISNUMBER(R344)),NOT(ISNUMBER(S344))),"Not classified",IF(AND(R344&gt;0,S344&gt;0),"Long buildup (interpretation)",IF(AND(R344&lt;0,S344&gt;0),"Short buildup (interpretation)",IF(AND(R344&gt;0,S344&lt;0),"Short covering (interpretation)",IF(AND(R344&lt;0,S344&lt;0),"Long unwinding (interpretation)","Neutral")))))</f>
        <v>Long buildup (interpretation)</v>
      </c>
      <c r="V344" s="52" t="str">
        <f aca="false">TEXT(B344,"yyyy-mm")</f>
        <v>2025-06</v>
      </c>
      <c r="W344" s="52" t="n">
        <f aca="false">1+COUNTIFS($B$2:$B$756,B344,$C$2:$C$756,"&lt;"&amp;C344)</f>
        <v>2</v>
      </c>
      <c r="X344" s="53" t="n">
        <f aca="false">IF(AND(ISNUMBER(P344),Q344&gt;0),P344*365/Q344,"")</f>
        <v>0.0314799296509233</v>
      </c>
      <c r="Y344" s="42" t="n">
        <f aca="false">IF(AND(C345=C344,ISNUMBER(R345)),R345,"")</f>
        <v>-0.392441629763662</v>
      </c>
      <c r="Z344" s="52" t="n">
        <f aca="false">IF(AND(W344=1,Q344&gt;Basis_Analysis!$B$3,ISNUMBER(Y344)),1,0)</f>
        <v>0</v>
      </c>
      <c r="AA344" s="43" t="str">
        <f aca="false">IF(W344=1,IF(SUMIFS($L$2:$L$756,$B$2:$B$756,B344,$W$2:$W$756,2)&gt;0,SUMIFS($L$2:$L$756,$B$2:$B$756,B344,$W$2:$W$756,2),""),"")</f>
        <v/>
      </c>
      <c r="AB344" s="54" t="str">
        <f aca="false">IF(AND(W344=1,ISNUMBER(AA344)),L344/(L344+AA344),"")</f>
        <v/>
      </c>
    </row>
    <row r="345" customFormat="false" ht="15" hidden="false" customHeight="true" outlineLevel="0" collapsed="false">
      <c r="A345" s="1" t="s">
        <v>274</v>
      </c>
      <c r="B345" s="46" t="n">
        <v>45831</v>
      </c>
      <c r="C345" s="46" t="n">
        <v>45869</v>
      </c>
      <c r="D345" s="47" t="n">
        <v>25120.1</v>
      </c>
      <c r="E345" s="47" t="n">
        <v>25189</v>
      </c>
      <c r="F345" s="47" t="n">
        <v>24931.3</v>
      </c>
      <c r="G345" s="47" t="n">
        <v>25102.3</v>
      </c>
      <c r="H345" s="47" t="n">
        <v>25099.7</v>
      </c>
      <c r="I345" s="47" t="n">
        <v>25102.3</v>
      </c>
      <c r="J345" s="48" t="n">
        <v>54568</v>
      </c>
      <c r="K345" s="47" t="n">
        <v>1026042.55</v>
      </c>
      <c r="L345" s="48" t="n">
        <v>8506425</v>
      </c>
      <c r="M345" s="48" t="n">
        <v>1296000</v>
      </c>
      <c r="N345" s="47" t="n">
        <v>24971.9</v>
      </c>
      <c r="O345" s="47" t="n">
        <f aca="false">IF(AND(ISNUMBER(G345),ISNUMBER(N345)),G345-N345,"")</f>
        <v>130.399999999998</v>
      </c>
      <c r="P345" s="49" t="n">
        <f aca="false">IF(ISNUMBER(O345),O345/N345,"")</f>
        <v>0.00522186938118436</v>
      </c>
      <c r="Q345" s="50" t="n">
        <f aca="false">C345-B345</f>
        <v>38</v>
      </c>
      <c r="R345" s="51" t="n">
        <f aca="false">IF(AND(C345=C344,ISNUMBER(G345),ISNUMBER(G344)),(G345/G344-1)*100,"")</f>
        <v>-0.392441629763662</v>
      </c>
      <c r="S345" s="51" t="n">
        <f aca="false">IF(AND(C345=C344,ISNUMBER(L345),ISNUMBER(L344)),(L345/L344-1)*100,"")</f>
        <v>17.9739751817681</v>
      </c>
      <c r="T345" s="51" t="n">
        <f aca="false">IF(AND(C345=C344,ISNUMBER(G345),ISNUMBER(G344)),G345-G344,"")</f>
        <v>-98.9000000000015</v>
      </c>
      <c r="U345" s="1" t="str">
        <f aca="false">IF(OR(NOT(ISNUMBER(R345)),NOT(ISNUMBER(S345))),"Not classified",IF(AND(R345&gt;0,S345&gt;0),"Long buildup (interpretation)",IF(AND(R345&lt;0,S345&gt;0),"Short buildup (interpretation)",IF(AND(R345&gt;0,S345&lt;0),"Short covering (interpretation)",IF(AND(R345&lt;0,S345&lt;0),"Long unwinding (interpretation)","Neutral")))))</f>
        <v>Short buildup (interpretation)</v>
      </c>
      <c r="V345" s="52" t="str">
        <f aca="false">TEXT(B345,"yyyy-mm")</f>
        <v>2025-06</v>
      </c>
      <c r="W345" s="52" t="n">
        <f aca="false">1+COUNTIFS($B$2:$B$756,B345,$C$2:$C$756,"&lt;"&amp;C345)</f>
        <v>2</v>
      </c>
      <c r="X345" s="53" t="n">
        <f aca="false">IF(AND(ISNUMBER(P345),Q345&gt;0),P345*365/Q345,"")</f>
        <v>0.0501574295824288</v>
      </c>
      <c r="Y345" s="42" t="n">
        <f aca="false">IF(AND(C346=C345,ISNUMBER(R346)),R346,"")</f>
        <v>0.305948060536276</v>
      </c>
      <c r="Z345" s="52" t="n">
        <f aca="false">IF(AND(W345=1,Q345&gt;Basis_Analysis!$B$3,ISNUMBER(Y345)),1,0)</f>
        <v>0</v>
      </c>
      <c r="AA345" s="43" t="str">
        <f aca="false">IF(W345=1,IF(SUMIFS($L$2:$L$756,$B$2:$B$756,B345,$W$2:$W$756,2)&gt;0,SUMIFS($L$2:$L$756,$B$2:$B$756,B345,$W$2:$W$756,2),""),"")</f>
        <v/>
      </c>
      <c r="AB345" s="54" t="str">
        <f aca="false">IF(AND(W345=1,ISNUMBER(AA345)),L345/(L345+AA345),"")</f>
        <v/>
      </c>
    </row>
    <row r="346" customFormat="false" ht="15" hidden="false" customHeight="true" outlineLevel="0" collapsed="false">
      <c r="A346" s="1" t="s">
        <v>274</v>
      </c>
      <c r="B346" s="46" t="n">
        <v>45832</v>
      </c>
      <c r="C346" s="46" t="n">
        <v>45869</v>
      </c>
      <c r="D346" s="47" t="n">
        <v>25300</v>
      </c>
      <c r="E346" s="47" t="n">
        <v>25449.9</v>
      </c>
      <c r="F346" s="47" t="n">
        <v>25151</v>
      </c>
      <c r="G346" s="47" t="n">
        <v>25179.1</v>
      </c>
      <c r="H346" s="47" t="n">
        <v>25201</v>
      </c>
      <c r="I346" s="47" t="n">
        <v>25179.1</v>
      </c>
      <c r="J346" s="48" t="n">
        <v>101293</v>
      </c>
      <c r="K346" s="47" t="n">
        <v>1922839.38</v>
      </c>
      <c r="L346" s="48" t="n">
        <v>11100825</v>
      </c>
      <c r="M346" s="48" t="n">
        <v>2594400</v>
      </c>
      <c r="N346" s="47" t="n">
        <v>25044.35</v>
      </c>
      <c r="O346" s="47" t="n">
        <f aca="false">IF(AND(ISNUMBER(G346),ISNUMBER(N346)),G346-N346,"")</f>
        <v>134.75</v>
      </c>
      <c r="P346" s="49" t="n">
        <f aca="false">IF(ISNUMBER(O346),O346/N346,"")</f>
        <v>0.00538045507270103</v>
      </c>
      <c r="Q346" s="50" t="n">
        <f aca="false">C346-B346</f>
        <v>37</v>
      </c>
      <c r="R346" s="51" t="n">
        <f aca="false">IF(AND(C346=C345,ISNUMBER(G346),ISNUMBER(G345)),(G346/G345-1)*100,"")</f>
        <v>0.305948060536276</v>
      </c>
      <c r="S346" s="51" t="n">
        <f aca="false">IF(AND(C346=C345,ISNUMBER(L346),ISNUMBER(L345)),(L346/L345-1)*100,"")</f>
        <v>30.4992990592405</v>
      </c>
      <c r="T346" s="51" t="n">
        <f aca="false">IF(AND(C346=C345,ISNUMBER(G346),ISNUMBER(G345)),G346-G345,"")</f>
        <v>76.7999999999993</v>
      </c>
      <c r="U346" s="1" t="str">
        <f aca="false">IF(OR(NOT(ISNUMBER(R346)),NOT(ISNUMBER(S346))),"Not classified",IF(AND(R346&gt;0,S346&gt;0),"Long buildup (interpretation)",IF(AND(R346&lt;0,S346&gt;0),"Short buildup (interpretation)",IF(AND(R346&gt;0,S346&lt;0),"Short covering (interpretation)",IF(AND(R346&lt;0,S346&lt;0),"Long unwinding (interpretation)","Neutral")))))</f>
        <v>Long buildup (interpretation)</v>
      </c>
      <c r="V346" s="52" t="str">
        <f aca="false">TEXT(B346,"yyyy-mm")</f>
        <v>2025-06</v>
      </c>
      <c r="W346" s="52" t="n">
        <f aca="false">1+COUNTIFS($B$2:$B$756,B346,$C$2:$C$756,"&lt;"&amp;C346)</f>
        <v>2</v>
      </c>
      <c r="X346" s="53" t="n">
        <f aca="false">IF(AND(ISNUMBER(P346),Q346&gt;0),P346*365/Q346,"")</f>
        <v>0.0530774622036723</v>
      </c>
      <c r="Y346" s="42" t="n">
        <f aca="false">IF(AND(C347=C346,ISNUMBER(R347)),R347,"")</f>
        <v>0.679531833941649</v>
      </c>
      <c r="Z346" s="52" t="n">
        <f aca="false">IF(AND(W346=1,Q346&gt;Basis_Analysis!$B$3,ISNUMBER(Y346)),1,0)</f>
        <v>0</v>
      </c>
      <c r="AA346" s="43" t="str">
        <f aca="false">IF(W346=1,IF(SUMIFS($L$2:$L$756,$B$2:$B$756,B346,$W$2:$W$756,2)&gt;0,SUMIFS($L$2:$L$756,$B$2:$B$756,B346,$W$2:$W$756,2),""),"")</f>
        <v/>
      </c>
      <c r="AB346" s="54" t="str">
        <f aca="false">IF(AND(W346=1,ISNUMBER(AA346)),L346/(L346+AA346),"")</f>
        <v/>
      </c>
    </row>
    <row r="347" customFormat="false" ht="15" hidden="false" customHeight="true" outlineLevel="0" collapsed="false">
      <c r="A347" s="1" t="s">
        <v>274</v>
      </c>
      <c r="B347" s="46" t="n">
        <v>45833</v>
      </c>
      <c r="C347" s="46" t="n">
        <v>45869</v>
      </c>
      <c r="D347" s="47" t="n">
        <v>25270.2</v>
      </c>
      <c r="E347" s="47" t="n">
        <v>25384.9</v>
      </c>
      <c r="F347" s="47" t="n">
        <v>25237</v>
      </c>
      <c r="G347" s="47" t="n">
        <v>25350.2</v>
      </c>
      <c r="H347" s="47" t="n">
        <v>25353.6</v>
      </c>
      <c r="I347" s="47" t="n">
        <v>25350.2</v>
      </c>
      <c r="J347" s="48" t="n">
        <v>72177</v>
      </c>
      <c r="K347" s="47" t="n">
        <v>1371352.45</v>
      </c>
      <c r="L347" s="48" t="n">
        <v>13085475</v>
      </c>
      <c r="M347" s="48" t="n">
        <v>1984650</v>
      </c>
      <c r="N347" s="47" t="n">
        <v>25244.75</v>
      </c>
      <c r="O347" s="47" t="n">
        <f aca="false">IF(AND(ISNUMBER(G347),ISNUMBER(N347)),G347-N347,"")</f>
        <v>105.450000000001</v>
      </c>
      <c r="P347" s="49" t="n">
        <f aca="false">IF(ISNUMBER(O347),O347/N347,"")</f>
        <v>0.00417710613097776</v>
      </c>
      <c r="Q347" s="50" t="n">
        <f aca="false">C347-B347</f>
        <v>36</v>
      </c>
      <c r="R347" s="51" t="n">
        <f aca="false">IF(AND(C347=C346,ISNUMBER(G347),ISNUMBER(G346)),(G347/G346-1)*100,"")</f>
        <v>0.679531833941649</v>
      </c>
      <c r="S347" s="51" t="n">
        <f aca="false">IF(AND(C347=C346,ISNUMBER(L347),ISNUMBER(L346)),(L347/L346-1)*100,"")</f>
        <v>17.8784009296606</v>
      </c>
      <c r="T347" s="51" t="n">
        <f aca="false">IF(AND(C347=C346,ISNUMBER(G347),ISNUMBER(G346)),G347-G346,"")</f>
        <v>171.100000000002</v>
      </c>
      <c r="U347" s="1" t="str">
        <f aca="false">IF(OR(NOT(ISNUMBER(R347)),NOT(ISNUMBER(S347))),"Not classified",IF(AND(R347&gt;0,S347&gt;0),"Long buildup (interpretation)",IF(AND(R347&lt;0,S347&gt;0),"Short buildup (interpretation)",IF(AND(R347&gt;0,S347&lt;0),"Short covering (interpretation)",IF(AND(R347&lt;0,S347&lt;0),"Long unwinding (interpretation)","Neutral")))))</f>
        <v>Long buildup (interpretation)</v>
      </c>
      <c r="V347" s="52" t="str">
        <f aca="false">TEXT(B347,"yyyy-mm")</f>
        <v>2025-06</v>
      </c>
      <c r="W347" s="52" t="n">
        <f aca="false">1+COUNTIFS($B$2:$B$756,B347,$C$2:$C$756,"&lt;"&amp;C347)</f>
        <v>2</v>
      </c>
      <c r="X347" s="53" t="n">
        <f aca="false">IF(AND(ISNUMBER(P347),Q347&gt;0),P347*365/Q347,"")</f>
        <v>0.04235121493908</v>
      </c>
      <c r="Y347" s="42" t="n">
        <f aca="false">IF(AND(C348=C347,ISNUMBER(R348)),R348,"")</f>
        <v>1.04456769571837</v>
      </c>
      <c r="Z347" s="52" t="n">
        <f aca="false">IF(AND(W347=1,Q347&gt;Basis_Analysis!$B$3,ISNUMBER(Y347)),1,0)</f>
        <v>0</v>
      </c>
      <c r="AA347" s="43" t="str">
        <f aca="false">IF(W347=1,IF(SUMIFS($L$2:$L$756,$B$2:$B$756,B347,$W$2:$W$756,2)&gt;0,SUMIFS($L$2:$L$756,$B$2:$B$756,B347,$W$2:$W$756,2),""),"")</f>
        <v/>
      </c>
      <c r="AB347" s="54" t="str">
        <f aca="false">IF(AND(W347=1,ISNUMBER(AA347)),L347/(L347+AA347),"")</f>
        <v/>
      </c>
    </row>
    <row r="348" customFormat="false" ht="15" hidden="false" customHeight="true" outlineLevel="0" collapsed="false">
      <c r="A348" s="1" t="s">
        <v>274</v>
      </c>
      <c r="B348" s="46" t="n">
        <v>45834</v>
      </c>
      <c r="C348" s="46" t="n">
        <v>45869</v>
      </c>
      <c r="D348" s="47" t="n">
        <v>25356.2</v>
      </c>
      <c r="E348" s="47" t="n">
        <v>25630.8</v>
      </c>
      <c r="F348" s="47" t="n">
        <v>25356.1</v>
      </c>
      <c r="G348" s="47" t="n">
        <v>25615</v>
      </c>
      <c r="H348" s="47" t="n">
        <v>25618</v>
      </c>
      <c r="I348" s="47" t="n">
        <v>25615</v>
      </c>
      <c r="J348" s="48" t="n">
        <v>123965</v>
      </c>
      <c r="K348" s="47" t="n">
        <v>2373417.52</v>
      </c>
      <c r="L348" s="48" t="n">
        <v>14836575</v>
      </c>
      <c r="M348" s="48" t="n">
        <v>1751100</v>
      </c>
      <c r="N348" s="47" t="n">
        <v>25549</v>
      </c>
      <c r="O348" s="47" t="n">
        <f aca="false">IF(AND(ISNUMBER(G348),ISNUMBER(N348)),G348-N348,"")</f>
        <v>66</v>
      </c>
      <c r="P348" s="49" t="n">
        <f aca="false">IF(ISNUMBER(O348),O348/N348,"")</f>
        <v>0.00258327136091432</v>
      </c>
      <c r="Q348" s="50" t="n">
        <f aca="false">C348-B348</f>
        <v>35</v>
      </c>
      <c r="R348" s="51" t="n">
        <f aca="false">IF(AND(C348=C347,ISNUMBER(G348),ISNUMBER(G347)),(G348/G347-1)*100,"")</f>
        <v>1.04456769571837</v>
      </c>
      <c r="S348" s="51" t="n">
        <f aca="false">IF(AND(C348=C347,ISNUMBER(L348),ISNUMBER(L347)),(L348/L347-1)*100,"")</f>
        <v>13.3820132627971</v>
      </c>
      <c r="T348" s="51" t="n">
        <f aca="false">IF(AND(C348=C347,ISNUMBER(G348),ISNUMBER(G347)),G348-G347,"")</f>
        <v>264.799999999999</v>
      </c>
      <c r="U348" s="1" t="str">
        <f aca="false">IF(OR(NOT(ISNUMBER(R348)),NOT(ISNUMBER(S348))),"Not classified",IF(AND(R348&gt;0,S348&gt;0),"Long buildup (interpretation)",IF(AND(R348&lt;0,S348&gt;0),"Short buildup (interpretation)",IF(AND(R348&gt;0,S348&lt;0),"Short covering (interpretation)",IF(AND(R348&lt;0,S348&lt;0),"Long unwinding (interpretation)","Neutral")))))</f>
        <v>Long buildup (interpretation)</v>
      </c>
      <c r="V348" s="52" t="str">
        <f aca="false">TEXT(B348,"yyyy-mm")</f>
        <v>2025-06</v>
      </c>
      <c r="W348" s="52" t="n">
        <f aca="false">1+COUNTIFS($B$2:$B$756,B348,$C$2:$C$756,"&lt;"&amp;C348)</f>
        <v>2</v>
      </c>
      <c r="X348" s="53" t="n">
        <f aca="false">IF(AND(ISNUMBER(P348),Q348&gt;0),P348*365/Q348,"")</f>
        <v>0.0269398299066779</v>
      </c>
      <c r="Y348" s="42" t="n">
        <f aca="false">IF(AND(C349=C348,ISNUMBER(R349)),R349,"")</f>
        <v>0.527815732968961</v>
      </c>
      <c r="Z348" s="52" t="n">
        <f aca="false">IF(AND(W348=1,Q348&gt;Basis_Analysis!$B$3,ISNUMBER(Y348)),1,0)</f>
        <v>0</v>
      </c>
      <c r="AA348" s="43" t="str">
        <f aca="false">IF(W348=1,IF(SUMIFS($L$2:$L$756,$B$2:$B$756,B348,$W$2:$W$756,2)&gt;0,SUMIFS($L$2:$L$756,$B$2:$B$756,B348,$W$2:$W$756,2),""),"")</f>
        <v/>
      </c>
      <c r="AB348" s="54" t="str">
        <f aca="false">IF(AND(W348=1,ISNUMBER(AA348)),L348/(L348+AA348),"")</f>
        <v/>
      </c>
    </row>
    <row r="349" customFormat="false" ht="15" hidden="false" customHeight="true" outlineLevel="0" collapsed="false">
      <c r="A349" s="1" t="s">
        <v>274</v>
      </c>
      <c r="B349" s="46" t="n">
        <v>45835</v>
      </c>
      <c r="C349" s="46" t="n">
        <v>45869</v>
      </c>
      <c r="D349" s="47" t="n">
        <v>25695</v>
      </c>
      <c r="E349" s="47" t="n">
        <v>25772.3</v>
      </c>
      <c r="F349" s="47" t="n">
        <v>25635</v>
      </c>
      <c r="G349" s="47" t="n">
        <v>25750.2</v>
      </c>
      <c r="H349" s="47" t="n">
        <v>25757</v>
      </c>
      <c r="I349" s="47" t="n">
        <v>25750.2</v>
      </c>
      <c r="J349" s="48" t="n">
        <v>61012</v>
      </c>
      <c r="K349" s="47" t="n">
        <v>1176683.52</v>
      </c>
      <c r="L349" s="48" t="n">
        <v>14899275</v>
      </c>
      <c r="M349" s="48" t="n">
        <v>62700</v>
      </c>
      <c r="N349" s="47" t="n">
        <v>25637.8</v>
      </c>
      <c r="O349" s="47" t="n">
        <f aca="false">IF(AND(ISNUMBER(G349),ISNUMBER(N349)),G349-N349,"")</f>
        <v>112.400000000001</v>
      </c>
      <c r="P349" s="49" t="n">
        <f aca="false">IF(ISNUMBER(O349),O349/N349,"")</f>
        <v>0.00438415152626206</v>
      </c>
      <c r="Q349" s="50" t="n">
        <f aca="false">C349-B349</f>
        <v>34</v>
      </c>
      <c r="R349" s="51" t="n">
        <f aca="false">IF(AND(C349=C348,ISNUMBER(G349),ISNUMBER(G348)),(G349/G348-1)*100,"")</f>
        <v>0.527815732968961</v>
      </c>
      <c r="S349" s="51" t="n">
        <f aca="false">IF(AND(C349=C348,ISNUMBER(L349),ISNUMBER(L348)),(L349/L348-1)*100,"")</f>
        <v>0.422604273560445</v>
      </c>
      <c r="T349" s="51" t="n">
        <f aca="false">IF(AND(C349=C348,ISNUMBER(G349),ISNUMBER(G348)),G349-G348,"")</f>
        <v>135.200000000001</v>
      </c>
      <c r="U349" s="1" t="str">
        <f aca="false">IF(OR(NOT(ISNUMBER(R349)),NOT(ISNUMBER(S349))),"Not classified",IF(AND(R349&gt;0,S349&gt;0),"Long buildup (interpretation)",IF(AND(R349&lt;0,S349&gt;0),"Short buildup (interpretation)",IF(AND(R349&gt;0,S349&lt;0),"Short covering (interpretation)",IF(AND(R349&lt;0,S349&lt;0),"Long unwinding (interpretation)","Neutral")))))</f>
        <v>Long buildup (interpretation)</v>
      </c>
      <c r="V349" s="52" t="str">
        <f aca="false">TEXT(B349,"yyyy-mm")</f>
        <v>2025-06</v>
      </c>
      <c r="W349" s="52" t="n">
        <f aca="false">1+COUNTIFS($B$2:$B$756,B349,$C$2:$C$756,"&lt;"&amp;C349)</f>
        <v>1</v>
      </c>
      <c r="X349" s="53" t="n">
        <f aca="false">IF(AND(ISNUMBER(P349),Q349&gt;0),P349*365/Q349,"")</f>
        <v>0.0470651560907545</v>
      </c>
      <c r="Y349" s="42" t="n">
        <f aca="false">IF(AND(C350=C349,ISNUMBER(R350)),R350,"")</f>
        <v>-0.52815123766029</v>
      </c>
      <c r="Z349" s="52" t="n">
        <f aca="false">IF(AND(W349=1,Q349&gt;Basis_Analysis!$B$3,ISNUMBER(Y349)),1,0)</f>
        <v>1</v>
      </c>
      <c r="AA349" s="43" t="n">
        <f aca="false">IF(W349=1,IF(SUMIFS($L$2:$L$756,$B$2:$B$756,B349,$W$2:$W$756,2)&gt;0,SUMIFS($L$2:$L$756,$B$2:$B$756,B349,$W$2:$W$756,2),""),"")</f>
        <v>1474425</v>
      </c>
      <c r="AB349" s="54" t="n">
        <f aca="false">IF(AND(W349=1,ISNUMBER(AA349)),L349/(L349+AA349),"")</f>
        <v>0.909951629747705</v>
      </c>
    </row>
    <row r="350" customFormat="false" ht="15" hidden="false" customHeight="true" outlineLevel="0" collapsed="false">
      <c r="A350" s="1" t="s">
        <v>274</v>
      </c>
      <c r="B350" s="46" t="n">
        <v>45838</v>
      </c>
      <c r="C350" s="46" t="n">
        <v>45869</v>
      </c>
      <c r="D350" s="47" t="n">
        <v>25765</v>
      </c>
      <c r="E350" s="47" t="n">
        <v>25792.4</v>
      </c>
      <c r="F350" s="47" t="n">
        <v>25575</v>
      </c>
      <c r="G350" s="47" t="n">
        <v>25614.2</v>
      </c>
      <c r="H350" s="47" t="n">
        <v>25615</v>
      </c>
      <c r="I350" s="47" t="n">
        <v>25614.2</v>
      </c>
      <c r="J350" s="48" t="n">
        <v>95102</v>
      </c>
      <c r="K350" s="47" t="n">
        <v>1829478.99</v>
      </c>
      <c r="L350" s="48" t="n">
        <v>14414550</v>
      </c>
      <c r="M350" s="48" t="n">
        <v>-484725</v>
      </c>
      <c r="N350" s="47" t="n">
        <v>25517.05</v>
      </c>
      <c r="O350" s="47" t="n">
        <f aca="false">IF(AND(ISNUMBER(G350),ISNUMBER(N350)),G350-N350,"")</f>
        <v>97.1500000000015</v>
      </c>
      <c r="P350" s="49" t="n">
        <f aca="false">IF(ISNUMBER(O350),O350/N350,"")</f>
        <v>0.00380725828416692</v>
      </c>
      <c r="Q350" s="50" t="n">
        <f aca="false">C350-B350</f>
        <v>31</v>
      </c>
      <c r="R350" s="51" t="n">
        <f aca="false">IF(AND(C350=C349,ISNUMBER(G350),ISNUMBER(G349)),(G350/G349-1)*100,"")</f>
        <v>-0.52815123766029</v>
      </c>
      <c r="S350" s="51" t="n">
        <f aca="false">IF(AND(C350=C349,ISNUMBER(L350),ISNUMBER(L349)),(L350/L349-1)*100,"")</f>
        <v>-3.2533462198664</v>
      </c>
      <c r="T350" s="51" t="n">
        <f aca="false">IF(AND(C350=C349,ISNUMBER(G350),ISNUMBER(G349)),G350-G349,"")</f>
        <v>-136</v>
      </c>
      <c r="U350" s="1" t="str">
        <f aca="false">IF(OR(NOT(ISNUMBER(R350)),NOT(ISNUMBER(S350))),"Not classified",IF(AND(R350&gt;0,S350&gt;0),"Long buildup (interpretation)",IF(AND(R350&lt;0,S350&gt;0),"Short buildup (interpretation)",IF(AND(R350&gt;0,S350&lt;0),"Short covering (interpretation)",IF(AND(R350&lt;0,S350&lt;0),"Long unwinding (interpretation)","Neutral")))))</f>
        <v>Long unwinding (interpretation)</v>
      </c>
      <c r="V350" s="52" t="str">
        <f aca="false">TEXT(B350,"yyyy-mm")</f>
        <v>2025-06</v>
      </c>
      <c r="W350" s="52" t="n">
        <f aca="false">1+COUNTIFS($B$2:$B$756,B350,$C$2:$C$756,"&lt;"&amp;C350)</f>
        <v>1</v>
      </c>
      <c r="X350" s="53" t="n">
        <f aca="false">IF(AND(ISNUMBER(P350),Q350&gt;0),P350*365/Q350,"")</f>
        <v>0.0448273959264815</v>
      </c>
      <c r="Y350" s="42" t="n">
        <f aca="false">IF(AND(C351=C350,ISNUMBER(R351)),R351,"")</f>
        <v>0.1136088575868</v>
      </c>
      <c r="Z350" s="52" t="n">
        <f aca="false">IF(AND(W350=1,Q350&gt;Basis_Analysis!$B$3,ISNUMBER(Y350)),1,0)</f>
        <v>1</v>
      </c>
      <c r="AA350" s="43" t="n">
        <f aca="false">IF(W350=1,IF(SUMIFS($L$2:$L$756,$B$2:$B$756,B350,$W$2:$W$756,2)&gt;0,SUMIFS($L$2:$L$756,$B$2:$B$756,B350,$W$2:$W$756,2),""),"")</f>
        <v>1586700</v>
      </c>
      <c r="AB350" s="54" t="n">
        <f aca="false">IF(AND(W350=1,ISNUMBER(AA350)),L350/(L350+AA350),"")</f>
        <v>0.900838996953363</v>
      </c>
    </row>
    <row r="351" customFormat="false" ht="15" hidden="false" customHeight="true" outlineLevel="0" collapsed="false">
      <c r="A351" s="1" t="s">
        <v>274</v>
      </c>
      <c r="B351" s="46" t="n">
        <v>45839</v>
      </c>
      <c r="C351" s="46" t="n">
        <v>45869</v>
      </c>
      <c r="D351" s="47" t="n">
        <v>25636</v>
      </c>
      <c r="E351" s="47" t="n">
        <v>25691.4</v>
      </c>
      <c r="F351" s="47" t="n">
        <v>25596.1</v>
      </c>
      <c r="G351" s="47" t="n">
        <v>25643.3</v>
      </c>
      <c r="H351" s="47" t="n">
        <v>25638</v>
      </c>
      <c r="I351" s="47" t="n">
        <v>25643.3</v>
      </c>
      <c r="J351" s="48" t="n">
        <v>45334</v>
      </c>
      <c r="K351" s="47" t="n">
        <v>871962.73</v>
      </c>
      <c r="L351" s="48" t="n">
        <v>14546325</v>
      </c>
      <c r="M351" s="48" t="n">
        <v>131775</v>
      </c>
      <c r="N351" s="47" t="n">
        <v>25541.8</v>
      </c>
      <c r="O351" s="47" t="n">
        <f aca="false">IF(AND(ISNUMBER(G351),ISNUMBER(N351)),G351-N351,"")</f>
        <v>101.5</v>
      </c>
      <c r="P351" s="49" t="n">
        <f aca="false">IF(ISNUMBER(O351),O351/N351,"")</f>
        <v>0.00397387811352371</v>
      </c>
      <c r="Q351" s="50" t="n">
        <f aca="false">C351-B351</f>
        <v>30</v>
      </c>
      <c r="R351" s="51" t="n">
        <f aca="false">IF(AND(C351=C350,ISNUMBER(G351),ISNUMBER(G350)),(G351/G350-1)*100,"")</f>
        <v>0.1136088575868</v>
      </c>
      <c r="S351" s="51" t="n">
        <f aca="false">IF(AND(C351=C350,ISNUMBER(L351),ISNUMBER(L350)),(L351/L350-1)*100,"")</f>
        <v>0.914180463490011</v>
      </c>
      <c r="T351" s="51" t="n">
        <f aca="false">IF(AND(C351=C350,ISNUMBER(G351),ISNUMBER(G350)),G351-G350,"")</f>
        <v>29.0999999999985</v>
      </c>
      <c r="U351" s="1" t="str">
        <f aca="false">IF(OR(NOT(ISNUMBER(R351)),NOT(ISNUMBER(S351))),"Not classified",IF(AND(R351&gt;0,S351&gt;0),"Long buildup (interpretation)",IF(AND(R351&lt;0,S351&gt;0),"Short buildup (interpretation)",IF(AND(R351&gt;0,S351&lt;0),"Short covering (interpretation)",IF(AND(R351&lt;0,S351&lt;0),"Long unwinding (interpretation)","Neutral")))))</f>
        <v>Long buildup (interpretation)</v>
      </c>
      <c r="V351" s="52" t="str">
        <f aca="false">TEXT(B351,"yyyy-mm")</f>
        <v>2025-07</v>
      </c>
      <c r="W351" s="52" t="n">
        <f aca="false">1+COUNTIFS($B$2:$B$756,B351,$C$2:$C$756,"&lt;"&amp;C351)</f>
        <v>1</v>
      </c>
      <c r="X351" s="53" t="n">
        <f aca="false">IF(AND(ISNUMBER(P351),Q351&gt;0),P351*365/Q351,"")</f>
        <v>0.0483488503812052</v>
      </c>
      <c r="Y351" s="42" t="n">
        <f aca="false">IF(AND(C352=C351,ISNUMBER(R352)),R352,"")</f>
        <v>-0.379046378586223</v>
      </c>
      <c r="Z351" s="52" t="n">
        <f aca="false">IF(AND(W351=1,Q351&gt;Basis_Analysis!$B$3,ISNUMBER(Y351)),1,0)</f>
        <v>1</v>
      </c>
      <c r="AA351" s="43" t="n">
        <f aca="false">IF(W351=1,IF(SUMIFS($L$2:$L$756,$B$2:$B$756,B351,$W$2:$W$756,2)&gt;0,SUMIFS($L$2:$L$756,$B$2:$B$756,B351,$W$2:$W$756,2),""),"")</f>
        <v>1644375</v>
      </c>
      <c r="AB351" s="54" t="n">
        <f aca="false">IF(AND(W351=1,ISNUMBER(AA351)),L351/(L351+AA351),"")</f>
        <v>0.898437065722915</v>
      </c>
    </row>
    <row r="352" customFormat="false" ht="15" hidden="false" customHeight="true" outlineLevel="0" collapsed="false">
      <c r="A352" s="1" t="s">
        <v>274</v>
      </c>
      <c r="B352" s="46" t="n">
        <v>45840</v>
      </c>
      <c r="C352" s="46" t="n">
        <v>45869</v>
      </c>
      <c r="D352" s="47" t="n">
        <v>25659</v>
      </c>
      <c r="E352" s="47" t="n">
        <v>25695.1</v>
      </c>
      <c r="F352" s="47" t="n">
        <v>25480</v>
      </c>
      <c r="G352" s="47" t="n">
        <v>25546.1</v>
      </c>
      <c r="H352" s="47" t="n">
        <v>25539.9</v>
      </c>
      <c r="I352" s="47" t="n">
        <v>25546.1</v>
      </c>
      <c r="J352" s="48" t="n">
        <v>76242</v>
      </c>
      <c r="K352" s="47" t="n">
        <v>1462044.51</v>
      </c>
      <c r="L352" s="48" t="n">
        <v>14085450</v>
      </c>
      <c r="M352" s="48" t="n">
        <v>-460875</v>
      </c>
      <c r="N352" s="47" t="n">
        <v>25453.4</v>
      </c>
      <c r="O352" s="47" t="n">
        <f aca="false">IF(AND(ISNUMBER(G352),ISNUMBER(N352)),G352-N352,"")</f>
        <v>92.6999999999971</v>
      </c>
      <c r="P352" s="49" t="n">
        <f aca="false">IF(ISNUMBER(O352),O352/N352,"")</f>
        <v>0.00364194960201769</v>
      </c>
      <c r="Q352" s="50" t="n">
        <f aca="false">C352-B352</f>
        <v>29</v>
      </c>
      <c r="R352" s="51" t="n">
        <f aca="false">IF(AND(C352=C351,ISNUMBER(G352),ISNUMBER(G351)),(G352/G351-1)*100,"")</f>
        <v>-0.379046378586223</v>
      </c>
      <c r="S352" s="51" t="n">
        <f aca="false">IF(AND(C352=C351,ISNUMBER(L352),ISNUMBER(L351)),(L352/L351-1)*100,"")</f>
        <v>-3.16832602048971</v>
      </c>
      <c r="T352" s="51" t="n">
        <f aca="false">IF(AND(C352=C351,ISNUMBER(G352),ISNUMBER(G351)),G352-G351,"")</f>
        <v>-97.2000000000007</v>
      </c>
      <c r="U352" s="1" t="str">
        <f aca="false">IF(OR(NOT(ISNUMBER(R352)),NOT(ISNUMBER(S352))),"Not classified",IF(AND(R352&gt;0,S352&gt;0),"Long buildup (interpretation)",IF(AND(R352&lt;0,S352&gt;0),"Short buildup (interpretation)",IF(AND(R352&gt;0,S352&lt;0),"Short covering (interpretation)",IF(AND(R352&lt;0,S352&lt;0),"Long unwinding (interpretation)","Neutral")))))</f>
        <v>Long unwinding (interpretation)</v>
      </c>
      <c r="V352" s="52" t="str">
        <f aca="false">TEXT(B352,"yyyy-mm")</f>
        <v>2025-07</v>
      </c>
      <c r="W352" s="52" t="n">
        <f aca="false">1+COUNTIFS($B$2:$B$756,B352,$C$2:$C$756,"&lt;"&amp;C352)</f>
        <v>1</v>
      </c>
      <c r="X352" s="53" t="n">
        <f aca="false">IF(AND(ISNUMBER(P352),Q352&gt;0),P352*365/Q352,"")</f>
        <v>0.0458383311978089</v>
      </c>
      <c r="Y352" s="42" t="n">
        <f aca="false">IF(AND(C353=C352,ISNUMBER(R353)),R353,"")</f>
        <v>-0.146793444009063</v>
      </c>
      <c r="Z352" s="52" t="n">
        <f aca="false">IF(AND(W352=1,Q352&gt;Basis_Analysis!$B$3,ISNUMBER(Y352)),1,0)</f>
        <v>1</v>
      </c>
      <c r="AA352" s="43" t="n">
        <f aca="false">IF(W352=1,IF(SUMIFS($L$2:$L$756,$B$2:$B$756,B352,$W$2:$W$756,2)&gt;0,SUMIFS($L$2:$L$756,$B$2:$B$756,B352,$W$2:$W$756,2),""),"")</f>
        <v>1716450</v>
      </c>
      <c r="AB352" s="54" t="n">
        <f aca="false">IF(AND(W352=1,ISNUMBER(AA352)),L352/(L352+AA352),"")</f>
        <v>0.891376986311773</v>
      </c>
    </row>
    <row r="353" customFormat="false" ht="15" hidden="false" customHeight="true" outlineLevel="0" collapsed="false">
      <c r="A353" s="1" t="s">
        <v>274</v>
      </c>
      <c r="B353" s="46" t="n">
        <v>45841</v>
      </c>
      <c r="C353" s="46" t="n">
        <v>45869</v>
      </c>
      <c r="D353" s="47" t="n">
        <v>25551.1</v>
      </c>
      <c r="E353" s="47" t="n">
        <v>25670</v>
      </c>
      <c r="F353" s="47" t="n">
        <v>25485.1</v>
      </c>
      <c r="G353" s="47" t="n">
        <v>25508.6</v>
      </c>
      <c r="H353" s="47" t="n">
        <v>25500</v>
      </c>
      <c r="I353" s="47" t="n">
        <v>25508.6</v>
      </c>
      <c r="J353" s="48" t="n">
        <v>89520</v>
      </c>
      <c r="K353" s="47" t="n">
        <v>1717098.84</v>
      </c>
      <c r="L353" s="48" t="n">
        <v>13701525</v>
      </c>
      <c r="M353" s="48" t="n">
        <v>-383925</v>
      </c>
      <c r="N353" s="47" t="n">
        <v>25405.3</v>
      </c>
      <c r="O353" s="47" t="n">
        <f aca="false">IF(AND(ISNUMBER(G353),ISNUMBER(N353)),G353-N353,"")</f>
        <v>103.299999999999</v>
      </c>
      <c r="P353" s="49" t="n">
        <f aca="false">IF(ISNUMBER(O353),O353/N353,"")</f>
        <v>0.00406608069969649</v>
      </c>
      <c r="Q353" s="50" t="n">
        <f aca="false">C353-B353</f>
        <v>28</v>
      </c>
      <c r="R353" s="51" t="n">
        <f aca="false">IF(AND(C353=C352,ISNUMBER(G353),ISNUMBER(G352)),(G353/G352-1)*100,"")</f>
        <v>-0.146793444009063</v>
      </c>
      <c r="S353" s="51" t="n">
        <f aca="false">IF(AND(C353=C352,ISNUMBER(L353),ISNUMBER(L352)),(L353/L352-1)*100,"")</f>
        <v>-2.72568501538822</v>
      </c>
      <c r="T353" s="51" t="n">
        <f aca="false">IF(AND(C353=C352,ISNUMBER(G353),ISNUMBER(G352)),G353-G352,"")</f>
        <v>-37.5</v>
      </c>
      <c r="U353" s="1" t="str">
        <f aca="false">IF(OR(NOT(ISNUMBER(R353)),NOT(ISNUMBER(S353))),"Not classified",IF(AND(R353&gt;0,S353&gt;0),"Long buildup (interpretation)",IF(AND(R353&lt;0,S353&gt;0),"Short buildup (interpretation)",IF(AND(R353&gt;0,S353&lt;0),"Short covering (interpretation)",IF(AND(R353&lt;0,S353&lt;0),"Long unwinding (interpretation)","Neutral")))))</f>
        <v>Long unwinding (interpretation)</v>
      </c>
      <c r="V353" s="52" t="str">
        <f aca="false">TEXT(B353,"yyyy-mm")</f>
        <v>2025-07</v>
      </c>
      <c r="W353" s="52" t="n">
        <f aca="false">1+COUNTIFS($B$2:$B$756,B353,$C$2:$C$756,"&lt;"&amp;C353)</f>
        <v>1</v>
      </c>
      <c r="X353" s="53" t="n">
        <f aca="false">IF(AND(ISNUMBER(P353),Q353&gt;0),P353*365/Q353,"")</f>
        <v>0.0530042662639007</v>
      </c>
      <c r="Y353" s="42" t="n">
        <f aca="false">IF(AND(C354=C353,ISNUMBER(R354)),R354,"")</f>
        <v>0.123487764910668</v>
      </c>
      <c r="Z353" s="52" t="n">
        <f aca="false">IF(AND(W353=1,Q353&gt;Basis_Analysis!$B$3,ISNUMBER(Y353)),1,0)</f>
        <v>1</v>
      </c>
      <c r="AA353" s="43" t="n">
        <f aca="false">IF(W353=1,IF(SUMIFS($L$2:$L$756,$B$2:$B$756,B353,$W$2:$W$756,2)&gt;0,SUMIFS($L$2:$L$756,$B$2:$B$756,B353,$W$2:$W$756,2),""),"")</f>
        <v>1905150</v>
      </c>
      <c r="AB353" s="54" t="n">
        <f aca="false">IF(AND(W353=1,ISNUMBER(AA353)),L353/(L353+AA353),"")</f>
        <v>0.877927233058932</v>
      </c>
    </row>
    <row r="354" customFormat="false" ht="15" hidden="false" customHeight="true" outlineLevel="0" collapsed="false">
      <c r="A354" s="1" t="s">
        <v>274</v>
      </c>
      <c r="B354" s="46" t="n">
        <v>45842</v>
      </c>
      <c r="C354" s="46" t="n">
        <v>45869</v>
      </c>
      <c r="D354" s="47" t="n">
        <v>25500.1</v>
      </c>
      <c r="E354" s="47" t="n">
        <v>25558.6</v>
      </c>
      <c r="F354" s="47" t="n">
        <v>25410</v>
      </c>
      <c r="G354" s="47" t="n">
        <v>25540.1</v>
      </c>
      <c r="H354" s="47" t="n">
        <v>25552</v>
      </c>
      <c r="I354" s="47" t="n">
        <v>25540.1</v>
      </c>
      <c r="J354" s="48" t="n">
        <v>59309</v>
      </c>
      <c r="K354" s="47" t="n">
        <v>1133678.1</v>
      </c>
      <c r="L354" s="48" t="n">
        <v>13464600</v>
      </c>
      <c r="M354" s="48" t="n">
        <v>-236925</v>
      </c>
      <c r="N354" s="47" t="n">
        <v>25461</v>
      </c>
      <c r="O354" s="47" t="n">
        <f aca="false">IF(AND(ISNUMBER(G354),ISNUMBER(N354)),G354-N354,"")</f>
        <v>79.0999999999985</v>
      </c>
      <c r="P354" s="49" t="n">
        <f aca="false">IF(ISNUMBER(O354),O354/N354,"")</f>
        <v>0.0031067122265425</v>
      </c>
      <c r="Q354" s="50" t="n">
        <f aca="false">C354-B354</f>
        <v>27</v>
      </c>
      <c r="R354" s="51" t="n">
        <f aca="false">IF(AND(C354=C353,ISNUMBER(G354),ISNUMBER(G353)),(G354/G353-1)*100,"")</f>
        <v>0.123487764910668</v>
      </c>
      <c r="S354" s="51" t="n">
        <f aca="false">IF(AND(C354=C353,ISNUMBER(L354),ISNUMBER(L353)),(L354/L353-1)*100,"")</f>
        <v>-1.72918707954042</v>
      </c>
      <c r="T354" s="51" t="n">
        <f aca="false">IF(AND(C354=C353,ISNUMBER(G354),ISNUMBER(G353)),G354-G353,"")</f>
        <v>31.5</v>
      </c>
      <c r="U354" s="1" t="str">
        <f aca="false">IF(OR(NOT(ISNUMBER(R354)),NOT(ISNUMBER(S354))),"Not classified",IF(AND(R354&gt;0,S354&gt;0),"Long buildup (interpretation)",IF(AND(R354&lt;0,S354&gt;0),"Short buildup (interpretation)",IF(AND(R354&gt;0,S354&lt;0),"Short covering (interpretation)",IF(AND(R354&lt;0,S354&lt;0),"Long unwinding (interpretation)","Neutral")))))</f>
        <v>Short covering (interpretation)</v>
      </c>
      <c r="V354" s="52" t="str">
        <f aca="false">TEXT(B354,"yyyy-mm")</f>
        <v>2025-07</v>
      </c>
      <c r="W354" s="52" t="n">
        <f aca="false">1+COUNTIFS($B$2:$B$756,B354,$C$2:$C$756,"&lt;"&amp;C354)</f>
        <v>1</v>
      </c>
      <c r="X354" s="53" t="n">
        <f aca="false">IF(AND(ISNUMBER(P354),Q354&gt;0),P354*365/Q354,"")</f>
        <v>0.0419981467662227</v>
      </c>
      <c r="Y354" s="42" t="n">
        <f aca="false">IF(AND(C355=C354,ISNUMBER(R355)),R355,"")</f>
        <v>-0.00469849374120646</v>
      </c>
      <c r="Z354" s="52" t="n">
        <f aca="false">IF(AND(W354=1,Q354&gt;Basis_Analysis!$B$3,ISNUMBER(Y354)),1,0)</f>
        <v>1</v>
      </c>
      <c r="AA354" s="43" t="n">
        <f aca="false">IF(W354=1,IF(SUMIFS($L$2:$L$756,$B$2:$B$756,B354,$W$2:$W$756,2)&gt;0,SUMIFS($L$2:$L$756,$B$2:$B$756,B354,$W$2:$W$756,2),""),"")</f>
        <v>2096625</v>
      </c>
      <c r="AB354" s="54" t="n">
        <f aca="false">IF(AND(W354=1,ISNUMBER(AA354)),L354/(L354+AA354),"")</f>
        <v>0.865266069991276</v>
      </c>
    </row>
    <row r="355" customFormat="false" ht="15" hidden="false" customHeight="true" outlineLevel="0" collapsed="false">
      <c r="A355" s="1" t="s">
        <v>274</v>
      </c>
      <c r="B355" s="46" t="n">
        <v>45845</v>
      </c>
      <c r="C355" s="46" t="n">
        <v>45869</v>
      </c>
      <c r="D355" s="47" t="n">
        <v>25528.9</v>
      </c>
      <c r="E355" s="47" t="n">
        <v>25574.8</v>
      </c>
      <c r="F355" s="47" t="n">
        <v>25475.7</v>
      </c>
      <c r="G355" s="47" t="n">
        <v>25538.9</v>
      </c>
      <c r="H355" s="47" t="n">
        <v>25541.1</v>
      </c>
      <c r="I355" s="47" t="n">
        <v>25538.9</v>
      </c>
      <c r="J355" s="48" t="n">
        <v>41703</v>
      </c>
      <c r="K355" s="47" t="n">
        <v>798578.25</v>
      </c>
      <c r="L355" s="48" t="n">
        <v>13276800</v>
      </c>
      <c r="M355" s="48" t="n">
        <v>-187800</v>
      </c>
      <c r="N355" s="47" t="n">
        <v>25461.3</v>
      </c>
      <c r="O355" s="47" t="n">
        <f aca="false">IF(AND(ISNUMBER(G355),ISNUMBER(N355)),G355-N355,"")</f>
        <v>77.6000000000022</v>
      </c>
      <c r="P355" s="49" t="n">
        <f aca="false">IF(ISNUMBER(O355),O355/N355,"")</f>
        <v>0.00304776268297385</v>
      </c>
      <c r="Q355" s="50" t="n">
        <f aca="false">C355-B355</f>
        <v>24</v>
      </c>
      <c r="R355" s="51" t="n">
        <f aca="false">IF(AND(C355=C354,ISNUMBER(G355),ISNUMBER(G354)),(G355/G354-1)*100,"")</f>
        <v>-0.00469849374120646</v>
      </c>
      <c r="S355" s="51" t="n">
        <f aca="false">IF(AND(C355=C354,ISNUMBER(L355),ISNUMBER(L354)),(L355/L354-1)*100,"")</f>
        <v>-1.39476850407736</v>
      </c>
      <c r="T355" s="51" t="n">
        <f aca="false">IF(AND(C355=C354,ISNUMBER(G355),ISNUMBER(G354)),G355-G354,"")</f>
        <v>-1.19999999999709</v>
      </c>
      <c r="U355" s="1" t="str">
        <f aca="false">IF(OR(NOT(ISNUMBER(R355)),NOT(ISNUMBER(S355))),"Not classified",IF(AND(R355&gt;0,S355&gt;0),"Long buildup (interpretation)",IF(AND(R355&lt;0,S355&gt;0),"Short buildup (interpretation)",IF(AND(R355&gt;0,S355&lt;0),"Short covering (interpretation)",IF(AND(R355&lt;0,S355&lt;0),"Long unwinding (interpretation)","Neutral")))))</f>
        <v>Long unwinding (interpretation)</v>
      </c>
      <c r="V355" s="52" t="str">
        <f aca="false">TEXT(B355,"yyyy-mm")</f>
        <v>2025-07</v>
      </c>
      <c r="W355" s="52" t="n">
        <f aca="false">1+COUNTIFS($B$2:$B$756,B355,$C$2:$C$756,"&lt;"&amp;C355)</f>
        <v>1</v>
      </c>
      <c r="X355" s="53" t="n">
        <f aca="false">IF(AND(ISNUMBER(P355),Q355&gt;0),P355*365/Q355,"")</f>
        <v>0.0463513908035607</v>
      </c>
      <c r="Y355" s="42" t="n">
        <f aca="false">IF(AND(C356=C355,ISNUMBER(R356)),R356,"")</f>
        <v>0.285838466026345</v>
      </c>
      <c r="Z355" s="52" t="n">
        <f aca="false">IF(AND(W355=1,Q355&gt;Basis_Analysis!$B$3,ISNUMBER(Y355)),1,0)</f>
        <v>1</v>
      </c>
      <c r="AA355" s="43" t="n">
        <f aca="false">IF(W355=1,IF(SUMIFS($L$2:$L$756,$B$2:$B$756,B355,$W$2:$W$756,2)&gt;0,SUMIFS($L$2:$L$756,$B$2:$B$756,B355,$W$2:$W$756,2),""),"")</f>
        <v>2558025</v>
      </c>
      <c r="AB355" s="54" t="n">
        <f aca="false">IF(AND(W355=1,ISNUMBER(AA355)),L355/(L355+AA355),"")</f>
        <v>0.838455745485031</v>
      </c>
    </row>
    <row r="356" customFormat="false" ht="15" hidden="false" customHeight="true" outlineLevel="0" collapsed="false">
      <c r="A356" s="1" t="s">
        <v>274</v>
      </c>
      <c r="B356" s="46" t="n">
        <v>45846</v>
      </c>
      <c r="C356" s="46" t="n">
        <v>45869</v>
      </c>
      <c r="D356" s="47" t="n">
        <v>25530</v>
      </c>
      <c r="E356" s="47" t="n">
        <v>25635</v>
      </c>
      <c r="F356" s="47" t="n">
        <v>25499.4</v>
      </c>
      <c r="G356" s="47" t="n">
        <v>25611.9</v>
      </c>
      <c r="H356" s="47" t="n">
        <v>25625</v>
      </c>
      <c r="I356" s="47" t="n">
        <v>25611.9</v>
      </c>
      <c r="J356" s="48" t="n">
        <v>40247</v>
      </c>
      <c r="K356" s="47" t="n">
        <v>771813.93</v>
      </c>
      <c r="L356" s="48" t="n">
        <v>13341975</v>
      </c>
      <c r="M356" s="48" t="n">
        <v>65175</v>
      </c>
      <c r="N356" s="47" t="n">
        <v>25522.5</v>
      </c>
      <c r="O356" s="47" t="n">
        <f aca="false">IF(AND(ISNUMBER(G356),ISNUMBER(N356)),G356-N356,"")</f>
        <v>89.4000000000015</v>
      </c>
      <c r="P356" s="49" t="n">
        <f aca="false">IF(ISNUMBER(O356),O356/N356,"")</f>
        <v>0.00350279165442263</v>
      </c>
      <c r="Q356" s="50" t="n">
        <f aca="false">C356-B356</f>
        <v>23</v>
      </c>
      <c r="R356" s="51" t="n">
        <f aca="false">IF(AND(C356=C355,ISNUMBER(G356),ISNUMBER(G355)),(G356/G355-1)*100,"")</f>
        <v>0.285838466026345</v>
      </c>
      <c r="S356" s="51" t="n">
        <f aca="false">IF(AND(C356=C355,ISNUMBER(L356),ISNUMBER(L355)),(L356/L355-1)*100,"")</f>
        <v>0.490893890094002</v>
      </c>
      <c r="T356" s="51" t="n">
        <f aca="false">IF(AND(C356=C355,ISNUMBER(G356),ISNUMBER(G355)),G356-G355,"")</f>
        <v>73</v>
      </c>
      <c r="U356" s="1" t="str">
        <f aca="false">IF(OR(NOT(ISNUMBER(R356)),NOT(ISNUMBER(S356))),"Not classified",IF(AND(R356&gt;0,S356&gt;0),"Long buildup (interpretation)",IF(AND(R356&lt;0,S356&gt;0),"Short buildup (interpretation)",IF(AND(R356&gt;0,S356&lt;0),"Short covering (interpretation)",IF(AND(R356&lt;0,S356&lt;0),"Long unwinding (interpretation)","Neutral")))))</f>
        <v>Long buildup (interpretation)</v>
      </c>
      <c r="V356" s="52" t="str">
        <f aca="false">TEXT(B356,"yyyy-mm")</f>
        <v>2025-07</v>
      </c>
      <c r="W356" s="52" t="n">
        <f aca="false">1+COUNTIFS($B$2:$B$756,B356,$C$2:$C$756,"&lt;"&amp;C356)</f>
        <v>1</v>
      </c>
      <c r="X356" s="53" t="n">
        <f aca="false">IF(AND(ISNUMBER(P356),Q356&gt;0),P356*365/Q356,"")</f>
        <v>0.0555877806027938</v>
      </c>
      <c r="Y356" s="42" t="n">
        <f aca="false">IF(AND(C357=C356,ISNUMBER(R357)),R357,"")</f>
        <v>-0.207325501036637</v>
      </c>
      <c r="Z356" s="52" t="n">
        <f aca="false">IF(AND(W356=1,Q356&gt;Basis_Analysis!$B$3,ISNUMBER(Y356)),1,0)</f>
        <v>1</v>
      </c>
      <c r="AA356" s="43" t="n">
        <f aca="false">IF(W356=1,IF(SUMIFS($L$2:$L$756,$B$2:$B$756,B356,$W$2:$W$756,2)&gt;0,SUMIFS($L$2:$L$756,$B$2:$B$756,B356,$W$2:$W$756,2),""),"")</f>
        <v>3161100</v>
      </c>
      <c r="AB356" s="54" t="n">
        <f aca="false">IF(AND(W356=1,ISNUMBER(AA356)),L356/(L356+AA356),"")</f>
        <v>0.808453879049814</v>
      </c>
    </row>
    <row r="357" customFormat="false" ht="15" hidden="false" customHeight="true" outlineLevel="0" collapsed="false">
      <c r="A357" s="1" t="s">
        <v>274</v>
      </c>
      <c r="B357" s="46" t="n">
        <v>45847</v>
      </c>
      <c r="C357" s="46" t="n">
        <v>45869</v>
      </c>
      <c r="D357" s="47" t="n">
        <v>25592.9</v>
      </c>
      <c r="E357" s="47" t="n">
        <v>25646</v>
      </c>
      <c r="F357" s="47" t="n">
        <v>25522.8</v>
      </c>
      <c r="G357" s="47" t="n">
        <v>25558.8</v>
      </c>
      <c r="H357" s="47" t="n">
        <v>25550</v>
      </c>
      <c r="I357" s="47" t="n">
        <v>25558.8</v>
      </c>
      <c r="J357" s="48" t="n">
        <v>46447</v>
      </c>
      <c r="K357" s="47" t="n">
        <v>891326.64</v>
      </c>
      <c r="L357" s="48" t="n">
        <v>13456800</v>
      </c>
      <c r="M357" s="48" t="n">
        <v>114825</v>
      </c>
      <c r="N357" s="47" t="n">
        <v>25476.1</v>
      </c>
      <c r="O357" s="47" t="n">
        <f aca="false">IF(AND(ISNUMBER(G357),ISNUMBER(N357)),G357-N357,"")</f>
        <v>82.7000000000007</v>
      </c>
      <c r="P357" s="49" t="n">
        <f aca="false">IF(ISNUMBER(O357),O357/N357,"")</f>
        <v>0.00324617975278794</v>
      </c>
      <c r="Q357" s="50" t="n">
        <f aca="false">C357-B357</f>
        <v>22</v>
      </c>
      <c r="R357" s="51" t="n">
        <f aca="false">IF(AND(C357=C356,ISNUMBER(G357),ISNUMBER(G356)),(G357/G356-1)*100,"")</f>
        <v>-0.207325501036637</v>
      </c>
      <c r="S357" s="51" t="n">
        <f aca="false">IF(AND(C357=C356,ISNUMBER(L357),ISNUMBER(L356)),(L357/L356-1)*100,"")</f>
        <v>0.860629704372862</v>
      </c>
      <c r="T357" s="51" t="n">
        <f aca="false">IF(AND(C357=C356,ISNUMBER(G357),ISNUMBER(G356)),G357-G356,"")</f>
        <v>-53.1000000000022</v>
      </c>
      <c r="U357" s="1" t="str">
        <f aca="false">IF(OR(NOT(ISNUMBER(R357)),NOT(ISNUMBER(S357))),"Not classified",IF(AND(R357&gt;0,S357&gt;0),"Long buildup (interpretation)",IF(AND(R357&lt;0,S357&gt;0),"Short buildup (interpretation)",IF(AND(R357&gt;0,S357&lt;0),"Short covering (interpretation)",IF(AND(R357&lt;0,S357&lt;0),"Long unwinding (interpretation)","Neutral")))))</f>
        <v>Short buildup (interpretation)</v>
      </c>
      <c r="V357" s="52" t="str">
        <f aca="false">TEXT(B357,"yyyy-mm")</f>
        <v>2025-07</v>
      </c>
      <c r="W357" s="52" t="n">
        <f aca="false">1+COUNTIFS($B$2:$B$756,B357,$C$2:$C$756,"&lt;"&amp;C357)</f>
        <v>1</v>
      </c>
      <c r="X357" s="53" t="n">
        <f aca="false">IF(AND(ISNUMBER(P357),Q357&gt;0),P357*365/Q357,"")</f>
        <v>0.0538570731712544</v>
      </c>
      <c r="Y357" s="42" t="n">
        <f aca="false">IF(AND(C358=C357,ISNUMBER(R358)),R358,"")</f>
        <v>-0.535627650750414</v>
      </c>
      <c r="Z357" s="52" t="n">
        <f aca="false">IF(AND(W357=1,Q357&gt;Basis_Analysis!$B$3,ISNUMBER(Y357)),1,0)</f>
        <v>1</v>
      </c>
      <c r="AA357" s="43" t="n">
        <f aca="false">IF(W357=1,IF(SUMIFS($L$2:$L$756,$B$2:$B$756,B357,$W$2:$W$756,2)&gt;0,SUMIFS($L$2:$L$756,$B$2:$B$756,B357,$W$2:$W$756,2),""),"")</f>
        <v>3567825</v>
      </c>
      <c r="AB357" s="54" t="n">
        <f aca="false">IF(AND(W357=1,ISNUMBER(AA357)),L357/(L357+AA357),"")</f>
        <v>0.790431507301923</v>
      </c>
    </row>
    <row r="358" customFormat="false" ht="15" hidden="false" customHeight="true" outlineLevel="0" collapsed="false">
      <c r="A358" s="1" t="s">
        <v>274</v>
      </c>
      <c r="B358" s="46" t="n">
        <v>45848</v>
      </c>
      <c r="C358" s="46" t="n">
        <v>45869</v>
      </c>
      <c r="D358" s="47" t="n">
        <v>25590.8</v>
      </c>
      <c r="E358" s="47" t="n">
        <v>25595.2</v>
      </c>
      <c r="F358" s="47" t="n">
        <v>25411.2</v>
      </c>
      <c r="G358" s="47" t="n">
        <v>25421.9</v>
      </c>
      <c r="H358" s="47" t="n">
        <v>25414</v>
      </c>
      <c r="I358" s="47" t="n">
        <v>25421.9</v>
      </c>
      <c r="J358" s="48" t="n">
        <v>66223</v>
      </c>
      <c r="K358" s="47" t="n">
        <v>1264702.95</v>
      </c>
      <c r="L358" s="48" t="n">
        <v>13465950</v>
      </c>
      <c r="M358" s="48" t="n">
        <v>9150</v>
      </c>
      <c r="N358" s="47" t="n">
        <v>25355.25</v>
      </c>
      <c r="O358" s="47" t="n">
        <f aca="false">IF(AND(ISNUMBER(G358),ISNUMBER(N358)),G358-N358,"")</f>
        <v>66.6500000000015</v>
      </c>
      <c r="P358" s="49" t="n">
        <f aca="false">IF(ISNUMBER(O358),O358/N358,"")</f>
        <v>0.00262864692716504</v>
      </c>
      <c r="Q358" s="50" t="n">
        <f aca="false">C358-B358</f>
        <v>21</v>
      </c>
      <c r="R358" s="51" t="n">
        <f aca="false">IF(AND(C358=C357,ISNUMBER(G358),ISNUMBER(G357)),(G358/G357-1)*100,"")</f>
        <v>-0.535627650750414</v>
      </c>
      <c r="S358" s="51" t="n">
        <f aca="false">IF(AND(C358=C357,ISNUMBER(L358),ISNUMBER(L357)),(L358/L357-1)*100,"")</f>
        <v>0.0679953629391772</v>
      </c>
      <c r="T358" s="51" t="n">
        <f aca="false">IF(AND(C358=C357,ISNUMBER(G358),ISNUMBER(G357)),G358-G357,"")</f>
        <v>-136.899999999998</v>
      </c>
      <c r="U358" s="1" t="str">
        <f aca="false">IF(OR(NOT(ISNUMBER(R358)),NOT(ISNUMBER(S358))),"Not classified",IF(AND(R358&gt;0,S358&gt;0),"Long buildup (interpretation)",IF(AND(R358&lt;0,S358&gt;0),"Short buildup (interpretation)",IF(AND(R358&gt;0,S358&lt;0),"Short covering (interpretation)",IF(AND(R358&lt;0,S358&lt;0),"Long unwinding (interpretation)","Neutral")))))</f>
        <v>Short buildup (interpretation)</v>
      </c>
      <c r="V358" s="52" t="str">
        <f aca="false">TEXT(B358,"yyyy-mm")</f>
        <v>2025-07</v>
      </c>
      <c r="W358" s="52" t="n">
        <f aca="false">1+COUNTIFS($B$2:$B$756,B358,$C$2:$C$756,"&lt;"&amp;C358)</f>
        <v>1</v>
      </c>
      <c r="X358" s="53" t="n">
        <f aca="false">IF(AND(ISNUMBER(P358),Q358&gt;0),P358*365/Q358,"")</f>
        <v>0.0456883870673924</v>
      </c>
      <c r="Y358" s="42" t="n">
        <f aca="false">IF(AND(C359=C358,ISNUMBER(R359)),R359,"")</f>
        <v>-0.780822833855843</v>
      </c>
      <c r="Z358" s="52" t="n">
        <f aca="false">IF(AND(W358=1,Q358&gt;Basis_Analysis!$B$3,ISNUMBER(Y358)),1,0)</f>
        <v>1</v>
      </c>
      <c r="AA358" s="43" t="n">
        <f aca="false">IF(W358=1,IF(SUMIFS($L$2:$L$756,$B$2:$B$756,B358,$W$2:$W$756,2)&gt;0,SUMIFS($L$2:$L$756,$B$2:$B$756,B358,$W$2:$W$756,2),""),"")</f>
        <v>3754875</v>
      </c>
      <c r="AB358" s="54" t="n">
        <f aca="false">IF(AND(W358=1,ISNUMBER(AA358)),L358/(L358+AA358),"")</f>
        <v>0.781957310407602</v>
      </c>
    </row>
    <row r="359" customFormat="false" ht="15" hidden="false" customHeight="true" outlineLevel="0" collapsed="false">
      <c r="A359" s="1" t="s">
        <v>274</v>
      </c>
      <c r="B359" s="46" t="n">
        <v>45849</v>
      </c>
      <c r="C359" s="46" t="n">
        <v>45869</v>
      </c>
      <c r="D359" s="47" t="n">
        <v>25335</v>
      </c>
      <c r="E359" s="47" t="n">
        <v>25384</v>
      </c>
      <c r="F359" s="47" t="n">
        <v>25205</v>
      </c>
      <c r="G359" s="47" t="n">
        <v>25223.4</v>
      </c>
      <c r="H359" s="47" t="n">
        <v>25208</v>
      </c>
      <c r="I359" s="47" t="n">
        <v>25223.4</v>
      </c>
      <c r="J359" s="48" t="n">
        <v>73945</v>
      </c>
      <c r="K359" s="47" t="n">
        <v>1401406.27</v>
      </c>
      <c r="L359" s="48" t="n">
        <v>13451400</v>
      </c>
      <c r="M359" s="48" t="n">
        <v>-14550</v>
      </c>
      <c r="N359" s="47" t="n">
        <v>25149.85</v>
      </c>
      <c r="O359" s="47" t="n">
        <f aca="false">IF(AND(ISNUMBER(G359),ISNUMBER(N359)),G359-N359,"")</f>
        <v>73.5500000000029</v>
      </c>
      <c r="P359" s="49" t="n">
        <f aca="false">IF(ISNUMBER(O359),O359/N359,"")</f>
        <v>0.00292447072248951</v>
      </c>
      <c r="Q359" s="50" t="n">
        <f aca="false">C359-B359</f>
        <v>20</v>
      </c>
      <c r="R359" s="51" t="n">
        <f aca="false">IF(AND(C359=C358,ISNUMBER(G359),ISNUMBER(G358)),(G359/G358-1)*100,"")</f>
        <v>-0.780822833855843</v>
      </c>
      <c r="S359" s="51" t="n">
        <f aca="false">IF(AND(C359=C358,ISNUMBER(L359),ISNUMBER(L358)),(L359/L358-1)*100,"")</f>
        <v>-0.108050304657303</v>
      </c>
      <c r="T359" s="51" t="n">
        <f aca="false">IF(AND(C359=C358,ISNUMBER(G359),ISNUMBER(G358)),G359-G358,"")</f>
        <v>-198.5</v>
      </c>
      <c r="U359" s="1" t="str">
        <f aca="false">IF(OR(NOT(ISNUMBER(R359)),NOT(ISNUMBER(S359))),"Not classified",IF(AND(R359&gt;0,S359&gt;0),"Long buildup (interpretation)",IF(AND(R359&lt;0,S359&gt;0),"Short buildup (interpretation)",IF(AND(R359&gt;0,S359&lt;0),"Short covering (interpretation)",IF(AND(R359&lt;0,S359&lt;0),"Long unwinding (interpretation)","Neutral")))))</f>
        <v>Long unwinding (interpretation)</v>
      </c>
      <c r="V359" s="52" t="str">
        <f aca="false">TEXT(B359,"yyyy-mm")</f>
        <v>2025-07</v>
      </c>
      <c r="W359" s="52" t="n">
        <f aca="false">1+COUNTIFS($B$2:$B$756,B359,$C$2:$C$756,"&lt;"&amp;C359)</f>
        <v>1</v>
      </c>
      <c r="X359" s="53" t="n">
        <f aca="false">IF(AND(ISNUMBER(P359),Q359&gt;0),P359*365/Q359,"")</f>
        <v>0.0533715906854336</v>
      </c>
      <c r="Y359" s="42" t="n">
        <f aca="false">IF(AND(C360=C359,ISNUMBER(R360)),R360,"")</f>
        <v>-0.22161960719016</v>
      </c>
      <c r="Z359" s="52" t="n">
        <f aca="false">IF(AND(W359=1,Q359&gt;Basis_Analysis!$B$3,ISNUMBER(Y359)),1,0)</f>
        <v>1</v>
      </c>
      <c r="AA359" s="43" t="n">
        <f aca="false">IF(W359=1,IF(SUMIFS($L$2:$L$756,$B$2:$B$756,B359,$W$2:$W$756,2)&gt;0,SUMIFS($L$2:$L$756,$B$2:$B$756,B359,$W$2:$W$756,2),""),"")</f>
        <v>3935925</v>
      </c>
      <c r="AB359" s="54" t="n">
        <f aca="false">IF(AND(W359=1,ISNUMBER(AA359)),L359/(L359+AA359),"")</f>
        <v>0.773632516790248</v>
      </c>
    </row>
    <row r="360" customFormat="false" ht="15" hidden="false" customHeight="true" outlineLevel="0" collapsed="false">
      <c r="A360" s="1" t="s">
        <v>274</v>
      </c>
      <c r="B360" s="46" t="n">
        <v>45852</v>
      </c>
      <c r="C360" s="46" t="n">
        <v>45869</v>
      </c>
      <c r="D360" s="47" t="n">
        <v>25234.8</v>
      </c>
      <c r="E360" s="47" t="n">
        <v>25234.8</v>
      </c>
      <c r="F360" s="47" t="n">
        <v>25076.3</v>
      </c>
      <c r="G360" s="47" t="n">
        <v>25167.5</v>
      </c>
      <c r="H360" s="47" t="n">
        <v>25173</v>
      </c>
      <c r="I360" s="47" t="n">
        <v>25167.5</v>
      </c>
      <c r="J360" s="48" t="n">
        <v>66379</v>
      </c>
      <c r="K360" s="47" t="n">
        <v>1251523.25</v>
      </c>
      <c r="L360" s="48" t="n">
        <v>13697325</v>
      </c>
      <c r="M360" s="48" t="n">
        <v>245925</v>
      </c>
      <c r="N360" s="47" t="n">
        <v>25082.3</v>
      </c>
      <c r="O360" s="47" t="n">
        <f aca="false">IF(AND(ISNUMBER(G360),ISNUMBER(N360)),G360-N360,"")</f>
        <v>85.2000000000007</v>
      </c>
      <c r="P360" s="49" t="n">
        <f aca="false">IF(ISNUMBER(O360),O360/N360,"")</f>
        <v>0.00339681767620995</v>
      </c>
      <c r="Q360" s="50" t="n">
        <f aca="false">C360-B360</f>
        <v>17</v>
      </c>
      <c r="R360" s="51" t="n">
        <f aca="false">IF(AND(C360=C359,ISNUMBER(G360),ISNUMBER(G359)),(G360/G359-1)*100,"")</f>
        <v>-0.22161960719016</v>
      </c>
      <c r="S360" s="51" t="n">
        <f aca="false">IF(AND(C360=C359,ISNUMBER(L360),ISNUMBER(L359)),(L360/L359-1)*100,"")</f>
        <v>1.82824836076543</v>
      </c>
      <c r="T360" s="51" t="n">
        <f aca="false">IF(AND(C360=C359,ISNUMBER(G360),ISNUMBER(G359)),G360-G359,"")</f>
        <v>-55.9000000000015</v>
      </c>
      <c r="U360" s="1" t="str">
        <f aca="false">IF(OR(NOT(ISNUMBER(R360)),NOT(ISNUMBER(S360))),"Not classified",IF(AND(R360&gt;0,S360&gt;0),"Long buildup (interpretation)",IF(AND(R360&lt;0,S360&gt;0),"Short buildup (interpretation)",IF(AND(R360&gt;0,S360&lt;0),"Short covering (interpretation)",IF(AND(R360&lt;0,S360&lt;0),"Long unwinding (interpretation)","Neutral")))))</f>
        <v>Short buildup (interpretation)</v>
      </c>
      <c r="V360" s="52" t="str">
        <f aca="false">TEXT(B360,"yyyy-mm")</f>
        <v>2025-07</v>
      </c>
      <c r="W360" s="52" t="n">
        <f aca="false">1+COUNTIFS($B$2:$B$756,B360,$C$2:$C$756,"&lt;"&amp;C360)</f>
        <v>1</v>
      </c>
      <c r="X360" s="53" t="n">
        <f aca="false">IF(AND(ISNUMBER(P360),Q360&gt;0),P360*365/Q360,"")</f>
        <v>0.0729316736362724</v>
      </c>
      <c r="Y360" s="42" t="n">
        <f aca="false">IF(AND(C361=C360,ISNUMBER(R361)),R361,"")</f>
        <v>0.389788417602066</v>
      </c>
      <c r="Z360" s="52" t="n">
        <f aca="false">IF(AND(W360=1,Q360&gt;Basis_Analysis!$B$3,ISNUMBER(Y360)),1,0)</f>
        <v>1</v>
      </c>
      <c r="AA360" s="43" t="n">
        <f aca="false">IF(W360=1,IF(SUMIFS($L$2:$L$756,$B$2:$B$756,B360,$W$2:$W$756,2)&gt;0,SUMIFS($L$2:$L$756,$B$2:$B$756,B360,$W$2:$W$756,2),""),"")</f>
        <v>4445550</v>
      </c>
      <c r="AB360" s="54" t="n">
        <f aca="false">IF(AND(W360=1,ISNUMBER(AA360)),L360/(L360+AA360),"")</f>
        <v>0.754969926210703</v>
      </c>
    </row>
    <row r="361" customFormat="false" ht="15" hidden="false" customHeight="true" outlineLevel="0" collapsed="false">
      <c r="A361" s="1" t="s">
        <v>274</v>
      </c>
      <c r="B361" s="46" t="n">
        <v>45853</v>
      </c>
      <c r="C361" s="46" t="n">
        <v>45869</v>
      </c>
      <c r="D361" s="47" t="n">
        <v>25180</v>
      </c>
      <c r="E361" s="47" t="n">
        <v>25306</v>
      </c>
      <c r="F361" s="47" t="n">
        <v>25152.1</v>
      </c>
      <c r="G361" s="47" t="n">
        <v>25265.6</v>
      </c>
      <c r="H361" s="47" t="n">
        <v>25283</v>
      </c>
      <c r="I361" s="47" t="n">
        <v>25265.6</v>
      </c>
      <c r="J361" s="48" t="n">
        <v>54449</v>
      </c>
      <c r="K361" s="47" t="n">
        <v>1030816.66</v>
      </c>
      <c r="L361" s="48" t="n">
        <v>13659150</v>
      </c>
      <c r="M361" s="48" t="n">
        <v>-38175</v>
      </c>
      <c r="N361" s="47" t="n">
        <v>25195.8</v>
      </c>
      <c r="O361" s="47" t="n">
        <f aca="false">IF(AND(ISNUMBER(G361),ISNUMBER(N361)),G361-N361,"")</f>
        <v>69.7999999999993</v>
      </c>
      <c r="P361" s="49" t="n">
        <f aca="false">IF(ISNUMBER(O361),O361/N361,"")</f>
        <v>0.00277030298700574</v>
      </c>
      <c r="Q361" s="50" t="n">
        <f aca="false">C361-B361</f>
        <v>16</v>
      </c>
      <c r="R361" s="51" t="n">
        <f aca="false">IF(AND(C361=C360,ISNUMBER(G361),ISNUMBER(G360)),(G361/G360-1)*100,"")</f>
        <v>0.389788417602066</v>
      </c>
      <c r="S361" s="51" t="n">
        <f aca="false">IF(AND(C361=C360,ISNUMBER(L361),ISNUMBER(L360)),(L361/L360-1)*100,"")</f>
        <v>-0.2787040535287</v>
      </c>
      <c r="T361" s="51" t="n">
        <f aca="false">IF(AND(C361=C360,ISNUMBER(G361),ISNUMBER(G360)),G361-G360,"")</f>
        <v>98.0999999999985</v>
      </c>
      <c r="U361" s="1" t="str">
        <f aca="false">IF(OR(NOT(ISNUMBER(R361)),NOT(ISNUMBER(S361))),"Not classified",IF(AND(R361&gt;0,S361&gt;0),"Long buildup (interpretation)",IF(AND(R361&lt;0,S361&gt;0),"Short buildup (interpretation)",IF(AND(R361&gt;0,S361&lt;0),"Short covering (interpretation)",IF(AND(R361&lt;0,S361&lt;0),"Long unwinding (interpretation)","Neutral")))))</f>
        <v>Short covering (interpretation)</v>
      </c>
      <c r="V361" s="52" t="str">
        <f aca="false">TEXT(B361,"yyyy-mm")</f>
        <v>2025-07</v>
      </c>
      <c r="W361" s="52" t="n">
        <f aca="false">1+COUNTIFS($B$2:$B$756,B361,$C$2:$C$756,"&lt;"&amp;C361)</f>
        <v>1</v>
      </c>
      <c r="X361" s="53" t="n">
        <f aca="false">IF(AND(ISNUMBER(P361),Q361&gt;0),P361*365/Q361,"")</f>
        <v>0.0631975368910685</v>
      </c>
      <c r="Y361" s="42" t="n">
        <f aca="false">IF(AND(C362=C361,ISNUMBER(R362)),R362,"")</f>
        <v>-0.0783674244822952</v>
      </c>
      <c r="Z361" s="52" t="n">
        <f aca="false">IF(AND(W361=1,Q361&gt;Basis_Analysis!$B$3,ISNUMBER(Y361)),1,0)</f>
        <v>1</v>
      </c>
      <c r="AA361" s="43" t="n">
        <f aca="false">IF(W361=1,IF(SUMIFS($L$2:$L$756,$B$2:$B$756,B361,$W$2:$W$756,2)&gt;0,SUMIFS($L$2:$L$756,$B$2:$B$756,B361,$W$2:$W$756,2),""),"")</f>
        <v>4547100</v>
      </c>
      <c r="AB361" s="54" t="n">
        <f aca="false">IF(AND(W361=1,ISNUMBER(AA361)),L361/(L361+AA361),"")</f>
        <v>0.750245108135942</v>
      </c>
    </row>
    <row r="362" customFormat="false" ht="15" hidden="false" customHeight="true" outlineLevel="0" collapsed="false">
      <c r="A362" s="1" t="s">
        <v>274</v>
      </c>
      <c r="B362" s="46" t="n">
        <v>45854</v>
      </c>
      <c r="C362" s="46" t="n">
        <v>45869</v>
      </c>
      <c r="D362" s="47" t="n">
        <v>25230</v>
      </c>
      <c r="E362" s="47" t="n">
        <v>25289.9</v>
      </c>
      <c r="F362" s="47" t="n">
        <v>25162.1</v>
      </c>
      <c r="G362" s="47" t="n">
        <v>25245.8</v>
      </c>
      <c r="H362" s="47" t="n">
        <v>25236.6</v>
      </c>
      <c r="I362" s="47" t="n">
        <v>25245.8</v>
      </c>
      <c r="J362" s="48" t="n">
        <v>45817</v>
      </c>
      <c r="K362" s="47" t="n">
        <v>866741.48</v>
      </c>
      <c r="L362" s="48" t="n">
        <v>13731975</v>
      </c>
      <c r="M362" s="48" t="n">
        <v>72825</v>
      </c>
      <c r="N362" s="47" t="n">
        <v>25212.05</v>
      </c>
      <c r="O362" s="47" t="n">
        <f aca="false">IF(AND(ISNUMBER(G362),ISNUMBER(N362)),G362-N362,"")</f>
        <v>33.75</v>
      </c>
      <c r="P362" s="49" t="n">
        <f aca="false">IF(ISNUMBER(O362),O362/N362,"")</f>
        <v>0.00133864560795334</v>
      </c>
      <c r="Q362" s="50" t="n">
        <f aca="false">C362-B362</f>
        <v>15</v>
      </c>
      <c r="R362" s="51" t="n">
        <f aca="false">IF(AND(C362=C361,ISNUMBER(G362),ISNUMBER(G361)),(G362/G361-1)*100,"")</f>
        <v>-0.0783674244822952</v>
      </c>
      <c r="S362" s="51" t="n">
        <f aca="false">IF(AND(C362=C361,ISNUMBER(L362),ISNUMBER(L361)),(L362/L361-1)*100,"")</f>
        <v>0.533159091158675</v>
      </c>
      <c r="T362" s="51" t="n">
        <f aca="false">IF(AND(C362=C361,ISNUMBER(G362),ISNUMBER(G361)),G362-G361,"")</f>
        <v>-19.7999999999993</v>
      </c>
      <c r="U362" s="1" t="str">
        <f aca="false">IF(OR(NOT(ISNUMBER(R362)),NOT(ISNUMBER(S362))),"Not classified",IF(AND(R362&gt;0,S362&gt;0),"Long buildup (interpretation)",IF(AND(R362&lt;0,S362&gt;0),"Short buildup (interpretation)",IF(AND(R362&gt;0,S362&lt;0),"Short covering (interpretation)",IF(AND(R362&lt;0,S362&lt;0),"Long unwinding (interpretation)","Neutral")))))</f>
        <v>Short buildup (interpretation)</v>
      </c>
      <c r="V362" s="52" t="str">
        <f aca="false">TEXT(B362,"yyyy-mm")</f>
        <v>2025-07</v>
      </c>
      <c r="W362" s="52" t="n">
        <f aca="false">1+COUNTIFS($B$2:$B$756,B362,$C$2:$C$756,"&lt;"&amp;C362)</f>
        <v>1</v>
      </c>
      <c r="X362" s="53" t="n">
        <f aca="false">IF(AND(ISNUMBER(P362),Q362&gt;0),P362*365/Q362,"")</f>
        <v>0.0325737097935313</v>
      </c>
      <c r="Y362" s="42" t="n">
        <f aca="false">IF(AND(C363=C362,ISNUMBER(R363)),R363,"")</f>
        <v>-0.282027109459793</v>
      </c>
      <c r="Z362" s="52" t="n">
        <f aca="false">IF(AND(W362=1,Q362&gt;Basis_Analysis!$B$3,ISNUMBER(Y362)),1,0)</f>
        <v>1</v>
      </c>
      <c r="AA362" s="43" t="n">
        <f aca="false">IF(W362=1,IF(SUMIFS($L$2:$L$756,$B$2:$B$756,B362,$W$2:$W$756,2)&gt;0,SUMIFS($L$2:$L$756,$B$2:$B$756,B362,$W$2:$W$756,2),""),"")</f>
        <v>4659825</v>
      </c>
      <c r="AB362" s="54" t="n">
        <f aca="false">IF(AND(W362=1,ISNUMBER(AA362)),L362/(L362+AA362),"")</f>
        <v>0.74663572896617</v>
      </c>
    </row>
    <row r="363" customFormat="false" ht="15" hidden="false" customHeight="true" outlineLevel="0" collapsed="false">
      <c r="A363" s="1" t="s">
        <v>274</v>
      </c>
      <c r="B363" s="46" t="n">
        <v>45855</v>
      </c>
      <c r="C363" s="46" t="n">
        <v>45869</v>
      </c>
      <c r="D363" s="47" t="n">
        <v>25260</v>
      </c>
      <c r="E363" s="47" t="n">
        <v>25275</v>
      </c>
      <c r="F363" s="47" t="n">
        <v>25165</v>
      </c>
      <c r="G363" s="47" t="n">
        <v>25174.6</v>
      </c>
      <c r="H363" s="47" t="n">
        <v>25170.5</v>
      </c>
      <c r="I363" s="47" t="n">
        <v>25174.6</v>
      </c>
      <c r="J363" s="48" t="n">
        <v>53027</v>
      </c>
      <c r="K363" s="47" t="n">
        <v>1002665.37</v>
      </c>
      <c r="L363" s="48" t="n">
        <v>13825575</v>
      </c>
      <c r="M363" s="48" t="n">
        <v>93600</v>
      </c>
      <c r="N363" s="47" t="n">
        <v>25111.45</v>
      </c>
      <c r="O363" s="47" t="n">
        <f aca="false">IF(AND(ISNUMBER(G363),ISNUMBER(N363)),G363-N363,"")</f>
        <v>63.1499999999978</v>
      </c>
      <c r="P363" s="49" t="n">
        <f aca="false">IF(ISNUMBER(O363),O363/N363,"")</f>
        <v>0.00251478907032441</v>
      </c>
      <c r="Q363" s="50" t="n">
        <f aca="false">C363-B363</f>
        <v>14</v>
      </c>
      <c r="R363" s="51" t="n">
        <f aca="false">IF(AND(C363=C362,ISNUMBER(G363),ISNUMBER(G362)),(G363/G362-1)*100,"")</f>
        <v>-0.282027109459793</v>
      </c>
      <c r="S363" s="51" t="n">
        <f aca="false">IF(AND(C363=C362,ISNUMBER(L363),ISNUMBER(L362)),(L363/L362-1)*100,"")</f>
        <v>0.681620815651063</v>
      </c>
      <c r="T363" s="51" t="n">
        <f aca="false">IF(AND(C363=C362,ISNUMBER(G363),ISNUMBER(G362)),G363-G362,"")</f>
        <v>-71.2000000000007</v>
      </c>
      <c r="U363" s="1" t="str">
        <f aca="false">IF(OR(NOT(ISNUMBER(R363)),NOT(ISNUMBER(S363))),"Not classified",IF(AND(R363&gt;0,S363&gt;0),"Long buildup (interpretation)",IF(AND(R363&lt;0,S363&gt;0),"Short buildup (interpretation)",IF(AND(R363&gt;0,S363&lt;0),"Short covering (interpretation)",IF(AND(R363&lt;0,S363&lt;0),"Long unwinding (interpretation)","Neutral")))))</f>
        <v>Short buildup (interpretation)</v>
      </c>
      <c r="V363" s="52" t="str">
        <f aca="false">TEXT(B363,"yyyy-mm")</f>
        <v>2025-07</v>
      </c>
      <c r="W363" s="52" t="n">
        <f aca="false">1+COUNTIFS($B$2:$B$756,B363,$C$2:$C$756,"&lt;"&amp;C363)</f>
        <v>1</v>
      </c>
      <c r="X363" s="53" t="n">
        <f aca="false">IF(AND(ISNUMBER(P363),Q363&gt;0),P363*365/Q363,"")</f>
        <v>0.065564143619172</v>
      </c>
      <c r="Y363" s="42" t="n">
        <f aca="false">IF(AND(C364=C363,ISNUMBER(R364)),R364,"")</f>
        <v>-0.565252278089823</v>
      </c>
      <c r="Z363" s="52" t="n">
        <f aca="false">IF(AND(W363=1,Q363&gt;Basis_Analysis!$B$3,ISNUMBER(Y363)),1,0)</f>
        <v>1</v>
      </c>
      <c r="AA363" s="43" t="n">
        <f aca="false">IF(W363=1,IF(SUMIFS($L$2:$L$756,$B$2:$B$756,B363,$W$2:$W$756,2)&gt;0,SUMIFS($L$2:$L$756,$B$2:$B$756,B363,$W$2:$W$756,2),""),"")</f>
        <v>4800825</v>
      </c>
      <c r="AB363" s="54" t="n">
        <f aca="false">IF(AND(W363=1,ISNUMBER(AA363)),L363/(L363+AA363),"")</f>
        <v>0.742256957866254</v>
      </c>
    </row>
    <row r="364" customFormat="false" ht="15" hidden="false" customHeight="true" outlineLevel="0" collapsed="false">
      <c r="A364" s="1" t="s">
        <v>274</v>
      </c>
      <c r="B364" s="46" t="n">
        <v>45856</v>
      </c>
      <c r="C364" s="46" t="n">
        <v>45869</v>
      </c>
      <c r="D364" s="47" t="n">
        <v>25167.9</v>
      </c>
      <c r="E364" s="47" t="n">
        <v>25170</v>
      </c>
      <c r="F364" s="47" t="n">
        <v>24981</v>
      </c>
      <c r="G364" s="47" t="n">
        <v>25032.3</v>
      </c>
      <c r="H364" s="47" t="n">
        <v>25026.8</v>
      </c>
      <c r="I364" s="47" t="n">
        <v>25032.3</v>
      </c>
      <c r="J364" s="48" t="n">
        <v>69868</v>
      </c>
      <c r="K364" s="47" t="n">
        <v>1312317.03</v>
      </c>
      <c r="L364" s="48" t="n">
        <v>13738800</v>
      </c>
      <c r="M364" s="48" t="n">
        <v>-86775</v>
      </c>
      <c r="N364" s="47" t="n">
        <v>24968.4</v>
      </c>
      <c r="O364" s="47" t="n">
        <f aca="false">IF(AND(ISNUMBER(G364),ISNUMBER(N364)),G364-N364,"")</f>
        <v>63.8999999999978</v>
      </c>
      <c r="P364" s="49" t="n">
        <f aca="false">IF(ISNUMBER(O364),O364/N364,"")</f>
        <v>0.00255923487287923</v>
      </c>
      <c r="Q364" s="50" t="n">
        <f aca="false">C364-B364</f>
        <v>13</v>
      </c>
      <c r="R364" s="51" t="n">
        <f aca="false">IF(AND(C364=C363,ISNUMBER(G364),ISNUMBER(G363)),(G364/G363-1)*100,"")</f>
        <v>-0.565252278089823</v>
      </c>
      <c r="S364" s="51" t="n">
        <f aca="false">IF(AND(C364=C363,ISNUMBER(L364),ISNUMBER(L363)),(L364/L363-1)*100,"")</f>
        <v>-0.627641165014836</v>
      </c>
      <c r="T364" s="51" t="n">
        <f aca="false">IF(AND(C364=C363,ISNUMBER(G364),ISNUMBER(G363)),G364-G363,"")</f>
        <v>-142.299999999999</v>
      </c>
      <c r="U364" s="1" t="str">
        <f aca="false">IF(OR(NOT(ISNUMBER(R364)),NOT(ISNUMBER(S364))),"Not classified",IF(AND(R364&gt;0,S364&gt;0),"Long buildup (interpretation)",IF(AND(R364&lt;0,S364&gt;0),"Short buildup (interpretation)",IF(AND(R364&gt;0,S364&lt;0),"Short covering (interpretation)",IF(AND(R364&lt;0,S364&lt;0),"Long unwinding (interpretation)","Neutral")))))</f>
        <v>Long unwinding (interpretation)</v>
      </c>
      <c r="V364" s="52" t="str">
        <f aca="false">TEXT(B364,"yyyy-mm")</f>
        <v>2025-07</v>
      </c>
      <c r="W364" s="52" t="n">
        <f aca="false">1+COUNTIFS($B$2:$B$756,B364,$C$2:$C$756,"&lt;"&amp;C364)</f>
        <v>1</v>
      </c>
      <c r="X364" s="53" t="n">
        <f aca="false">IF(AND(ISNUMBER(P364),Q364&gt;0),P364*365/Q364,"")</f>
        <v>0.0718554406616092</v>
      </c>
      <c r="Y364" s="42" t="n">
        <f aca="false">IF(AND(C365=C364,ISNUMBER(R365)),R365,"")</f>
        <v>0.380708125102358</v>
      </c>
      <c r="Z364" s="52" t="n">
        <f aca="false">IF(AND(W364=1,Q364&gt;Basis_Analysis!$B$3,ISNUMBER(Y364)),1,0)</f>
        <v>1</v>
      </c>
      <c r="AA364" s="43" t="n">
        <f aca="false">IF(W364=1,IF(SUMIFS($L$2:$L$756,$B$2:$B$756,B364,$W$2:$W$756,2)&gt;0,SUMIFS($L$2:$L$756,$B$2:$B$756,B364,$W$2:$W$756,2),""),"")</f>
        <v>5044725</v>
      </c>
      <c r="AB364" s="54" t="n">
        <f aca="false">IF(AND(W364=1,ISNUMBER(AA364)),L364/(L364+AA364),"")</f>
        <v>0.731428206367016</v>
      </c>
    </row>
    <row r="365" customFormat="false" ht="15" hidden="false" customHeight="true" outlineLevel="0" collapsed="false">
      <c r="A365" s="1" t="s">
        <v>274</v>
      </c>
      <c r="B365" s="46" t="n">
        <v>45859</v>
      </c>
      <c r="C365" s="46" t="n">
        <v>45869</v>
      </c>
      <c r="D365" s="47" t="n">
        <v>24969.2</v>
      </c>
      <c r="E365" s="47" t="n">
        <v>25139.7</v>
      </c>
      <c r="F365" s="47" t="n">
        <v>24920.6</v>
      </c>
      <c r="G365" s="47" t="n">
        <v>25127.6</v>
      </c>
      <c r="H365" s="47" t="n">
        <v>25139.7</v>
      </c>
      <c r="I365" s="47" t="n">
        <v>25127.6</v>
      </c>
      <c r="J365" s="48" t="n">
        <v>56976</v>
      </c>
      <c r="K365" s="47" t="n">
        <v>1070650.01</v>
      </c>
      <c r="L365" s="48" t="n">
        <v>13284525</v>
      </c>
      <c r="M365" s="48" t="n">
        <v>-454275</v>
      </c>
      <c r="N365" s="47" t="n">
        <v>25090.7</v>
      </c>
      <c r="O365" s="47" t="n">
        <f aca="false">IF(AND(ISNUMBER(G365),ISNUMBER(N365)),G365-N365,"")</f>
        <v>36.8999999999978</v>
      </c>
      <c r="P365" s="49" t="n">
        <f aca="false">IF(ISNUMBER(O365),O365/N365,"")</f>
        <v>0.00147066442944987</v>
      </c>
      <c r="Q365" s="50" t="n">
        <f aca="false">C365-B365</f>
        <v>10</v>
      </c>
      <c r="R365" s="51" t="n">
        <f aca="false">IF(AND(C365=C364,ISNUMBER(G365),ISNUMBER(G364)),(G365/G364-1)*100,"")</f>
        <v>0.380708125102358</v>
      </c>
      <c r="S365" s="51" t="n">
        <f aca="false">IF(AND(C365=C364,ISNUMBER(L365),ISNUMBER(L364)),(L365/L364-1)*100,"")</f>
        <v>-3.30651148571928</v>
      </c>
      <c r="T365" s="51" t="n">
        <f aca="false">IF(AND(C365=C364,ISNUMBER(G365),ISNUMBER(G364)),G365-G364,"")</f>
        <v>95.2999999999993</v>
      </c>
      <c r="U365" s="1" t="str">
        <f aca="false">IF(OR(NOT(ISNUMBER(R365)),NOT(ISNUMBER(S365))),"Not classified",IF(AND(R365&gt;0,S365&gt;0),"Long buildup (interpretation)",IF(AND(R365&lt;0,S365&gt;0),"Short buildup (interpretation)",IF(AND(R365&gt;0,S365&lt;0),"Short covering (interpretation)",IF(AND(R365&lt;0,S365&lt;0),"Long unwinding (interpretation)","Neutral")))))</f>
        <v>Short covering (interpretation)</v>
      </c>
      <c r="V365" s="52" t="str">
        <f aca="false">TEXT(B365,"yyyy-mm")</f>
        <v>2025-07</v>
      </c>
      <c r="W365" s="52" t="n">
        <f aca="false">1+COUNTIFS($B$2:$B$756,B365,$C$2:$C$756,"&lt;"&amp;C365)</f>
        <v>1</v>
      </c>
      <c r="X365" s="53" t="n">
        <f aca="false">IF(AND(ISNUMBER(P365),Q365&gt;0),P365*365/Q365,"")</f>
        <v>0.0536792516749202</v>
      </c>
      <c r="Y365" s="42" t="n">
        <f aca="false">IF(AND(C366=C365,ISNUMBER(R366)),R366,"")</f>
        <v>-0.134115474617535</v>
      </c>
      <c r="Z365" s="52" t="n">
        <f aca="false">IF(AND(W365=1,Q365&gt;Basis_Analysis!$B$3,ISNUMBER(Y365)),1,0)</f>
        <v>1</v>
      </c>
      <c r="AA365" s="43" t="n">
        <f aca="false">IF(W365=1,IF(SUMIFS($L$2:$L$756,$B$2:$B$756,B365,$W$2:$W$756,2)&gt;0,SUMIFS($L$2:$L$756,$B$2:$B$756,B365,$W$2:$W$756,2),""),"")</f>
        <v>5200425</v>
      </c>
      <c r="AB365" s="54" t="n">
        <f aca="false">IF(AND(W365=1,ISNUMBER(AA365)),L365/(L365+AA365),"")</f>
        <v>0.71866707781195</v>
      </c>
    </row>
    <row r="366" customFormat="false" ht="15" hidden="false" customHeight="true" outlineLevel="0" collapsed="false">
      <c r="A366" s="1" t="s">
        <v>274</v>
      </c>
      <c r="B366" s="46" t="n">
        <v>45860</v>
      </c>
      <c r="C366" s="46" t="n">
        <v>45869</v>
      </c>
      <c r="D366" s="47" t="n">
        <v>25149.9</v>
      </c>
      <c r="E366" s="47" t="n">
        <v>25200</v>
      </c>
      <c r="F366" s="47" t="n">
        <v>25070</v>
      </c>
      <c r="G366" s="47" t="n">
        <v>25093.9</v>
      </c>
      <c r="H366" s="47" t="n">
        <v>25095</v>
      </c>
      <c r="I366" s="47" t="n">
        <v>25093.9</v>
      </c>
      <c r="J366" s="48" t="n">
        <v>41323</v>
      </c>
      <c r="K366" s="47" t="n">
        <v>778590.87</v>
      </c>
      <c r="L366" s="48" t="n">
        <v>13220850</v>
      </c>
      <c r="M366" s="48" t="n">
        <v>-63675</v>
      </c>
      <c r="N366" s="47" t="n">
        <v>25060.9</v>
      </c>
      <c r="O366" s="47" t="n">
        <f aca="false">IF(AND(ISNUMBER(G366),ISNUMBER(N366)),G366-N366,"")</f>
        <v>33</v>
      </c>
      <c r="P366" s="49" t="n">
        <f aca="false">IF(ISNUMBER(O366),O366/N366,"")</f>
        <v>0.00131679229397188</v>
      </c>
      <c r="Q366" s="50" t="n">
        <f aca="false">C366-B366</f>
        <v>9</v>
      </c>
      <c r="R366" s="51" t="n">
        <f aca="false">IF(AND(C366=C365,ISNUMBER(G366),ISNUMBER(G365)),(G366/G365-1)*100,"")</f>
        <v>-0.134115474617535</v>
      </c>
      <c r="S366" s="51" t="n">
        <f aca="false">IF(AND(C366=C365,ISNUMBER(L366),ISNUMBER(L365)),(L366/L365-1)*100,"")</f>
        <v>-0.479317100159771</v>
      </c>
      <c r="T366" s="51" t="n">
        <f aca="false">IF(AND(C366=C365,ISNUMBER(G366),ISNUMBER(G365)),G366-G365,"")</f>
        <v>-33.6999999999971</v>
      </c>
      <c r="U366" s="1" t="str">
        <f aca="false">IF(OR(NOT(ISNUMBER(R366)),NOT(ISNUMBER(S366))),"Not classified",IF(AND(R366&gt;0,S366&gt;0),"Long buildup (interpretation)",IF(AND(R366&lt;0,S366&gt;0),"Short buildup (interpretation)",IF(AND(R366&gt;0,S366&lt;0),"Short covering (interpretation)",IF(AND(R366&lt;0,S366&lt;0),"Long unwinding (interpretation)","Neutral")))))</f>
        <v>Long unwinding (interpretation)</v>
      </c>
      <c r="V366" s="52" t="str">
        <f aca="false">TEXT(B366,"yyyy-mm")</f>
        <v>2025-07</v>
      </c>
      <c r="W366" s="52" t="n">
        <f aca="false">1+COUNTIFS($B$2:$B$756,B366,$C$2:$C$756,"&lt;"&amp;C366)</f>
        <v>1</v>
      </c>
      <c r="X366" s="53" t="n">
        <f aca="false">IF(AND(ISNUMBER(P366),Q366&gt;0),P366*365/Q366,"")</f>
        <v>0.0534032430333042</v>
      </c>
      <c r="Y366" s="42" t="n">
        <f aca="false">IF(AND(C367=C366,ISNUMBER(R367)),R367,"")</f>
        <v>0.63322161959678</v>
      </c>
      <c r="Z366" s="52" t="n">
        <f aca="false">IF(AND(W366=1,Q366&gt;Basis_Analysis!$B$3,ISNUMBER(Y366)),1,0)</f>
        <v>1</v>
      </c>
      <c r="AA366" s="43" t="n">
        <f aca="false">IF(W366=1,IF(SUMIFS($L$2:$L$756,$B$2:$B$756,B366,$W$2:$W$756,2)&gt;0,SUMIFS($L$2:$L$756,$B$2:$B$756,B366,$W$2:$W$756,2),""),"")</f>
        <v>5337900</v>
      </c>
      <c r="AB366" s="54" t="n">
        <f aca="false">IF(AND(W366=1,ISNUMBER(AA366)),L366/(L366+AA366),"")</f>
        <v>0.712378258233987</v>
      </c>
    </row>
    <row r="367" customFormat="false" ht="15" hidden="false" customHeight="true" outlineLevel="0" collapsed="false">
      <c r="A367" s="1" t="s">
        <v>274</v>
      </c>
      <c r="B367" s="46" t="n">
        <v>45861</v>
      </c>
      <c r="C367" s="46" t="n">
        <v>45869</v>
      </c>
      <c r="D367" s="47" t="n">
        <v>25170.2</v>
      </c>
      <c r="E367" s="47" t="n">
        <v>25260</v>
      </c>
      <c r="F367" s="47" t="n">
        <v>25112.3</v>
      </c>
      <c r="G367" s="47" t="n">
        <v>25252.8</v>
      </c>
      <c r="H367" s="47" t="n">
        <v>25254</v>
      </c>
      <c r="I367" s="47" t="n">
        <v>25252.8</v>
      </c>
      <c r="J367" s="48" t="n">
        <v>51484</v>
      </c>
      <c r="K367" s="47" t="n">
        <v>972944.99</v>
      </c>
      <c r="L367" s="48" t="n">
        <v>12754875</v>
      </c>
      <c r="M367" s="48" t="n">
        <v>-465975</v>
      </c>
      <c r="N367" s="47" t="n">
        <v>25219.9</v>
      </c>
      <c r="O367" s="47" t="n">
        <f aca="false">IF(AND(ISNUMBER(G367),ISNUMBER(N367)),G367-N367,"")</f>
        <v>32.8999999999978</v>
      </c>
      <c r="P367" s="49" t="n">
        <f aca="false">IF(ISNUMBER(O367),O367/N367,"")</f>
        <v>0.00130452539462876</v>
      </c>
      <c r="Q367" s="50" t="n">
        <f aca="false">C367-B367</f>
        <v>8</v>
      </c>
      <c r="R367" s="51" t="n">
        <f aca="false">IF(AND(C367=C366,ISNUMBER(G367),ISNUMBER(G366)),(G367/G366-1)*100,"")</f>
        <v>0.63322161959678</v>
      </c>
      <c r="S367" s="51" t="n">
        <f aca="false">IF(AND(C367=C366,ISNUMBER(L367),ISNUMBER(L366)),(L367/L366-1)*100,"")</f>
        <v>-3.52454645503125</v>
      </c>
      <c r="T367" s="51" t="n">
        <f aca="false">IF(AND(C367=C366,ISNUMBER(G367),ISNUMBER(G366)),G367-G366,"")</f>
        <v>158.899999999998</v>
      </c>
      <c r="U367" s="1" t="str">
        <f aca="false">IF(OR(NOT(ISNUMBER(R367)),NOT(ISNUMBER(S367))),"Not classified",IF(AND(R367&gt;0,S367&gt;0),"Long buildup (interpretation)",IF(AND(R367&lt;0,S367&gt;0),"Short buildup (interpretation)",IF(AND(R367&gt;0,S367&lt;0),"Short covering (interpretation)",IF(AND(R367&lt;0,S367&lt;0),"Long unwinding (interpretation)","Neutral")))))</f>
        <v>Short covering (interpretation)</v>
      </c>
      <c r="V367" s="52" t="str">
        <f aca="false">TEXT(B367,"yyyy-mm")</f>
        <v>2025-07</v>
      </c>
      <c r="W367" s="52" t="n">
        <f aca="false">1+COUNTIFS($B$2:$B$756,B367,$C$2:$C$756,"&lt;"&amp;C367)</f>
        <v>1</v>
      </c>
      <c r="X367" s="53" t="n">
        <f aca="false">IF(AND(ISNUMBER(P367),Q367&gt;0),P367*365/Q367,"")</f>
        <v>0.0595189711299371</v>
      </c>
      <c r="Y367" s="42" t="n">
        <f aca="false">IF(AND(C368=C367,ISNUMBER(R368)),R368,"")</f>
        <v>-0.623297218526253</v>
      </c>
      <c r="Z367" s="52" t="n">
        <f aca="false">IF(AND(W367=1,Q367&gt;Basis_Analysis!$B$3,ISNUMBER(Y367)),1,0)</f>
        <v>1</v>
      </c>
      <c r="AA367" s="43" t="n">
        <f aca="false">IF(W367=1,IF(SUMIFS($L$2:$L$756,$B$2:$B$756,B367,$W$2:$W$756,2)&gt;0,SUMIFS($L$2:$L$756,$B$2:$B$756,B367,$W$2:$W$756,2),""),"")</f>
        <v>5544075</v>
      </c>
      <c r="AB367" s="54" t="n">
        <f aca="false">IF(AND(W367=1,ISNUMBER(AA367)),L367/(L367+AA367),"")</f>
        <v>0.697027698310559</v>
      </c>
    </row>
    <row r="368" customFormat="false" ht="15" hidden="false" customHeight="true" outlineLevel="0" collapsed="false">
      <c r="A368" s="1" t="s">
        <v>274</v>
      </c>
      <c r="B368" s="46" t="n">
        <v>45862</v>
      </c>
      <c r="C368" s="46" t="n">
        <v>45869</v>
      </c>
      <c r="D368" s="47" t="n">
        <v>25290.1</v>
      </c>
      <c r="E368" s="47" t="n">
        <v>25290.1</v>
      </c>
      <c r="F368" s="47" t="n">
        <v>25049</v>
      </c>
      <c r="G368" s="47" t="n">
        <v>25095.4</v>
      </c>
      <c r="H368" s="47" t="n">
        <v>25082</v>
      </c>
      <c r="I368" s="47" t="n">
        <v>25095.4</v>
      </c>
      <c r="J368" s="48" t="n">
        <v>63223</v>
      </c>
      <c r="K368" s="47" t="n">
        <v>1191911.58</v>
      </c>
      <c r="L368" s="48" t="n">
        <v>12360525</v>
      </c>
      <c r="M368" s="48" t="n">
        <v>-394350</v>
      </c>
      <c r="N368" s="47" t="n">
        <v>25062.1</v>
      </c>
      <c r="O368" s="47" t="n">
        <f aca="false">IF(AND(ISNUMBER(G368),ISNUMBER(N368)),G368-N368,"")</f>
        <v>33.3000000000029</v>
      </c>
      <c r="P368" s="49" t="n">
        <f aca="false">IF(ISNUMBER(O368),O368/N368,"")</f>
        <v>0.00132869951041624</v>
      </c>
      <c r="Q368" s="50" t="n">
        <f aca="false">C368-B368</f>
        <v>7</v>
      </c>
      <c r="R368" s="51" t="n">
        <f aca="false">IF(AND(C368=C367,ISNUMBER(G368),ISNUMBER(G367)),(G368/G367-1)*100,"")</f>
        <v>-0.623297218526253</v>
      </c>
      <c r="S368" s="51" t="n">
        <f aca="false">IF(AND(C368=C367,ISNUMBER(L368),ISNUMBER(L367)),(L368/L367-1)*100,"")</f>
        <v>-3.09175903331079</v>
      </c>
      <c r="T368" s="51" t="n">
        <f aca="false">IF(AND(C368=C367,ISNUMBER(G368),ISNUMBER(G367)),G368-G367,"")</f>
        <v>-157.399999999998</v>
      </c>
      <c r="U368" s="1" t="str">
        <f aca="false">IF(OR(NOT(ISNUMBER(R368)),NOT(ISNUMBER(S368))),"Not classified",IF(AND(R368&gt;0,S368&gt;0),"Long buildup (interpretation)",IF(AND(R368&lt;0,S368&gt;0),"Short buildup (interpretation)",IF(AND(R368&gt;0,S368&lt;0),"Short covering (interpretation)",IF(AND(R368&lt;0,S368&lt;0),"Long unwinding (interpretation)","Neutral")))))</f>
        <v>Long unwinding (interpretation)</v>
      </c>
      <c r="V368" s="52" t="str">
        <f aca="false">TEXT(B368,"yyyy-mm")</f>
        <v>2025-07</v>
      </c>
      <c r="W368" s="52" t="n">
        <f aca="false">1+COUNTIFS($B$2:$B$756,B368,$C$2:$C$756,"&lt;"&amp;C368)</f>
        <v>1</v>
      </c>
      <c r="X368" s="53" t="n">
        <f aca="false">IF(AND(ISNUMBER(P368),Q368&gt;0),P368*365/Q368,"")</f>
        <v>0.0692821887574184</v>
      </c>
      <c r="Y368" s="42" t="n">
        <f aca="false">IF(AND(C369=C368,ISNUMBER(R369)),R369,"")</f>
        <v>-0.976274536369215</v>
      </c>
      <c r="Z368" s="52" t="n">
        <f aca="false">IF(AND(W368=1,Q368&gt;Basis_Analysis!$B$3,ISNUMBER(Y368)),1,0)</f>
        <v>1</v>
      </c>
      <c r="AA368" s="43" t="n">
        <f aca="false">IF(W368=1,IF(SUMIFS($L$2:$L$756,$B$2:$B$756,B368,$W$2:$W$756,2)&gt;0,SUMIFS($L$2:$L$756,$B$2:$B$756,B368,$W$2:$W$756,2),""),"")</f>
        <v>6479175</v>
      </c>
      <c r="AB368" s="54" t="n">
        <f aca="false">IF(AND(W368=1,ISNUMBER(AA368)),L368/(L368+AA368),"")</f>
        <v>0.656089268937404</v>
      </c>
    </row>
    <row r="369" customFormat="false" ht="15" hidden="false" customHeight="true" outlineLevel="0" collapsed="false">
      <c r="A369" s="1" t="s">
        <v>274</v>
      </c>
      <c r="B369" s="46" t="n">
        <v>45863</v>
      </c>
      <c r="C369" s="46" t="n">
        <v>45869</v>
      </c>
      <c r="D369" s="47" t="n">
        <v>25011</v>
      </c>
      <c r="E369" s="47" t="n">
        <v>25024</v>
      </c>
      <c r="F369" s="47" t="n">
        <v>24831</v>
      </c>
      <c r="G369" s="47" t="n">
        <v>24850.4</v>
      </c>
      <c r="H369" s="47" t="n">
        <v>24846.8</v>
      </c>
      <c r="I369" s="47" t="n">
        <v>24850.4</v>
      </c>
      <c r="J369" s="48" t="n">
        <v>69729</v>
      </c>
      <c r="K369" s="47" t="n">
        <v>1302141.18</v>
      </c>
      <c r="L369" s="48" t="n">
        <v>12162000</v>
      </c>
      <c r="M369" s="48" t="n">
        <v>-198525</v>
      </c>
      <c r="N369" s="47" t="n">
        <v>24837</v>
      </c>
      <c r="O369" s="47" t="n">
        <f aca="false">IF(AND(ISNUMBER(G369),ISNUMBER(N369)),G369-N369,"")</f>
        <v>13.4000000000015</v>
      </c>
      <c r="P369" s="49" t="n">
        <f aca="false">IF(ISNUMBER(O369),O369/N369,"")</f>
        <v>0.000539517655111384</v>
      </c>
      <c r="Q369" s="50" t="n">
        <f aca="false">C369-B369</f>
        <v>6</v>
      </c>
      <c r="R369" s="51" t="n">
        <f aca="false">IF(AND(C369=C368,ISNUMBER(G369),ISNUMBER(G368)),(G369/G368-1)*100,"")</f>
        <v>-0.976274536369215</v>
      </c>
      <c r="S369" s="51" t="n">
        <f aca="false">IF(AND(C369=C368,ISNUMBER(L369),ISNUMBER(L368)),(L369/L368-1)*100,"")</f>
        <v>-1.60612109922516</v>
      </c>
      <c r="T369" s="51" t="n">
        <f aca="false">IF(AND(C369=C368,ISNUMBER(G369),ISNUMBER(G368)),G369-G368,"")</f>
        <v>-245</v>
      </c>
      <c r="U369" s="1" t="str">
        <f aca="false">IF(OR(NOT(ISNUMBER(R369)),NOT(ISNUMBER(S369))),"Not classified",IF(AND(R369&gt;0,S369&gt;0),"Long buildup (interpretation)",IF(AND(R369&lt;0,S369&gt;0),"Short buildup (interpretation)",IF(AND(R369&gt;0,S369&lt;0),"Short covering (interpretation)",IF(AND(R369&lt;0,S369&lt;0),"Long unwinding (interpretation)","Neutral")))))</f>
        <v>Long unwinding (interpretation)</v>
      </c>
      <c r="V369" s="52" t="str">
        <f aca="false">TEXT(B369,"yyyy-mm")</f>
        <v>2025-07</v>
      </c>
      <c r="W369" s="52" t="n">
        <f aca="false">1+COUNTIFS($B$2:$B$756,B369,$C$2:$C$756,"&lt;"&amp;C369)</f>
        <v>1</v>
      </c>
      <c r="X369" s="53" t="n">
        <f aca="false">IF(AND(ISNUMBER(P369),Q369&gt;0),P369*365/Q369,"")</f>
        <v>0.0328206573526092</v>
      </c>
      <c r="Y369" s="42" t="n">
        <f aca="false">IF(AND(C370=C369,ISNUMBER(R370)),R370,"")</f>
        <v>-0.564176029359687</v>
      </c>
      <c r="Z369" s="52" t="n">
        <f aca="false">IF(AND(W369=1,Q369&gt;Basis_Analysis!$B$3,ISNUMBER(Y369)),1,0)</f>
        <v>1</v>
      </c>
      <c r="AA369" s="43" t="n">
        <f aca="false">IF(W369=1,IF(SUMIFS($L$2:$L$756,$B$2:$B$756,B369,$W$2:$W$756,2)&gt;0,SUMIFS($L$2:$L$756,$B$2:$B$756,B369,$W$2:$W$756,2),""),"")</f>
        <v>7389450</v>
      </c>
      <c r="AB369" s="54" t="n">
        <f aca="false">IF(AND(W369=1,ISNUMBER(AA369)),L369/(L369+AA369),"")</f>
        <v>0.622051049922129</v>
      </c>
    </row>
    <row r="370" customFormat="false" ht="15" hidden="false" customHeight="true" outlineLevel="0" collapsed="false">
      <c r="A370" s="1" t="s">
        <v>274</v>
      </c>
      <c r="B370" s="46" t="n">
        <v>45866</v>
      </c>
      <c r="C370" s="46" t="n">
        <v>45869</v>
      </c>
      <c r="D370" s="47" t="n">
        <v>24799.9</v>
      </c>
      <c r="E370" s="47" t="n">
        <v>24925</v>
      </c>
      <c r="F370" s="47" t="n">
        <v>24667.6</v>
      </c>
      <c r="G370" s="47" t="n">
        <v>24710.2</v>
      </c>
      <c r="H370" s="47" t="n">
        <v>24706.2</v>
      </c>
      <c r="I370" s="47" t="n">
        <v>24710.2</v>
      </c>
      <c r="J370" s="48" t="n">
        <v>71260</v>
      </c>
      <c r="K370" s="47" t="n">
        <v>1324184.23</v>
      </c>
      <c r="L370" s="48" t="n">
        <v>11209875</v>
      </c>
      <c r="M370" s="48" t="n">
        <v>-952125</v>
      </c>
      <c r="N370" s="47" t="n">
        <v>24680.9</v>
      </c>
      <c r="O370" s="47" t="n">
        <f aca="false">IF(AND(ISNUMBER(G370),ISNUMBER(N370)),G370-N370,"")</f>
        <v>29.2999999999993</v>
      </c>
      <c r="P370" s="49" t="n">
        <f aca="false">IF(ISNUMBER(O370),O370/N370,"")</f>
        <v>0.00118715281857628</v>
      </c>
      <c r="Q370" s="50" t="n">
        <f aca="false">C370-B370</f>
        <v>3</v>
      </c>
      <c r="R370" s="51" t="n">
        <f aca="false">IF(AND(C370=C369,ISNUMBER(G370),ISNUMBER(G369)),(G370/G369-1)*100,"")</f>
        <v>-0.564176029359687</v>
      </c>
      <c r="S370" s="51" t="n">
        <f aca="false">IF(AND(C370=C369,ISNUMBER(L370),ISNUMBER(L369)),(L370/L369-1)*100,"")</f>
        <v>-7.82868771583621</v>
      </c>
      <c r="T370" s="51" t="n">
        <f aca="false">IF(AND(C370=C369,ISNUMBER(G370),ISNUMBER(G369)),G370-G369,"")</f>
        <v>-140.200000000001</v>
      </c>
      <c r="U370" s="1" t="str">
        <f aca="false">IF(OR(NOT(ISNUMBER(R370)),NOT(ISNUMBER(S370))),"Not classified",IF(AND(R370&gt;0,S370&gt;0),"Long buildup (interpretation)",IF(AND(R370&lt;0,S370&gt;0),"Short buildup (interpretation)",IF(AND(R370&gt;0,S370&lt;0),"Short covering (interpretation)",IF(AND(R370&lt;0,S370&lt;0),"Long unwinding (interpretation)","Neutral")))))</f>
        <v>Long unwinding (interpretation)</v>
      </c>
      <c r="V370" s="52" t="str">
        <f aca="false">TEXT(B370,"yyyy-mm")</f>
        <v>2025-07</v>
      </c>
      <c r="W370" s="52" t="n">
        <f aca="false">1+COUNTIFS($B$2:$B$756,B370,$C$2:$C$756,"&lt;"&amp;C370)</f>
        <v>1</v>
      </c>
      <c r="X370" s="53" t="n">
        <f aca="false">IF(AND(ISNUMBER(P370),Q370&gt;0),P370*365/Q370,"")</f>
        <v>0.144436926260114</v>
      </c>
      <c r="Y370" s="42" t="n">
        <f aca="false">IF(AND(C371=C370,ISNUMBER(R371)),R371,"")</f>
        <v>0.520432857686304</v>
      </c>
      <c r="Z370" s="52" t="n">
        <f aca="false">IF(AND(W370=1,Q370&gt;Basis_Analysis!$B$3,ISNUMBER(Y370)),1,0)</f>
        <v>0</v>
      </c>
      <c r="AA370" s="43" t="n">
        <f aca="false">IF(W370=1,IF(SUMIFS($L$2:$L$756,$B$2:$B$756,B370,$W$2:$W$756,2)&gt;0,SUMIFS($L$2:$L$756,$B$2:$B$756,B370,$W$2:$W$756,2),""),"")</f>
        <v>8551725</v>
      </c>
      <c r="AB370" s="54" t="n">
        <f aca="false">IF(AND(W370=1,ISNUMBER(AA370)),L370/(L370+AA370),"")</f>
        <v>0.567255434782609</v>
      </c>
    </row>
    <row r="371" customFormat="false" ht="15" hidden="false" customHeight="true" outlineLevel="0" collapsed="false">
      <c r="A371" s="1" t="s">
        <v>274</v>
      </c>
      <c r="B371" s="46" t="n">
        <v>45867</v>
      </c>
      <c r="C371" s="46" t="n">
        <v>45869</v>
      </c>
      <c r="D371" s="47" t="n">
        <v>24636</v>
      </c>
      <c r="E371" s="47" t="n">
        <v>24859</v>
      </c>
      <c r="F371" s="47" t="n">
        <v>24630</v>
      </c>
      <c r="G371" s="47" t="n">
        <v>24838.8</v>
      </c>
      <c r="H371" s="47" t="n">
        <v>24843.4</v>
      </c>
      <c r="I371" s="47" t="n">
        <v>24838.8</v>
      </c>
      <c r="J371" s="48" t="n">
        <v>84506</v>
      </c>
      <c r="K371" s="47" t="n">
        <v>1568553.05</v>
      </c>
      <c r="L371" s="48" t="n">
        <v>9140775</v>
      </c>
      <c r="M371" s="48" t="n">
        <v>-2069100</v>
      </c>
      <c r="N371" s="47" t="n">
        <v>24821.1</v>
      </c>
      <c r="O371" s="47" t="n">
        <f aca="false">IF(AND(ISNUMBER(G371),ISNUMBER(N371)),G371-N371,"")</f>
        <v>17.7000000000007</v>
      </c>
      <c r="P371" s="49" t="n">
        <f aca="false">IF(ISNUMBER(O371),O371/N371,"")</f>
        <v>0.000713102964816254</v>
      </c>
      <c r="Q371" s="50" t="n">
        <f aca="false">C371-B371</f>
        <v>2</v>
      </c>
      <c r="R371" s="51" t="n">
        <f aca="false">IF(AND(C371=C370,ISNUMBER(G371),ISNUMBER(G370)),(G371/G370-1)*100,"")</f>
        <v>0.520432857686304</v>
      </c>
      <c r="S371" s="51" t="n">
        <f aca="false">IF(AND(C371=C370,ISNUMBER(L371),ISNUMBER(L370)),(L371/L370-1)*100,"")</f>
        <v>-18.457832937477</v>
      </c>
      <c r="T371" s="51" t="n">
        <f aca="false">IF(AND(C371=C370,ISNUMBER(G371),ISNUMBER(G370)),G371-G370,"")</f>
        <v>128.599999999999</v>
      </c>
      <c r="U371" s="1" t="str">
        <f aca="false">IF(OR(NOT(ISNUMBER(R371)),NOT(ISNUMBER(S371))),"Not classified",IF(AND(R371&gt;0,S371&gt;0),"Long buildup (interpretation)",IF(AND(R371&lt;0,S371&gt;0),"Short buildup (interpretation)",IF(AND(R371&gt;0,S371&lt;0),"Short covering (interpretation)",IF(AND(R371&lt;0,S371&lt;0),"Long unwinding (interpretation)","Neutral")))))</f>
        <v>Short covering (interpretation)</v>
      </c>
      <c r="V371" s="52" t="str">
        <f aca="false">TEXT(B371,"yyyy-mm")</f>
        <v>2025-07</v>
      </c>
      <c r="W371" s="52" t="n">
        <f aca="false">1+COUNTIFS($B$2:$B$756,B371,$C$2:$C$756,"&lt;"&amp;C371)</f>
        <v>1</v>
      </c>
      <c r="X371" s="53" t="n">
        <f aca="false">IF(AND(ISNUMBER(P371),Q371&gt;0),P371*365/Q371,"")</f>
        <v>0.130141291078966</v>
      </c>
      <c r="Y371" s="42" t="n">
        <f aca="false">IF(AND(C372=C371,ISNUMBER(R372)),R372,"")</f>
        <v>0.122791761276719</v>
      </c>
      <c r="Z371" s="52" t="n">
        <f aca="false">IF(AND(W371=1,Q371&gt;Basis_Analysis!$B$3,ISNUMBER(Y371)),1,0)</f>
        <v>0</v>
      </c>
      <c r="AA371" s="43" t="n">
        <f aca="false">IF(W371=1,IF(SUMIFS($L$2:$L$756,$B$2:$B$756,B371,$W$2:$W$756,2)&gt;0,SUMIFS($L$2:$L$756,$B$2:$B$756,B371,$W$2:$W$756,2),""),"")</f>
        <v>10252125</v>
      </c>
      <c r="AB371" s="54" t="n">
        <f aca="false">IF(AND(W371=1,ISNUMBER(AA371)),L371/(L371+AA371),"")</f>
        <v>0.471346472162493</v>
      </c>
    </row>
    <row r="372" customFormat="false" ht="15" hidden="false" customHeight="true" outlineLevel="0" collapsed="false">
      <c r="A372" s="1" t="s">
        <v>274</v>
      </c>
      <c r="B372" s="46" t="n">
        <v>45868</v>
      </c>
      <c r="C372" s="46" t="n">
        <v>45869</v>
      </c>
      <c r="D372" s="47" t="n">
        <v>24845</v>
      </c>
      <c r="E372" s="47" t="n">
        <v>24910.6</v>
      </c>
      <c r="F372" s="47" t="n">
        <v>24786</v>
      </c>
      <c r="G372" s="47" t="n">
        <v>24869.3</v>
      </c>
      <c r="H372" s="47" t="n">
        <v>24860</v>
      </c>
      <c r="I372" s="47" t="n">
        <v>24869.3</v>
      </c>
      <c r="J372" s="48" t="n">
        <v>69353</v>
      </c>
      <c r="K372" s="47" t="n">
        <v>1293259.79</v>
      </c>
      <c r="L372" s="48" t="n">
        <v>6997125</v>
      </c>
      <c r="M372" s="48" t="n">
        <v>-2143650</v>
      </c>
      <c r="N372" s="47" t="n">
        <v>24855.05</v>
      </c>
      <c r="O372" s="47" t="n">
        <f aca="false">IF(AND(ISNUMBER(G372),ISNUMBER(N372)),G372-N372,"")</f>
        <v>14.25</v>
      </c>
      <c r="P372" s="49" t="n">
        <f aca="false">IF(ISNUMBER(O372),O372/N372,"")</f>
        <v>0.000573324133325019</v>
      </c>
      <c r="Q372" s="50" t="n">
        <f aca="false">C372-B372</f>
        <v>1</v>
      </c>
      <c r="R372" s="51" t="n">
        <f aca="false">IF(AND(C372=C371,ISNUMBER(G372),ISNUMBER(G371)),(G372/G371-1)*100,"")</f>
        <v>0.122791761276719</v>
      </c>
      <c r="S372" s="51" t="n">
        <f aca="false">IF(AND(C372=C371,ISNUMBER(L372),ISNUMBER(L371)),(L372/L371-1)*100,"")</f>
        <v>-23.4515125905626</v>
      </c>
      <c r="T372" s="51" t="n">
        <f aca="false">IF(AND(C372=C371,ISNUMBER(G372),ISNUMBER(G371)),G372-G371,"")</f>
        <v>30.5</v>
      </c>
      <c r="U372" s="1" t="str">
        <f aca="false">IF(OR(NOT(ISNUMBER(R372)),NOT(ISNUMBER(S372))),"Not classified",IF(AND(R372&gt;0,S372&gt;0),"Long buildup (interpretation)",IF(AND(R372&lt;0,S372&gt;0),"Short buildup (interpretation)",IF(AND(R372&gt;0,S372&lt;0),"Short covering (interpretation)",IF(AND(R372&lt;0,S372&lt;0),"Long unwinding (interpretation)","Neutral")))))</f>
        <v>Short covering (interpretation)</v>
      </c>
      <c r="V372" s="52" t="str">
        <f aca="false">TEXT(B372,"yyyy-mm")</f>
        <v>2025-07</v>
      </c>
      <c r="W372" s="52" t="n">
        <f aca="false">1+COUNTIFS($B$2:$B$756,B372,$C$2:$C$756,"&lt;"&amp;C372)</f>
        <v>1</v>
      </c>
      <c r="X372" s="53" t="n">
        <f aca="false">IF(AND(ISNUMBER(P372),Q372&gt;0),P372*365/Q372,"")</f>
        <v>0.209263308663632</v>
      </c>
      <c r="Y372" s="42" t="n">
        <f aca="false">IF(AND(C373=C372,ISNUMBER(R373)),R373,"")</f>
        <v>-0.391647533304107</v>
      </c>
      <c r="Z372" s="52" t="n">
        <f aca="false">IF(AND(W372=1,Q372&gt;Basis_Analysis!$B$3,ISNUMBER(Y372)),1,0)</f>
        <v>0</v>
      </c>
      <c r="AA372" s="43" t="n">
        <f aca="false">IF(W372=1,IF(SUMIFS($L$2:$L$756,$B$2:$B$756,B372,$W$2:$W$756,2)&gt;0,SUMIFS($L$2:$L$756,$B$2:$B$756,B372,$W$2:$W$756,2),""),"")</f>
        <v>12571575</v>
      </c>
      <c r="AB372" s="54" t="n">
        <f aca="false">IF(AND(W372=1,ISNUMBER(AA372)),L372/(L372+AA372),"")</f>
        <v>0.357567186374159</v>
      </c>
    </row>
    <row r="373" customFormat="false" ht="15" hidden="false" customHeight="true" outlineLevel="0" collapsed="false">
      <c r="A373" s="1" t="s">
        <v>274</v>
      </c>
      <c r="B373" s="46" t="n">
        <v>45869</v>
      </c>
      <c r="C373" s="46" t="n">
        <v>45869</v>
      </c>
      <c r="D373" s="47" t="n">
        <v>24693</v>
      </c>
      <c r="E373" s="47" t="n">
        <v>24970</v>
      </c>
      <c r="F373" s="47" t="n">
        <v>24625.1</v>
      </c>
      <c r="G373" s="47" t="n">
        <v>24771.9</v>
      </c>
      <c r="H373" s="47" t="n">
        <v>24766.8</v>
      </c>
      <c r="I373" s="47" t="n">
        <v>24768.35</v>
      </c>
      <c r="J373" s="48" t="n">
        <v>81205</v>
      </c>
      <c r="K373" s="47" t="n">
        <v>1509613.59</v>
      </c>
      <c r="L373" s="48" t="n">
        <v>5278950</v>
      </c>
      <c r="M373" s="48" t="n">
        <v>-1718175</v>
      </c>
      <c r="N373" s="47" t="n">
        <v>24768.35</v>
      </c>
      <c r="O373" s="47" t="n">
        <f aca="false">IF(AND(ISNUMBER(G373),ISNUMBER(N373)),G373-N373,"")</f>
        <v>3.55000000000291</v>
      </c>
      <c r="P373" s="49" t="n">
        <f aca="false">IF(ISNUMBER(O373),O373/N373,"")</f>
        <v>0.000143328077970592</v>
      </c>
      <c r="Q373" s="50" t="n">
        <f aca="false">C373-B373</f>
        <v>0</v>
      </c>
      <c r="R373" s="51" t="n">
        <f aca="false">IF(AND(C373=C372,ISNUMBER(G373),ISNUMBER(G372)),(G373/G372-1)*100,"")</f>
        <v>-0.391647533304107</v>
      </c>
      <c r="S373" s="51" t="n">
        <f aca="false">IF(AND(C373=C372,ISNUMBER(L373),ISNUMBER(L372)),(L373/L372-1)*100,"")</f>
        <v>-24.5554424138486</v>
      </c>
      <c r="T373" s="51" t="n">
        <f aca="false">IF(AND(C373=C372,ISNUMBER(G373),ISNUMBER(G372)),G373-G372,"")</f>
        <v>-97.3999999999978</v>
      </c>
      <c r="U373" s="1" t="str">
        <f aca="false">IF(OR(NOT(ISNUMBER(R373)),NOT(ISNUMBER(S373))),"Not classified",IF(AND(R373&gt;0,S373&gt;0),"Long buildup (interpretation)",IF(AND(R373&lt;0,S373&gt;0),"Short buildup (interpretation)",IF(AND(R373&gt;0,S373&lt;0),"Short covering (interpretation)",IF(AND(R373&lt;0,S373&lt;0),"Long unwinding (interpretation)","Neutral")))))</f>
        <v>Long unwinding (interpretation)</v>
      </c>
      <c r="V373" s="52" t="str">
        <f aca="false">TEXT(B373,"yyyy-mm")</f>
        <v>2025-07</v>
      </c>
      <c r="W373" s="52" t="n">
        <f aca="false">1+COUNTIFS($B$2:$B$756,B373,$C$2:$C$756,"&lt;"&amp;C373)</f>
        <v>1</v>
      </c>
      <c r="X373" s="53" t="str">
        <f aca="false">IF(AND(ISNUMBER(P373),Q373&gt;0),P373*365/Q373,"")</f>
        <v/>
      </c>
      <c r="Y373" s="42" t="str">
        <f aca="false">IF(AND(C374=C373,ISNUMBER(R374)),R374,"")</f>
        <v/>
      </c>
      <c r="Z373" s="52" t="n">
        <f aca="false">IF(AND(W373=1,Q373&gt;Basis_Analysis!$B$3,ISNUMBER(Y373)),1,0)</f>
        <v>0</v>
      </c>
      <c r="AA373" s="43" t="n">
        <f aca="false">IF(W373=1,IF(SUMIFS($L$2:$L$756,$B$2:$B$756,B373,$W$2:$W$756,2)&gt;0,SUMIFS($L$2:$L$756,$B$2:$B$756,B373,$W$2:$W$756,2),""),"")</f>
        <v>15590625</v>
      </c>
      <c r="AB373" s="54" t="n">
        <f aca="false">IF(AND(W373=1,ISNUMBER(AA373)),L373/(L373+AA373),"")</f>
        <v>0.25294956892989</v>
      </c>
    </row>
    <row r="374" customFormat="false" ht="15" hidden="false" customHeight="true" outlineLevel="0" collapsed="false">
      <c r="A374" s="1" t="s">
        <v>274</v>
      </c>
      <c r="B374" s="46" t="n">
        <v>45806</v>
      </c>
      <c r="C374" s="46" t="n">
        <v>45897</v>
      </c>
      <c r="D374" s="47"/>
      <c r="E374" s="47"/>
      <c r="F374" s="47"/>
      <c r="G374" s="47"/>
      <c r="H374" s="47"/>
      <c r="I374" s="47"/>
      <c r="J374" s="48"/>
      <c r="K374" s="47"/>
      <c r="L374" s="48"/>
      <c r="M374" s="48"/>
      <c r="N374" s="47"/>
      <c r="O374" s="47" t="str">
        <f aca="false">IF(AND(ISNUMBER(G374),ISNUMBER(N374)),G374-N374,"")</f>
        <v/>
      </c>
      <c r="P374" s="49" t="str">
        <f aca="false">IF(ISNUMBER(O374),O374/N374,"")</f>
        <v/>
      </c>
      <c r="Q374" s="50" t="n">
        <f aca="false">C374-B374</f>
        <v>91</v>
      </c>
      <c r="R374" s="51" t="str">
        <f aca="false">IF(AND(C374=C373,ISNUMBER(G374),ISNUMBER(G373)),(G374/G373-1)*100,"")</f>
        <v/>
      </c>
      <c r="S374" s="51" t="str">
        <f aca="false">IF(AND(C374=C373,ISNUMBER(L374),ISNUMBER(L373)),(L374/L373-1)*100,"")</f>
        <v/>
      </c>
      <c r="T374" s="51" t="str">
        <f aca="false">IF(AND(C374=C373,ISNUMBER(G374),ISNUMBER(G373)),G374-G373,"")</f>
        <v/>
      </c>
      <c r="U374" s="1" t="str">
        <f aca="false">IF(OR(NOT(ISNUMBER(R374)),NOT(ISNUMBER(S374))),"Not classified",IF(AND(R374&gt;0,S374&gt;0),"Long buildup (interpretation)",IF(AND(R374&lt;0,S374&gt;0),"Short buildup (interpretation)",IF(AND(R374&gt;0,S374&lt;0),"Short covering (interpretation)",IF(AND(R374&lt;0,S374&lt;0),"Long unwinding (interpretation)","Neutral")))))</f>
        <v>Not classified</v>
      </c>
      <c r="V374" s="52" t="str">
        <f aca="false">TEXT(B374,"yyyy-mm")</f>
        <v>2025-05</v>
      </c>
      <c r="W374" s="52" t="n">
        <f aca="false">1+COUNTIFS($B$2:$B$756,B374,$C$2:$C$756,"&lt;"&amp;C374)</f>
        <v>4</v>
      </c>
      <c r="X374" s="53" t="str">
        <f aca="false">IF(AND(ISNUMBER(P374),Q374&gt;0),P374*365/Q374,"")</f>
        <v/>
      </c>
      <c r="Y374" s="42" t="str">
        <f aca="false">IF(AND(C375=C374,ISNUMBER(R375)),R375,"")</f>
        <v/>
      </c>
      <c r="Z374" s="52" t="n">
        <f aca="false">IF(AND(W374=1,Q374&gt;Basis_Analysis!$B$3,ISNUMBER(Y374)),1,0)</f>
        <v>0</v>
      </c>
      <c r="AA374" s="43" t="str">
        <f aca="false">IF(W374=1,IF(SUMIFS($L$2:$L$756,$B$2:$B$756,B374,$W$2:$W$756,2)&gt;0,SUMIFS($L$2:$L$756,$B$2:$B$756,B374,$W$2:$W$756,2),""),"")</f>
        <v/>
      </c>
      <c r="AB374" s="54" t="str">
        <f aca="false">IF(AND(W374=1,ISNUMBER(AA374)),L374/(L374+AA374),"")</f>
        <v/>
      </c>
    </row>
    <row r="375" customFormat="false" ht="15" hidden="false" customHeight="true" outlineLevel="0" collapsed="false">
      <c r="A375" s="1" t="s">
        <v>274</v>
      </c>
      <c r="B375" s="46" t="n">
        <v>45807</v>
      </c>
      <c r="C375" s="46" t="n">
        <v>45897</v>
      </c>
      <c r="D375" s="47" t="n">
        <v>25125.2</v>
      </c>
      <c r="E375" s="47" t="n">
        <v>25229.9</v>
      </c>
      <c r="F375" s="47" t="n">
        <v>25095.4</v>
      </c>
      <c r="G375" s="47" t="n">
        <v>25126</v>
      </c>
      <c r="H375" s="47" t="n">
        <v>25118</v>
      </c>
      <c r="I375" s="47" t="n">
        <v>25126</v>
      </c>
      <c r="J375" s="48" t="n">
        <v>1081</v>
      </c>
      <c r="K375" s="47" t="n">
        <v>20386.04</v>
      </c>
      <c r="L375" s="48" t="n">
        <v>34575</v>
      </c>
      <c r="M375" s="48" t="n">
        <v>34575</v>
      </c>
      <c r="N375" s="47"/>
      <c r="O375" s="47" t="str">
        <f aca="false">IF(AND(ISNUMBER(G375),ISNUMBER(N375)),G375-N375,"")</f>
        <v/>
      </c>
      <c r="P375" s="49" t="str">
        <f aca="false">IF(ISNUMBER(O375),O375/N375,"")</f>
        <v/>
      </c>
      <c r="Q375" s="50" t="n">
        <f aca="false">C375-B375</f>
        <v>90</v>
      </c>
      <c r="R375" s="51" t="str">
        <f aca="false">IF(AND(C375=C374,ISNUMBER(G375),ISNUMBER(G374)),(G375/G374-1)*100,"")</f>
        <v/>
      </c>
      <c r="S375" s="51" t="str">
        <f aca="false">IF(AND(C375=C374,ISNUMBER(L375),ISNUMBER(L374)),(L375/L374-1)*100,"")</f>
        <v/>
      </c>
      <c r="T375" s="51" t="str">
        <f aca="false">IF(AND(C375=C374,ISNUMBER(G375),ISNUMBER(G374)),G375-G374,"")</f>
        <v/>
      </c>
      <c r="U375" s="1" t="str">
        <f aca="false">IF(OR(NOT(ISNUMBER(R375)),NOT(ISNUMBER(S375))),"Not classified",IF(AND(R375&gt;0,S375&gt;0),"Long buildup (interpretation)",IF(AND(R375&lt;0,S375&gt;0),"Short buildup (interpretation)",IF(AND(R375&gt;0,S375&lt;0),"Short covering (interpretation)",IF(AND(R375&lt;0,S375&lt;0),"Long unwinding (interpretation)","Neutral")))))</f>
        <v>Not classified</v>
      </c>
      <c r="V375" s="52" t="str">
        <f aca="false">TEXT(B375,"yyyy-mm")</f>
        <v>2025-05</v>
      </c>
      <c r="W375" s="52" t="n">
        <f aca="false">1+COUNTIFS($B$2:$B$756,B375,$C$2:$C$756,"&lt;"&amp;C375)</f>
        <v>3</v>
      </c>
      <c r="X375" s="53" t="str">
        <f aca="false">IF(AND(ISNUMBER(P375),Q375&gt;0),P375*365/Q375,"")</f>
        <v/>
      </c>
      <c r="Y375" s="42" t="n">
        <f aca="false">IF(AND(C376=C375,ISNUMBER(R376)),R376,"")</f>
        <v>-0.192629149088597</v>
      </c>
      <c r="Z375" s="52" t="n">
        <f aca="false">IF(AND(W375=1,Q375&gt;Basis_Analysis!$B$3,ISNUMBER(Y375)),1,0)</f>
        <v>0</v>
      </c>
      <c r="AA375" s="43" t="str">
        <f aca="false">IF(W375=1,IF(SUMIFS($L$2:$L$756,$B$2:$B$756,B375,$W$2:$W$756,2)&gt;0,SUMIFS($L$2:$L$756,$B$2:$B$756,B375,$W$2:$W$756,2),""),"")</f>
        <v/>
      </c>
      <c r="AB375" s="54" t="str">
        <f aca="false">IF(AND(W375=1,ISNUMBER(AA375)),L375/(L375+AA375),"")</f>
        <v/>
      </c>
    </row>
    <row r="376" customFormat="false" ht="15" hidden="false" customHeight="true" outlineLevel="0" collapsed="false">
      <c r="A376" s="1" t="s">
        <v>274</v>
      </c>
      <c r="B376" s="46" t="n">
        <v>45810</v>
      </c>
      <c r="C376" s="46" t="n">
        <v>45897</v>
      </c>
      <c r="D376" s="47" t="n">
        <v>25000</v>
      </c>
      <c r="E376" s="47" t="n">
        <v>25121.2</v>
      </c>
      <c r="F376" s="47" t="n">
        <v>24870.1</v>
      </c>
      <c r="G376" s="47" t="n">
        <v>25077.6</v>
      </c>
      <c r="H376" s="47" t="n">
        <v>25066.3</v>
      </c>
      <c r="I376" s="47" t="n">
        <v>25077.6</v>
      </c>
      <c r="J376" s="48" t="n">
        <v>1520</v>
      </c>
      <c r="K376" s="47" t="n">
        <v>28490.99</v>
      </c>
      <c r="L376" s="48" t="n">
        <v>60975</v>
      </c>
      <c r="M376" s="48" t="n">
        <v>26400</v>
      </c>
      <c r="N376" s="47" t="n">
        <v>24716.6</v>
      </c>
      <c r="O376" s="47" t="n">
        <f aca="false">IF(AND(ISNUMBER(G376),ISNUMBER(N376)),G376-N376,"")</f>
        <v>361</v>
      </c>
      <c r="P376" s="49" t="n">
        <f aca="false">IF(ISNUMBER(O376),O376/N376,"")</f>
        <v>0.0146055687270903</v>
      </c>
      <c r="Q376" s="50" t="n">
        <f aca="false">C376-B376</f>
        <v>87</v>
      </c>
      <c r="R376" s="51" t="n">
        <f aca="false">IF(AND(C376=C375,ISNUMBER(G376),ISNUMBER(G375)),(G376/G375-1)*100,"")</f>
        <v>-0.192629149088597</v>
      </c>
      <c r="S376" s="51" t="n">
        <f aca="false">IF(AND(C376=C375,ISNUMBER(L376),ISNUMBER(L375)),(L376/L375-1)*100,"")</f>
        <v>76.355748373102</v>
      </c>
      <c r="T376" s="51" t="n">
        <f aca="false">IF(AND(C376=C375,ISNUMBER(G376),ISNUMBER(G375)),G376-G375,"")</f>
        <v>-48.4000000000015</v>
      </c>
      <c r="U376" s="1" t="str">
        <f aca="false">IF(OR(NOT(ISNUMBER(R376)),NOT(ISNUMBER(S376))),"Not classified",IF(AND(R376&gt;0,S376&gt;0),"Long buildup (interpretation)",IF(AND(R376&lt;0,S376&gt;0),"Short buildup (interpretation)",IF(AND(R376&gt;0,S376&lt;0),"Short covering (interpretation)",IF(AND(R376&lt;0,S376&lt;0),"Long unwinding (interpretation)","Neutral")))))</f>
        <v>Short buildup (interpretation)</v>
      </c>
      <c r="V376" s="52" t="str">
        <f aca="false">TEXT(B376,"yyyy-mm")</f>
        <v>2025-06</v>
      </c>
      <c r="W376" s="52" t="n">
        <f aca="false">1+COUNTIFS($B$2:$B$756,B376,$C$2:$C$756,"&lt;"&amp;C376)</f>
        <v>3</v>
      </c>
      <c r="X376" s="53" t="n">
        <f aca="false">IF(AND(ISNUMBER(P376),Q376&gt;0),P376*365/Q376,"")</f>
        <v>0.0612762366136547</v>
      </c>
      <c r="Y376" s="42" t="n">
        <f aca="false">IF(AND(C377=C376,ISNUMBER(R377)),R377,"")</f>
        <v>-0.644399783073335</v>
      </c>
      <c r="Z376" s="52" t="n">
        <f aca="false">IF(AND(W376=1,Q376&gt;Basis_Analysis!$B$3,ISNUMBER(Y376)),1,0)</f>
        <v>0</v>
      </c>
      <c r="AA376" s="43" t="str">
        <f aca="false">IF(W376=1,IF(SUMIFS($L$2:$L$756,$B$2:$B$756,B376,$W$2:$W$756,2)&gt;0,SUMIFS($L$2:$L$756,$B$2:$B$756,B376,$W$2:$W$756,2),""),"")</f>
        <v/>
      </c>
      <c r="AB376" s="54" t="str">
        <f aca="false">IF(AND(W376=1,ISNUMBER(AA376)),L376/(L376+AA376),"")</f>
        <v/>
      </c>
    </row>
    <row r="377" customFormat="false" ht="15" hidden="false" customHeight="true" outlineLevel="0" collapsed="false">
      <c r="A377" s="1" t="s">
        <v>274</v>
      </c>
      <c r="B377" s="46" t="n">
        <v>45811</v>
      </c>
      <c r="C377" s="46" t="n">
        <v>45897</v>
      </c>
      <c r="D377" s="47" t="n">
        <v>25149.9</v>
      </c>
      <c r="E377" s="47" t="n">
        <v>25174.9</v>
      </c>
      <c r="F377" s="47" t="n">
        <v>24878.9</v>
      </c>
      <c r="G377" s="47" t="n">
        <v>24916</v>
      </c>
      <c r="H377" s="47" t="n">
        <v>24902.6</v>
      </c>
      <c r="I377" s="47" t="n">
        <v>24916</v>
      </c>
      <c r="J377" s="48" t="n">
        <v>1896</v>
      </c>
      <c r="K377" s="47" t="n">
        <v>35526.15</v>
      </c>
      <c r="L377" s="48" t="n">
        <v>105525</v>
      </c>
      <c r="M377" s="48" t="n">
        <v>44550</v>
      </c>
      <c r="N377" s="47" t="n">
        <v>24542.5</v>
      </c>
      <c r="O377" s="47" t="n">
        <f aca="false">IF(AND(ISNUMBER(G377),ISNUMBER(N377)),G377-N377,"")</f>
        <v>373.5</v>
      </c>
      <c r="P377" s="49" t="n">
        <f aca="false">IF(ISNUMBER(O377),O377/N377,"")</f>
        <v>0.0152184985229704</v>
      </c>
      <c r="Q377" s="50" t="n">
        <f aca="false">C377-B377</f>
        <v>86</v>
      </c>
      <c r="R377" s="51" t="n">
        <f aca="false">IF(AND(C377=C376,ISNUMBER(G377),ISNUMBER(G376)),(G377/G376-1)*100,"")</f>
        <v>-0.644399783073335</v>
      </c>
      <c r="S377" s="51" t="n">
        <f aca="false">IF(AND(C377=C376,ISNUMBER(L377),ISNUMBER(L376)),(L377/L376-1)*100,"")</f>
        <v>73.0627306273063</v>
      </c>
      <c r="T377" s="51" t="n">
        <f aca="false">IF(AND(C377=C376,ISNUMBER(G377),ISNUMBER(G376)),G377-G376,"")</f>
        <v>-161.599999999999</v>
      </c>
      <c r="U377" s="1" t="str">
        <f aca="false">IF(OR(NOT(ISNUMBER(R377)),NOT(ISNUMBER(S377))),"Not classified",IF(AND(R377&gt;0,S377&gt;0),"Long buildup (interpretation)",IF(AND(R377&lt;0,S377&gt;0),"Short buildup (interpretation)",IF(AND(R377&gt;0,S377&lt;0),"Short covering (interpretation)",IF(AND(R377&lt;0,S377&lt;0),"Long unwinding (interpretation)","Neutral")))))</f>
        <v>Short buildup (interpretation)</v>
      </c>
      <c r="V377" s="52" t="str">
        <f aca="false">TEXT(B377,"yyyy-mm")</f>
        <v>2025-06</v>
      </c>
      <c r="W377" s="52" t="n">
        <f aca="false">1+COUNTIFS($B$2:$B$756,B377,$C$2:$C$756,"&lt;"&amp;C377)</f>
        <v>3</v>
      </c>
      <c r="X377" s="53" t="n">
        <f aca="false">IF(AND(ISNUMBER(P377),Q377&gt;0),P377*365/Q377,"")</f>
        <v>0.0645901390800486</v>
      </c>
      <c r="Y377" s="42" t="n">
        <f aca="false">IF(AND(C378=C377,ISNUMBER(R378)),R378,"")</f>
        <v>0.229972708299875</v>
      </c>
      <c r="Z377" s="52" t="n">
        <f aca="false">IF(AND(W377=1,Q377&gt;Basis_Analysis!$B$3,ISNUMBER(Y377)),1,0)</f>
        <v>0</v>
      </c>
      <c r="AA377" s="43" t="str">
        <f aca="false">IF(W377=1,IF(SUMIFS($L$2:$L$756,$B$2:$B$756,B377,$W$2:$W$756,2)&gt;0,SUMIFS($L$2:$L$756,$B$2:$B$756,B377,$W$2:$W$756,2),""),"")</f>
        <v/>
      </c>
      <c r="AB377" s="54" t="str">
        <f aca="false">IF(AND(W377=1,ISNUMBER(AA377)),L377/(L377+AA377),"")</f>
        <v/>
      </c>
    </row>
    <row r="378" customFormat="false" ht="15" hidden="false" customHeight="true" outlineLevel="0" collapsed="false">
      <c r="A378" s="1" t="s">
        <v>274</v>
      </c>
      <c r="B378" s="46" t="n">
        <v>45812</v>
      </c>
      <c r="C378" s="46" t="n">
        <v>45897</v>
      </c>
      <c r="D378" s="47" t="n">
        <v>24916</v>
      </c>
      <c r="E378" s="47" t="n">
        <v>24998.1</v>
      </c>
      <c r="F378" s="47" t="n">
        <v>24886.1</v>
      </c>
      <c r="G378" s="47" t="n">
        <v>24973.3</v>
      </c>
      <c r="H378" s="47" t="n">
        <v>24960.2</v>
      </c>
      <c r="I378" s="47" t="n">
        <v>24973.3</v>
      </c>
      <c r="J378" s="48" t="n">
        <v>884</v>
      </c>
      <c r="K378" s="47" t="n">
        <v>16539.78</v>
      </c>
      <c r="L378" s="48" t="n">
        <v>123750</v>
      </c>
      <c r="M378" s="48" t="n">
        <v>18225</v>
      </c>
      <c r="N378" s="47" t="n">
        <v>24620.2</v>
      </c>
      <c r="O378" s="47" t="n">
        <f aca="false">IF(AND(ISNUMBER(G378),ISNUMBER(N378)),G378-N378,"")</f>
        <v>353.099999999999</v>
      </c>
      <c r="P378" s="49" t="n">
        <f aca="false">IF(ISNUMBER(O378),O378/N378,"")</f>
        <v>0.0143418818693592</v>
      </c>
      <c r="Q378" s="50" t="n">
        <f aca="false">C378-B378</f>
        <v>85</v>
      </c>
      <c r="R378" s="51" t="n">
        <f aca="false">IF(AND(C378=C377,ISNUMBER(G378),ISNUMBER(G377)),(G378/G377-1)*100,"")</f>
        <v>0.229972708299875</v>
      </c>
      <c r="S378" s="51" t="n">
        <f aca="false">IF(AND(C378=C377,ISNUMBER(L378),ISNUMBER(L377)),(L378/L377-1)*100,"")</f>
        <v>17.27078891258</v>
      </c>
      <c r="T378" s="51" t="n">
        <f aca="false">IF(AND(C378=C377,ISNUMBER(G378),ISNUMBER(G377)),G378-G377,"")</f>
        <v>57.2999999999993</v>
      </c>
      <c r="U378" s="1" t="str">
        <f aca="false">IF(OR(NOT(ISNUMBER(R378)),NOT(ISNUMBER(S378))),"Not classified",IF(AND(R378&gt;0,S378&gt;0),"Long buildup (interpretation)",IF(AND(R378&lt;0,S378&gt;0),"Short buildup (interpretation)",IF(AND(R378&gt;0,S378&lt;0),"Short covering (interpretation)",IF(AND(R378&lt;0,S378&lt;0),"Long unwinding (interpretation)","Neutral")))))</f>
        <v>Long buildup (interpretation)</v>
      </c>
      <c r="V378" s="52" t="str">
        <f aca="false">TEXT(B378,"yyyy-mm")</f>
        <v>2025-06</v>
      </c>
      <c r="W378" s="52" t="n">
        <f aca="false">1+COUNTIFS($B$2:$B$756,B378,$C$2:$C$756,"&lt;"&amp;C378)</f>
        <v>3</v>
      </c>
      <c r="X378" s="53" t="n">
        <f aca="false">IF(AND(ISNUMBER(P378),Q378&gt;0),P378*365/Q378,"")</f>
        <v>0.0615857280272485</v>
      </c>
      <c r="Y378" s="42" t="n">
        <f aca="false">IF(AND(C379=C378,ISNUMBER(R379)),R379,"")</f>
        <v>0.536973487684866</v>
      </c>
      <c r="Z378" s="52" t="n">
        <f aca="false">IF(AND(W378=1,Q378&gt;Basis_Analysis!$B$3,ISNUMBER(Y378)),1,0)</f>
        <v>0</v>
      </c>
      <c r="AA378" s="43" t="str">
        <f aca="false">IF(W378=1,IF(SUMIFS($L$2:$L$756,$B$2:$B$756,B378,$W$2:$W$756,2)&gt;0,SUMIFS($L$2:$L$756,$B$2:$B$756,B378,$W$2:$W$756,2),""),"")</f>
        <v/>
      </c>
      <c r="AB378" s="54" t="str">
        <f aca="false">IF(AND(W378=1,ISNUMBER(AA378)),L378/(L378+AA378),"")</f>
        <v/>
      </c>
    </row>
    <row r="379" customFormat="false" ht="15" hidden="false" customHeight="true" outlineLevel="0" collapsed="false">
      <c r="A379" s="1" t="s">
        <v>274</v>
      </c>
      <c r="B379" s="46" t="n">
        <v>45813</v>
      </c>
      <c r="C379" s="46" t="n">
        <v>45897</v>
      </c>
      <c r="D379" s="47" t="n">
        <v>25087.3</v>
      </c>
      <c r="E379" s="47" t="n">
        <v>25245</v>
      </c>
      <c r="F379" s="47" t="n">
        <v>24964.2</v>
      </c>
      <c r="G379" s="47" t="n">
        <v>25107.4</v>
      </c>
      <c r="H379" s="47" t="n">
        <v>25121</v>
      </c>
      <c r="I379" s="47" t="n">
        <v>25107.4</v>
      </c>
      <c r="J379" s="48" t="n">
        <v>1902</v>
      </c>
      <c r="K379" s="47" t="n">
        <v>35837.01</v>
      </c>
      <c r="L379" s="48" t="n">
        <v>152550</v>
      </c>
      <c r="M379" s="48" t="n">
        <v>28800</v>
      </c>
      <c r="N379" s="47" t="n">
        <v>24750.9</v>
      </c>
      <c r="O379" s="47" t="n">
        <f aca="false">IF(AND(ISNUMBER(G379),ISNUMBER(N379)),G379-N379,"")</f>
        <v>356.5</v>
      </c>
      <c r="P379" s="49" t="n">
        <f aca="false">IF(ISNUMBER(O379),O379/N379,"")</f>
        <v>0.014403516639799</v>
      </c>
      <c r="Q379" s="50" t="n">
        <f aca="false">C379-B379</f>
        <v>84</v>
      </c>
      <c r="R379" s="51" t="n">
        <f aca="false">IF(AND(C379=C378,ISNUMBER(G379),ISNUMBER(G378)),(G379/G378-1)*100,"")</f>
        <v>0.536973487684866</v>
      </c>
      <c r="S379" s="51" t="n">
        <f aca="false">IF(AND(C379=C378,ISNUMBER(L379),ISNUMBER(L378)),(L379/L378-1)*100,"")</f>
        <v>23.2727272727273</v>
      </c>
      <c r="T379" s="51" t="n">
        <f aca="false">IF(AND(C379=C378,ISNUMBER(G379),ISNUMBER(G378)),G379-G378,"")</f>
        <v>134.100000000002</v>
      </c>
      <c r="U379" s="1" t="str">
        <f aca="false">IF(OR(NOT(ISNUMBER(R379)),NOT(ISNUMBER(S379))),"Not classified",IF(AND(R379&gt;0,S379&gt;0),"Long buildup (interpretation)",IF(AND(R379&lt;0,S379&gt;0),"Short buildup (interpretation)",IF(AND(R379&gt;0,S379&lt;0),"Short covering (interpretation)",IF(AND(R379&lt;0,S379&lt;0),"Long unwinding (interpretation)","Neutral")))))</f>
        <v>Long buildup (interpretation)</v>
      </c>
      <c r="V379" s="52" t="str">
        <f aca="false">TEXT(B379,"yyyy-mm")</f>
        <v>2025-06</v>
      </c>
      <c r="W379" s="52" t="n">
        <f aca="false">1+COUNTIFS($B$2:$B$756,B379,$C$2:$C$756,"&lt;"&amp;C379)</f>
        <v>3</v>
      </c>
      <c r="X379" s="53" t="n">
        <f aca="false">IF(AND(ISNUMBER(P379),Q379&gt;0),P379*365/Q379,"")</f>
        <v>0.0625867092086502</v>
      </c>
      <c r="Y379" s="42" t="n">
        <f aca="false">IF(AND(C380=C379,ISNUMBER(R380)),R380,"")</f>
        <v>0.925623521352259</v>
      </c>
      <c r="Z379" s="52" t="n">
        <f aca="false">IF(AND(W379=1,Q379&gt;Basis_Analysis!$B$3,ISNUMBER(Y379)),1,0)</f>
        <v>0</v>
      </c>
      <c r="AA379" s="43" t="str">
        <f aca="false">IF(W379=1,IF(SUMIFS($L$2:$L$756,$B$2:$B$756,B379,$W$2:$W$756,2)&gt;0,SUMIFS($L$2:$L$756,$B$2:$B$756,B379,$W$2:$W$756,2),""),"")</f>
        <v/>
      </c>
      <c r="AB379" s="54" t="str">
        <f aca="false">IF(AND(W379=1,ISNUMBER(AA379)),L379/(L379+AA379),"")</f>
        <v/>
      </c>
    </row>
    <row r="380" customFormat="false" ht="15" hidden="false" customHeight="true" outlineLevel="0" collapsed="false">
      <c r="A380" s="1" t="s">
        <v>274</v>
      </c>
      <c r="B380" s="46" t="n">
        <v>45814</v>
      </c>
      <c r="C380" s="46" t="n">
        <v>45897</v>
      </c>
      <c r="D380" s="47" t="n">
        <v>25103.8</v>
      </c>
      <c r="E380" s="47" t="n">
        <v>25379</v>
      </c>
      <c r="F380" s="47" t="n">
        <v>25001.7</v>
      </c>
      <c r="G380" s="47" t="n">
        <v>25339.8</v>
      </c>
      <c r="H380" s="47" t="n">
        <v>25336</v>
      </c>
      <c r="I380" s="47" t="n">
        <v>25339.8</v>
      </c>
      <c r="J380" s="48" t="n">
        <v>2564</v>
      </c>
      <c r="K380" s="47" t="n">
        <v>48558.03</v>
      </c>
      <c r="L380" s="48" t="n">
        <v>189300</v>
      </c>
      <c r="M380" s="48" t="n">
        <v>36750</v>
      </c>
      <c r="N380" s="47" t="n">
        <v>25003.05</v>
      </c>
      <c r="O380" s="47" t="n">
        <f aca="false">IF(AND(ISNUMBER(G380),ISNUMBER(N380)),G380-N380,"")</f>
        <v>336.75</v>
      </c>
      <c r="P380" s="49" t="n">
        <f aca="false">IF(ISNUMBER(O380),O380/N380,"")</f>
        <v>0.013468356860463</v>
      </c>
      <c r="Q380" s="50" t="n">
        <f aca="false">C380-B380</f>
        <v>83</v>
      </c>
      <c r="R380" s="51" t="n">
        <f aca="false">IF(AND(C380=C379,ISNUMBER(G380),ISNUMBER(G379)),(G380/G379-1)*100,"")</f>
        <v>0.925623521352259</v>
      </c>
      <c r="S380" s="51" t="n">
        <f aca="false">IF(AND(C380=C379,ISNUMBER(L380),ISNUMBER(L379)),(L380/L379-1)*100,"")</f>
        <v>24.0904621435595</v>
      </c>
      <c r="T380" s="51" t="n">
        <f aca="false">IF(AND(C380=C379,ISNUMBER(G380),ISNUMBER(G379)),G380-G379,"")</f>
        <v>232.399999999998</v>
      </c>
      <c r="U380" s="1" t="str">
        <f aca="false">IF(OR(NOT(ISNUMBER(R380)),NOT(ISNUMBER(S380))),"Not classified",IF(AND(R380&gt;0,S380&gt;0),"Long buildup (interpretation)",IF(AND(R380&lt;0,S380&gt;0),"Short buildup (interpretation)",IF(AND(R380&gt;0,S380&lt;0),"Short covering (interpretation)",IF(AND(R380&lt;0,S380&lt;0),"Long unwinding (interpretation)","Neutral")))))</f>
        <v>Long buildup (interpretation)</v>
      </c>
      <c r="V380" s="52" t="str">
        <f aca="false">TEXT(B380,"yyyy-mm")</f>
        <v>2025-06</v>
      </c>
      <c r="W380" s="52" t="n">
        <f aca="false">1+COUNTIFS($B$2:$B$756,B380,$C$2:$C$756,"&lt;"&amp;C380)</f>
        <v>3</v>
      </c>
      <c r="X380" s="53" t="n">
        <f aca="false">IF(AND(ISNUMBER(P380),Q380&gt;0),P380*365/Q380,"")</f>
        <v>0.0592283163140844</v>
      </c>
      <c r="Y380" s="42" t="n">
        <f aca="false">IF(AND(C381=C380,ISNUMBER(R381)),R381,"")</f>
        <v>0.326364059700546</v>
      </c>
      <c r="Z380" s="52" t="n">
        <f aca="false">IF(AND(W380=1,Q380&gt;Basis_Analysis!$B$3,ISNUMBER(Y380)),1,0)</f>
        <v>0</v>
      </c>
      <c r="AA380" s="43" t="str">
        <f aca="false">IF(W380=1,IF(SUMIFS($L$2:$L$756,$B$2:$B$756,B380,$W$2:$W$756,2)&gt;0,SUMIFS($L$2:$L$756,$B$2:$B$756,B380,$W$2:$W$756,2),""),"")</f>
        <v/>
      </c>
      <c r="AB380" s="54" t="str">
        <f aca="false">IF(AND(W380=1,ISNUMBER(AA380)),L380/(L380+AA380),"")</f>
        <v/>
      </c>
    </row>
    <row r="381" customFormat="false" ht="15" hidden="false" customHeight="true" outlineLevel="0" collapsed="false">
      <c r="A381" s="1" t="s">
        <v>274</v>
      </c>
      <c r="B381" s="46" t="n">
        <v>45817</v>
      </c>
      <c r="C381" s="46" t="n">
        <v>45897</v>
      </c>
      <c r="D381" s="47" t="n">
        <v>25400</v>
      </c>
      <c r="E381" s="47" t="n">
        <v>25456</v>
      </c>
      <c r="F381" s="47" t="n">
        <v>25400</v>
      </c>
      <c r="G381" s="47" t="n">
        <v>25422.5</v>
      </c>
      <c r="H381" s="47" t="n">
        <v>25428</v>
      </c>
      <c r="I381" s="47" t="n">
        <v>25422.5</v>
      </c>
      <c r="J381" s="48" t="n">
        <v>1391</v>
      </c>
      <c r="K381" s="47" t="n">
        <v>26525.51</v>
      </c>
      <c r="L381" s="48" t="n">
        <v>221850</v>
      </c>
      <c r="M381" s="48" t="n">
        <v>32550</v>
      </c>
      <c r="N381" s="47" t="n">
        <v>25103.2</v>
      </c>
      <c r="O381" s="47" t="n">
        <f aca="false">IF(AND(ISNUMBER(G381),ISNUMBER(N381)),G381-N381,"")</f>
        <v>319.299999999999</v>
      </c>
      <c r="P381" s="49" t="n">
        <f aca="false">IF(ISNUMBER(O381),O381/N381,"")</f>
        <v>0.0127194939290608</v>
      </c>
      <c r="Q381" s="50" t="n">
        <f aca="false">C381-B381</f>
        <v>80</v>
      </c>
      <c r="R381" s="51" t="n">
        <f aca="false">IF(AND(C381=C380,ISNUMBER(G381),ISNUMBER(G380)),(G381/G380-1)*100,"")</f>
        <v>0.326364059700546</v>
      </c>
      <c r="S381" s="51" t="n">
        <f aca="false">IF(AND(C381=C380,ISNUMBER(L381),ISNUMBER(L380)),(L381/L380-1)*100,"")</f>
        <v>17.1949286846276</v>
      </c>
      <c r="T381" s="51" t="n">
        <f aca="false">IF(AND(C381=C380,ISNUMBER(G381),ISNUMBER(G380)),G381-G380,"")</f>
        <v>82.7000000000007</v>
      </c>
      <c r="U381" s="1" t="str">
        <f aca="false">IF(OR(NOT(ISNUMBER(R381)),NOT(ISNUMBER(S381))),"Not classified",IF(AND(R381&gt;0,S381&gt;0),"Long buildup (interpretation)",IF(AND(R381&lt;0,S381&gt;0),"Short buildup (interpretation)",IF(AND(R381&gt;0,S381&lt;0),"Short covering (interpretation)",IF(AND(R381&lt;0,S381&lt;0),"Long unwinding (interpretation)","Neutral")))))</f>
        <v>Long buildup (interpretation)</v>
      </c>
      <c r="V381" s="52" t="str">
        <f aca="false">TEXT(B381,"yyyy-mm")</f>
        <v>2025-06</v>
      </c>
      <c r="W381" s="52" t="n">
        <f aca="false">1+COUNTIFS($B$2:$B$756,B381,$C$2:$C$756,"&lt;"&amp;C381)</f>
        <v>3</v>
      </c>
      <c r="X381" s="53" t="n">
        <f aca="false">IF(AND(ISNUMBER(P381),Q381&gt;0),P381*365/Q381,"")</f>
        <v>0.0580326910513399</v>
      </c>
      <c r="Y381" s="42" t="n">
        <f aca="false">IF(AND(C382=C381,ISNUMBER(R382)),R382,"")</f>
        <v>-0.083390697217034</v>
      </c>
      <c r="Z381" s="52" t="n">
        <f aca="false">IF(AND(W381=1,Q381&gt;Basis_Analysis!$B$3,ISNUMBER(Y381)),1,0)</f>
        <v>0</v>
      </c>
      <c r="AA381" s="43" t="str">
        <f aca="false">IF(W381=1,IF(SUMIFS($L$2:$L$756,$B$2:$B$756,B381,$W$2:$W$756,2)&gt;0,SUMIFS($L$2:$L$756,$B$2:$B$756,B381,$W$2:$W$756,2),""),"")</f>
        <v/>
      </c>
      <c r="AB381" s="54" t="str">
        <f aca="false">IF(AND(W381=1,ISNUMBER(AA381)),L381/(L381+AA381),"")</f>
        <v/>
      </c>
    </row>
    <row r="382" customFormat="false" ht="15" hidden="false" customHeight="true" outlineLevel="0" collapsed="false">
      <c r="A382" s="1" t="s">
        <v>274</v>
      </c>
      <c r="B382" s="46" t="n">
        <v>45818</v>
      </c>
      <c r="C382" s="46" t="n">
        <v>45897</v>
      </c>
      <c r="D382" s="47" t="n">
        <v>25555.1</v>
      </c>
      <c r="E382" s="47" t="n">
        <v>25555.1</v>
      </c>
      <c r="F382" s="47" t="n">
        <v>25378.3</v>
      </c>
      <c r="G382" s="47" t="n">
        <v>25401.3</v>
      </c>
      <c r="H382" s="47" t="n">
        <v>25391</v>
      </c>
      <c r="I382" s="47" t="n">
        <v>25401.3</v>
      </c>
      <c r="J382" s="48" t="n">
        <v>1557</v>
      </c>
      <c r="K382" s="47" t="n">
        <v>29700.33</v>
      </c>
      <c r="L382" s="48" t="n">
        <v>263775</v>
      </c>
      <c r="M382" s="48" t="n">
        <v>41925</v>
      </c>
      <c r="N382" s="47" t="n">
        <v>25104.25</v>
      </c>
      <c r="O382" s="47" t="n">
        <f aca="false">IF(AND(ISNUMBER(G382),ISNUMBER(N382)),G382-N382,"")</f>
        <v>297.049999999999</v>
      </c>
      <c r="P382" s="49" t="n">
        <f aca="false">IF(ISNUMBER(O382),O382/N382,"")</f>
        <v>0.0118326578169035</v>
      </c>
      <c r="Q382" s="50" t="n">
        <f aca="false">C382-B382</f>
        <v>79</v>
      </c>
      <c r="R382" s="51" t="n">
        <f aca="false">IF(AND(C382=C381,ISNUMBER(G382),ISNUMBER(G381)),(G382/G381-1)*100,"")</f>
        <v>-0.083390697217034</v>
      </c>
      <c r="S382" s="51" t="n">
        <f aca="false">IF(AND(C382=C381,ISNUMBER(L382),ISNUMBER(L381)),(L382/L381-1)*100,"")</f>
        <v>18.8979039891819</v>
      </c>
      <c r="T382" s="51" t="n">
        <f aca="false">IF(AND(C382=C381,ISNUMBER(G382),ISNUMBER(G381)),G382-G381,"")</f>
        <v>-21.2000000000007</v>
      </c>
      <c r="U382" s="1" t="str">
        <f aca="false">IF(OR(NOT(ISNUMBER(R382)),NOT(ISNUMBER(S382))),"Not classified",IF(AND(R382&gt;0,S382&gt;0),"Long buildup (interpretation)",IF(AND(R382&lt;0,S382&gt;0),"Short buildup (interpretation)",IF(AND(R382&gt;0,S382&lt;0),"Short covering (interpretation)",IF(AND(R382&lt;0,S382&lt;0),"Long unwinding (interpretation)","Neutral")))))</f>
        <v>Short buildup (interpretation)</v>
      </c>
      <c r="V382" s="52" t="str">
        <f aca="false">TEXT(B382,"yyyy-mm")</f>
        <v>2025-06</v>
      </c>
      <c r="W382" s="52" t="n">
        <f aca="false">1+COUNTIFS($B$2:$B$756,B382,$C$2:$C$756,"&lt;"&amp;C382)</f>
        <v>3</v>
      </c>
      <c r="X382" s="53" t="n">
        <f aca="false">IF(AND(ISNUMBER(P382),Q382&gt;0),P382*365/Q382,"")</f>
        <v>0.054669874723668</v>
      </c>
      <c r="Y382" s="42" t="n">
        <f aca="false">IF(AND(C383=C382,ISNUMBER(R383)),R383,"")</f>
        <v>0.180305732383768</v>
      </c>
      <c r="Z382" s="52" t="n">
        <f aca="false">IF(AND(W382=1,Q382&gt;Basis_Analysis!$B$3,ISNUMBER(Y382)),1,0)</f>
        <v>0</v>
      </c>
      <c r="AA382" s="43" t="str">
        <f aca="false">IF(W382=1,IF(SUMIFS($L$2:$L$756,$B$2:$B$756,B382,$W$2:$W$756,2)&gt;0,SUMIFS($L$2:$L$756,$B$2:$B$756,B382,$W$2:$W$756,2),""),"")</f>
        <v/>
      </c>
      <c r="AB382" s="54" t="str">
        <f aca="false">IF(AND(W382=1,ISNUMBER(AA382)),L382/(L382+AA382),"")</f>
        <v/>
      </c>
    </row>
    <row r="383" customFormat="false" ht="15" hidden="false" customHeight="true" outlineLevel="0" collapsed="false">
      <c r="A383" s="1" t="s">
        <v>274</v>
      </c>
      <c r="B383" s="46" t="n">
        <v>45819</v>
      </c>
      <c r="C383" s="46" t="n">
        <v>45897</v>
      </c>
      <c r="D383" s="47" t="n">
        <v>25410.1</v>
      </c>
      <c r="E383" s="47" t="n">
        <v>25540</v>
      </c>
      <c r="F383" s="47" t="n">
        <v>25385.6</v>
      </c>
      <c r="G383" s="47" t="n">
        <v>25447.1</v>
      </c>
      <c r="H383" s="47" t="n">
        <v>25438</v>
      </c>
      <c r="I383" s="47" t="n">
        <v>25447.1</v>
      </c>
      <c r="J383" s="48" t="n">
        <v>2455</v>
      </c>
      <c r="K383" s="47" t="n">
        <v>46920.23</v>
      </c>
      <c r="L383" s="48" t="n">
        <v>347325</v>
      </c>
      <c r="M383" s="48" t="n">
        <v>83550</v>
      </c>
      <c r="N383" s="47" t="n">
        <v>25141.4</v>
      </c>
      <c r="O383" s="47" t="n">
        <f aca="false">IF(AND(ISNUMBER(G383),ISNUMBER(N383)),G383-N383,"")</f>
        <v>305.699999999997</v>
      </c>
      <c r="P383" s="49" t="n">
        <f aca="false">IF(ISNUMBER(O383),O383/N383,"")</f>
        <v>0.0121592274097702</v>
      </c>
      <c r="Q383" s="50" t="n">
        <f aca="false">C383-B383</f>
        <v>78</v>
      </c>
      <c r="R383" s="51" t="n">
        <f aca="false">IF(AND(C383=C382,ISNUMBER(G383),ISNUMBER(G382)),(G383/G382-1)*100,"")</f>
        <v>0.180305732383768</v>
      </c>
      <c r="S383" s="51" t="n">
        <f aca="false">IF(AND(C383=C382,ISNUMBER(L383),ISNUMBER(L382)),(L383/L382-1)*100,"")</f>
        <v>31.6747227750924</v>
      </c>
      <c r="T383" s="51" t="n">
        <f aca="false">IF(AND(C383=C382,ISNUMBER(G383),ISNUMBER(G382)),G383-G382,"")</f>
        <v>45.7999999999993</v>
      </c>
      <c r="U383" s="1" t="str">
        <f aca="false">IF(OR(NOT(ISNUMBER(R383)),NOT(ISNUMBER(S383))),"Not classified",IF(AND(R383&gt;0,S383&gt;0),"Long buildup (interpretation)",IF(AND(R383&lt;0,S383&gt;0),"Short buildup (interpretation)",IF(AND(R383&gt;0,S383&lt;0),"Short covering (interpretation)",IF(AND(R383&lt;0,S383&lt;0),"Long unwinding (interpretation)","Neutral")))))</f>
        <v>Long buildup (interpretation)</v>
      </c>
      <c r="V383" s="52" t="str">
        <f aca="false">TEXT(B383,"yyyy-mm")</f>
        <v>2025-06</v>
      </c>
      <c r="W383" s="52" t="n">
        <f aca="false">1+COUNTIFS($B$2:$B$756,B383,$C$2:$C$756,"&lt;"&amp;C383)</f>
        <v>3</v>
      </c>
      <c r="X383" s="53" t="n">
        <f aca="false">IF(AND(ISNUMBER(P383),Q383&gt;0),P383*365/Q383,"")</f>
        <v>0.0568989487764889</v>
      </c>
      <c r="Y383" s="42" t="n">
        <f aca="false">IF(AND(C384=C383,ISNUMBER(R384)),R384,"")</f>
        <v>-1.09049754195959</v>
      </c>
      <c r="Z383" s="52" t="n">
        <f aca="false">IF(AND(W383=1,Q383&gt;Basis_Analysis!$B$3,ISNUMBER(Y383)),1,0)</f>
        <v>0</v>
      </c>
      <c r="AA383" s="43" t="str">
        <f aca="false">IF(W383=1,IF(SUMIFS($L$2:$L$756,$B$2:$B$756,B383,$W$2:$W$756,2)&gt;0,SUMIFS($L$2:$L$756,$B$2:$B$756,B383,$W$2:$W$756,2),""),"")</f>
        <v/>
      </c>
      <c r="AB383" s="54" t="str">
        <f aca="false">IF(AND(W383=1,ISNUMBER(AA383)),L383/(L383+AA383),"")</f>
        <v/>
      </c>
    </row>
    <row r="384" customFormat="false" ht="15" hidden="false" customHeight="true" outlineLevel="0" collapsed="false">
      <c r="A384" s="1" t="s">
        <v>274</v>
      </c>
      <c r="B384" s="46" t="n">
        <v>45820</v>
      </c>
      <c r="C384" s="46" t="n">
        <v>45897</v>
      </c>
      <c r="D384" s="47" t="n">
        <v>25454.9</v>
      </c>
      <c r="E384" s="47" t="n">
        <v>25495</v>
      </c>
      <c r="F384" s="47" t="n">
        <v>25143</v>
      </c>
      <c r="G384" s="47" t="n">
        <v>25169.6</v>
      </c>
      <c r="H384" s="47" t="n">
        <v>25150</v>
      </c>
      <c r="I384" s="47" t="n">
        <v>25169.6</v>
      </c>
      <c r="J384" s="48" t="n">
        <v>3784</v>
      </c>
      <c r="K384" s="47" t="n">
        <v>71755.11</v>
      </c>
      <c r="L384" s="48" t="n">
        <v>450825</v>
      </c>
      <c r="M384" s="48" t="n">
        <v>103500</v>
      </c>
      <c r="N384" s="47" t="n">
        <v>24888.2</v>
      </c>
      <c r="O384" s="47" t="n">
        <f aca="false">IF(AND(ISNUMBER(G384),ISNUMBER(N384)),G384-N384,"")</f>
        <v>281.399999999998</v>
      </c>
      <c r="P384" s="49" t="n">
        <f aca="false">IF(ISNUMBER(O384),O384/N384,"")</f>
        <v>0.0113065629495101</v>
      </c>
      <c r="Q384" s="50" t="n">
        <f aca="false">C384-B384</f>
        <v>77</v>
      </c>
      <c r="R384" s="51" t="n">
        <f aca="false">IF(AND(C384=C383,ISNUMBER(G384),ISNUMBER(G383)),(G384/G383-1)*100,"")</f>
        <v>-1.09049754195959</v>
      </c>
      <c r="S384" s="51" t="n">
        <f aca="false">IF(AND(C384=C383,ISNUMBER(L384),ISNUMBER(L383)),(L384/L383-1)*100,"")</f>
        <v>29.7991794428849</v>
      </c>
      <c r="T384" s="51" t="n">
        <f aca="false">IF(AND(C384=C383,ISNUMBER(G384),ISNUMBER(G383)),G384-G383,"")</f>
        <v>-277.5</v>
      </c>
      <c r="U384" s="1" t="str">
        <f aca="false">IF(OR(NOT(ISNUMBER(R384)),NOT(ISNUMBER(S384))),"Not classified",IF(AND(R384&gt;0,S384&gt;0),"Long buildup (interpretation)",IF(AND(R384&lt;0,S384&gt;0),"Short buildup (interpretation)",IF(AND(R384&gt;0,S384&lt;0),"Short covering (interpretation)",IF(AND(R384&lt;0,S384&lt;0),"Long unwinding (interpretation)","Neutral")))))</f>
        <v>Short buildup (interpretation)</v>
      </c>
      <c r="V384" s="52" t="str">
        <f aca="false">TEXT(B384,"yyyy-mm")</f>
        <v>2025-06</v>
      </c>
      <c r="W384" s="52" t="n">
        <f aca="false">1+COUNTIFS($B$2:$B$756,B384,$C$2:$C$756,"&lt;"&amp;C384)</f>
        <v>3</v>
      </c>
      <c r="X384" s="53" t="n">
        <f aca="false">IF(AND(ISNUMBER(P384),Q384&gt;0),P384*365/Q384,"")</f>
        <v>0.0535960451502753</v>
      </c>
      <c r="Y384" s="42" t="n">
        <f aca="false">IF(AND(C385=C384,ISNUMBER(R385)),R385,"")</f>
        <v>-0.793020151293622</v>
      </c>
      <c r="Z384" s="52" t="n">
        <f aca="false">IF(AND(W384=1,Q384&gt;Basis_Analysis!$B$3,ISNUMBER(Y384)),1,0)</f>
        <v>0</v>
      </c>
      <c r="AA384" s="43" t="str">
        <f aca="false">IF(W384=1,IF(SUMIFS($L$2:$L$756,$B$2:$B$756,B384,$W$2:$W$756,2)&gt;0,SUMIFS($L$2:$L$756,$B$2:$B$756,B384,$W$2:$W$756,2),""),"")</f>
        <v/>
      </c>
      <c r="AB384" s="54" t="str">
        <f aca="false">IF(AND(W384=1,ISNUMBER(AA384)),L384/(L384+AA384),"")</f>
        <v/>
      </c>
    </row>
    <row r="385" customFormat="false" ht="15" hidden="false" customHeight="true" outlineLevel="0" collapsed="false">
      <c r="A385" s="1" t="s">
        <v>274</v>
      </c>
      <c r="B385" s="46" t="n">
        <v>45821</v>
      </c>
      <c r="C385" s="46" t="n">
        <v>45897</v>
      </c>
      <c r="D385" s="47" t="n">
        <v>25000</v>
      </c>
      <c r="E385" s="47" t="n">
        <v>25024</v>
      </c>
      <c r="F385" s="47" t="n">
        <v>24830.7</v>
      </c>
      <c r="G385" s="47" t="n">
        <v>24970</v>
      </c>
      <c r="H385" s="47" t="n">
        <v>24993.9</v>
      </c>
      <c r="I385" s="47" t="n">
        <v>24970</v>
      </c>
      <c r="J385" s="48" t="n">
        <v>2443</v>
      </c>
      <c r="K385" s="47" t="n">
        <v>45686.85</v>
      </c>
      <c r="L385" s="48" t="n">
        <v>480825</v>
      </c>
      <c r="M385" s="48" t="n">
        <v>30000</v>
      </c>
      <c r="N385" s="47" t="n">
        <v>24718.6</v>
      </c>
      <c r="O385" s="47" t="n">
        <f aca="false">IF(AND(ISNUMBER(G385),ISNUMBER(N385)),G385-N385,"")</f>
        <v>251.400000000001</v>
      </c>
      <c r="P385" s="49" t="n">
        <f aca="false">IF(ISNUMBER(O385),O385/N385,"")</f>
        <v>0.010170478910618</v>
      </c>
      <c r="Q385" s="50" t="n">
        <f aca="false">C385-B385</f>
        <v>76</v>
      </c>
      <c r="R385" s="51" t="n">
        <f aca="false">IF(AND(C385=C384,ISNUMBER(G385),ISNUMBER(G384)),(G385/G384-1)*100,"")</f>
        <v>-0.793020151293622</v>
      </c>
      <c r="S385" s="51" t="n">
        <f aca="false">IF(AND(C385=C384,ISNUMBER(L385),ISNUMBER(L384)),(L385/L384-1)*100,"")</f>
        <v>6.65446681084678</v>
      </c>
      <c r="T385" s="51" t="n">
        <f aca="false">IF(AND(C385=C384,ISNUMBER(G385),ISNUMBER(G384)),G385-G384,"")</f>
        <v>-199.599999999999</v>
      </c>
      <c r="U385" s="1" t="str">
        <f aca="false">IF(OR(NOT(ISNUMBER(R385)),NOT(ISNUMBER(S385))),"Not classified",IF(AND(R385&gt;0,S385&gt;0),"Long buildup (interpretation)",IF(AND(R385&lt;0,S385&gt;0),"Short buildup (interpretation)",IF(AND(R385&gt;0,S385&lt;0),"Short covering (interpretation)",IF(AND(R385&lt;0,S385&lt;0),"Long unwinding (interpretation)","Neutral")))))</f>
        <v>Short buildup (interpretation)</v>
      </c>
      <c r="V385" s="52" t="str">
        <f aca="false">TEXT(B385,"yyyy-mm")</f>
        <v>2025-06</v>
      </c>
      <c r="W385" s="52" t="n">
        <f aca="false">1+COUNTIFS($B$2:$B$756,B385,$C$2:$C$756,"&lt;"&amp;C385)</f>
        <v>3</v>
      </c>
      <c r="X385" s="53" t="n">
        <f aca="false">IF(AND(ISNUMBER(P385),Q385&gt;0),P385*365/Q385,"")</f>
        <v>0.0488450631891521</v>
      </c>
      <c r="Y385" s="42" t="n">
        <f aca="false">IF(AND(C386=C385,ISNUMBER(R386)),R386,"")</f>
        <v>1.00360432519022</v>
      </c>
      <c r="Z385" s="52" t="n">
        <f aca="false">IF(AND(W385=1,Q385&gt;Basis_Analysis!$B$3,ISNUMBER(Y385)),1,0)</f>
        <v>0</v>
      </c>
      <c r="AA385" s="43" t="str">
        <f aca="false">IF(W385=1,IF(SUMIFS($L$2:$L$756,$B$2:$B$756,B385,$W$2:$W$756,2)&gt;0,SUMIFS($L$2:$L$756,$B$2:$B$756,B385,$W$2:$W$756,2),""),"")</f>
        <v/>
      </c>
      <c r="AB385" s="54" t="str">
        <f aca="false">IF(AND(W385=1,ISNUMBER(AA385)),L385/(L385+AA385),"")</f>
        <v/>
      </c>
    </row>
    <row r="386" customFormat="false" ht="15" hidden="false" customHeight="true" outlineLevel="0" collapsed="false">
      <c r="A386" s="1" t="s">
        <v>274</v>
      </c>
      <c r="B386" s="46" t="n">
        <v>45824</v>
      </c>
      <c r="C386" s="46" t="n">
        <v>45897</v>
      </c>
      <c r="D386" s="47" t="n">
        <v>24970</v>
      </c>
      <c r="E386" s="47" t="n">
        <v>25239</v>
      </c>
      <c r="F386" s="47" t="n">
        <v>24970</v>
      </c>
      <c r="G386" s="47" t="n">
        <v>25220.6</v>
      </c>
      <c r="H386" s="47" t="n">
        <v>25226</v>
      </c>
      <c r="I386" s="47" t="n">
        <v>25220.6</v>
      </c>
      <c r="J386" s="48" t="n">
        <v>2799</v>
      </c>
      <c r="K386" s="47" t="n">
        <v>52803.39</v>
      </c>
      <c r="L386" s="48" t="n">
        <v>572250</v>
      </c>
      <c r="M386" s="48" t="n">
        <v>91425</v>
      </c>
      <c r="N386" s="47" t="n">
        <v>24946.5</v>
      </c>
      <c r="O386" s="47" t="n">
        <f aca="false">IF(AND(ISNUMBER(G386),ISNUMBER(N386)),G386-N386,"")</f>
        <v>274.099999999999</v>
      </c>
      <c r="P386" s="49" t="n">
        <f aca="false">IF(ISNUMBER(O386),O386/N386,"")</f>
        <v>0.0109875132784158</v>
      </c>
      <c r="Q386" s="50" t="n">
        <f aca="false">C386-B386</f>
        <v>73</v>
      </c>
      <c r="R386" s="51" t="n">
        <f aca="false">IF(AND(C386=C385,ISNUMBER(G386),ISNUMBER(G385)),(G386/G385-1)*100,"")</f>
        <v>1.00360432519022</v>
      </c>
      <c r="S386" s="51" t="n">
        <f aca="false">IF(AND(C386=C385,ISNUMBER(L386),ISNUMBER(L385)),(L386/L385-1)*100,"")</f>
        <v>19.014194353455</v>
      </c>
      <c r="T386" s="51" t="n">
        <f aca="false">IF(AND(C386=C385,ISNUMBER(G386),ISNUMBER(G385)),G386-G385,"")</f>
        <v>250.599999999999</v>
      </c>
      <c r="U386" s="1" t="str">
        <f aca="false">IF(OR(NOT(ISNUMBER(R386)),NOT(ISNUMBER(S386))),"Not classified",IF(AND(R386&gt;0,S386&gt;0),"Long buildup (interpretation)",IF(AND(R386&lt;0,S386&gt;0),"Short buildup (interpretation)",IF(AND(R386&gt;0,S386&lt;0),"Short covering (interpretation)",IF(AND(R386&lt;0,S386&lt;0),"Long unwinding (interpretation)","Neutral")))))</f>
        <v>Long buildup (interpretation)</v>
      </c>
      <c r="V386" s="52" t="str">
        <f aca="false">TEXT(B386,"yyyy-mm")</f>
        <v>2025-06</v>
      </c>
      <c r="W386" s="52" t="n">
        <f aca="false">1+COUNTIFS($B$2:$B$756,B386,$C$2:$C$756,"&lt;"&amp;C386)</f>
        <v>3</v>
      </c>
      <c r="X386" s="53" t="n">
        <f aca="false">IF(AND(ISNUMBER(P386),Q386&gt;0),P386*365/Q386,"")</f>
        <v>0.0549375663920788</v>
      </c>
      <c r="Y386" s="42" t="n">
        <f aca="false">IF(AND(C387=C386,ISNUMBER(R387)),R387,"")</f>
        <v>-0.506332125326114</v>
      </c>
      <c r="Z386" s="52" t="n">
        <f aca="false">IF(AND(W386=1,Q386&gt;Basis_Analysis!$B$3,ISNUMBER(Y386)),1,0)</f>
        <v>0</v>
      </c>
      <c r="AA386" s="43" t="str">
        <f aca="false">IF(W386=1,IF(SUMIFS($L$2:$L$756,$B$2:$B$756,B386,$W$2:$W$756,2)&gt;0,SUMIFS($L$2:$L$756,$B$2:$B$756,B386,$W$2:$W$756,2),""),"")</f>
        <v/>
      </c>
      <c r="AB386" s="54" t="str">
        <f aca="false">IF(AND(W386=1,ISNUMBER(AA386)),L386/(L386+AA386),"")</f>
        <v/>
      </c>
    </row>
    <row r="387" customFormat="false" ht="15" hidden="false" customHeight="true" outlineLevel="0" collapsed="false">
      <c r="A387" s="1" t="s">
        <v>274</v>
      </c>
      <c r="B387" s="46" t="n">
        <v>45825</v>
      </c>
      <c r="C387" s="46" t="n">
        <v>45897</v>
      </c>
      <c r="D387" s="47" t="n">
        <v>25200.1</v>
      </c>
      <c r="E387" s="47" t="n">
        <v>25219.8</v>
      </c>
      <c r="F387" s="47" t="n">
        <v>25072.3</v>
      </c>
      <c r="G387" s="47" t="n">
        <v>25092.9</v>
      </c>
      <c r="H387" s="47" t="n">
        <v>25082.2</v>
      </c>
      <c r="I387" s="47" t="n">
        <v>25092.9</v>
      </c>
      <c r="J387" s="48" t="n">
        <v>1727</v>
      </c>
      <c r="K387" s="47" t="n">
        <v>32537.71</v>
      </c>
      <c r="L387" s="48" t="n">
        <v>584925</v>
      </c>
      <c r="M387" s="48" t="n">
        <v>12675</v>
      </c>
      <c r="N387" s="47" t="n">
        <v>24853.4</v>
      </c>
      <c r="O387" s="47" t="n">
        <f aca="false">IF(AND(ISNUMBER(G387),ISNUMBER(N387)),G387-N387,"")</f>
        <v>239.5</v>
      </c>
      <c r="P387" s="49" t="n">
        <f aca="false">IF(ISNUMBER(O387),O387/N387,"")</f>
        <v>0.0096365084857605</v>
      </c>
      <c r="Q387" s="50" t="n">
        <f aca="false">C387-B387</f>
        <v>72</v>
      </c>
      <c r="R387" s="51" t="n">
        <f aca="false">IF(AND(C387=C386,ISNUMBER(G387),ISNUMBER(G386)),(G387/G386-1)*100,"")</f>
        <v>-0.506332125326114</v>
      </c>
      <c r="S387" s="51" t="n">
        <f aca="false">IF(AND(C387=C386,ISNUMBER(L387),ISNUMBER(L386)),(L387/L386-1)*100,"")</f>
        <v>2.21494102228048</v>
      </c>
      <c r="T387" s="51" t="n">
        <f aca="false">IF(AND(C387=C386,ISNUMBER(G387),ISNUMBER(G386)),G387-G386,"")</f>
        <v>-127.699999999997</v>
      </c>
      <c r="U387" s="1" t="str">
        <f aca="false">IF(OR(NOT(ISNUMBER(R387)),NOT(ISNUMBER(S387))),"Not classified",IF(AND(R387&gt;0,S387&gt;0),"Long buildup (interpretation)",IF(AND(R387&lt;0,S387&gt;0),"Short buildup (interpretation)",IF(AND(R387&gt;0,S387&lt;0),"Short covering (interpretation)",IF(AND(R387&lt;0,S387&lt;0),"Long unwinding (interpretation)","Neutral")))))</f>
        <v>Short buildup (interpretation)</v>
      </c>
      <c r="V387" s="52" t="str">
        <f aca="false">TEXT(B387,"yyyy-mm")</f>
        <v>2025-06</v>
      </c>
      <c r="W387" s="52" t="n">
        <f aca="false">1+COUNTIFS($B$2:$B$756,B387,$C$2:$C$756,"&lt;"&amp;C387)</f>
        <v>3</v>
      </c>
      <c r="X387" s="53" t="n">
        <f aca="false">IF(AND(ISNUMBER(P387),Q387&gt;0),P387*365/Q387,"")</f>
        <v>0.0488517444069803</v>
      </c>
      <c r="Y387" s="42" t="n">
        <f aca="false">IF(AND(C388=C387,ISNUMBER(R388)),R388,"")</f>
        <v>-0.169370618780607</v>
      </c>
      <c r="Z387" s="52" t="n">
        <f aca="false">IF(AND(W387=1,Q387&gt;Basis_Analysis!$B$3,ISNUMBER(Y387)),1,0)</f>
        <v>0</v>
      </c>
      <c r="AA387" s="43" t="str">
        <f aca="false">IF(W387=1,IF(SUMIFS($L$2:$L$756,$B$2:$B$756,B387,$W$2:$W$756,2)&gt;0,SUMIFS($L$2:$L$756,$B$2:$B$756,B387,$W$2:$W$756,2),""),"")</f>
        <v/>
      </c>
      <c r="AB387" s="54" t="str">
        <f aca="false">IF(AND(W387=1,ISNUMBER(AA387)),L387/(L387+AA387),"")</f>
        <v/>
      </c>
    </row>
    <row r="388" customFormat="false" ht="15" hidden="false" customHeight="true" outlineLevel="0" collapsed="false">
      <c r="A388" s="1" t="s">
        <v>274</v>
      </c>
      <c r="B388" s="46" t="n">
        <v>45826</v>
      </c>
      <c r="C388" s="46" t="n">
        <v>45897</v>
      </c>
      <c r="D388" s="47" t="n">
        <v>25053.4</v>
      </c>
      <c r="E388" s="47" t="n">
        <v>25192</v>
      </c>
      <c r="F388" s="47" t="n">
        <v>25014.2</v>
      </c>
      <c r="G388" s="47" t="n">
        <v>25050.4</v>
      </c>
      <c r="H388" s="47" t="n">
        <v>25043</v>
      </c>
      <c r="I388" s="47" t="n">
        <v>25050.4</v>
      </c>
      <c r="J388" s="48" t="n">
        <v>2489</v>
      </c>
      <c r="K388" s="47" t="n">
        <v>46812.35</v>
      </c>
      <c r="L388" s="48" t="n">
        <v>646725</v>
      </c>
      <c r="M388" s="48" t="n">
        <v>61800</v>
      </c>
      <c r="N388" s="47" t="n">
        <v>24812.05</v>
      </c>
      <c r="O388" s="47" t="n">
        <f aca="false">IF(AND(ISNUMBER(G388),ISNUMBER(N388)),G388-N388,"")</f>
        <v>238.350000000002</v>
      </c>
      <c r="P388" s="49" t="n">
        <f aca="false">IF(ISNUMBER(O388),O388/N388,"")</f>
        <v>0.00960621955864196</v>
      </c>
      <c r="Q388" s="50" t="n">
        <f aca="false">C388-B388</f>
        <v>71</v>
      </c>
      <c r="R388" s="51" t="n">
        <f aca="false">IF(AND(C388=C387,ISNUMBER(G388),ISNUMBER(G387)),(G388/G387-1)*100,"")</f>
        <v>-0.169370618780607</v>
      </c>
      <c r="S388" s="51" t="n">
        <f aca="false">IF(AND(C388=C387,ISNUMBER(L388),ISNUMBER(L387)),(L388/L387-1)*100,"")</f>
        <v>10.5654571098859</v>
      </c>
      <c r="T388" s="51" t="n">
        <f aca="false">IF(AND(C388=C387,ISNUMBER(G388),ISNUMBER(G387)),G388-G387,"")</f>
        <v>-42.5</v>
      </c>
      <c r="U388" s="1" t="str">
        <f aca="false">IF(OR(NOT(ISNUMBER(R388)),NOT(ISNUMBER(S388))),"Not classified",IF(AND(R388&gt;0,S388&gt;0),"Long buildup (interpretation)",IF(AND(R388&lt;0,S388&gt;0),"Short buildup (interpretation)",IF(AND(R388&gt;0,S388&lt;0),"Short covering (interpretation)",IF(AND(R388&lt;0,S388&lt;0),"Long unwinding (interpretation)","Neutral")))))</f>
        <v>Short buildup (interpretation)</v>
      </c>
      <c r="V388" s="52" t="str">
        <f aca="false">TEXT(B388,"yyyy-mm")</f>
        <v>2025-06</v>
      </c>
      <c r="W388" s="52" t="n">
        <f aca="false">1+COUNTIFS($B$2:$B$756,B388,$C$2:$C$756,"&lt;"&amp;C388)</f>
        <v>3</v>
      </c>
      <c r="X388" s="53" t="n">
        <f aca="false">IF(AND(ISNUMBER(P388),Q388&gt;0),P388*365/Q388,"")</f>
        <v>0.0493840864634411</v>
      </c>
      <c r="Y388" s="42" t="n">
        <f aca="false">IF(AND(C389=C388,ISNUMBER(R389)),R389,"")</f>
        <v>-0.129738447290262</v>
      </c>
      <c r="Z388" s="52" t="n">
        <f aca="false">IF(AND(W388=1,Q388&gt;Basis_Analysis!$B$3,ISNUMBER(Y388)),1,0)</f>
        <v>0</v>
      </c>
      <c r="AA388" s="43" t="str">
        <f aca="false">IF(W388=1,IF(SUMIFS($L$2:$L$756,$B$2:$B$756,B388,$W$2:$W$756,2)&gt;0,SUMIFS($L$2:$L$756,$B$2:$B$756,B388,$W$2:$W$756,2),""),"")</f>
        <v/>
      </c>
      <c r="AB388" s="54" t="str">
        <f aca="false">IF(AND(W388=1,ISNUMBER(AA388)),L388/(L388+AA388),"")</f>
        <v/>
      </c>
    </row>
    <row r="389" customFormat="false" ht="15" hidden="false" customHeight="true" outlineLevel="0" collapsed="false">
      <c r="A389" s="1" t="s">
        <v>274</v>
      </c>
      <c r="B389" s="46" t="n">
        <v>45827</v>
      </c>
      <c r="C389" s="46" t="n">
        <v>45897</v>
      </c>
      <c r="D389" s="47" t="n">
        <v>25038.1</v>
      </c>
      <c r="E389" s="47" t="n">
        <v>25104</v>
      </c>
      <c r="F389" s="47" t="n">
        <v>24984</v>
      </c>
      <c r="G389" s="47" t="n">
        <v>25017.9</v>
      </c>
      <c r="H389" s="47" t="n">
        <v>25006.7</v>
      </c>
      <c r="I389" s="47" t="n">
        <v>25017.9</v>
      </c>
      <c r="J389" s="48" t="n">
        <v>1263</v>
      </c>
      <c r="K389" s="47" t="n">
        <v>23723.61</v>
      </c>
      <c r="L389" s="48" t="n">
        <v>657300</v>
      </c>
      <c r="M389" s="48" t="n">
        <v>10575</v>
      </c>
      <c r="N389" s="47" t="n">
        <v>24793.25</v>
      </c>
      <c r="O389" s="47" t="n">
        <f aca="false">IF(AND(ISNUMBER(G389),ISNUMBER(N389)),G389-N389,"")</f>
        <v>224.650000000001</v>
      </c>
      <c r="P389" s="49" t="n">
        <f aca="false">IF(ISNUMBER(O389),O389/N389,"")</f>
        <v>0.0090609339235478</v>
      </c>
      <c r="Q389" s="50" t="n">
        <f aca="false">C389-B389</f>
        <v>70</v>
      </c>
      <c r="R389" s="51" t="n">
        <f aca="false">IF(AND(C389=C388,ISNUMBER(G389),ISNUMBER(G388)),(G389/G388-1)*100,"")</f>
        <v>-0.129738447290262</v>
      </c>
      <c r="S389" s="51" t="n">
        <f aca="false">IF(AND(C389=C388,ISNUMBER(L389),ISNUMBER(L388)),(L389/L388-1)*100,"")</f>
        <v>1.63516177664387</v>
      </c>
      <c r="T389" s="51" t="n">
        <f aca="false">IF(AND(C389=C388,ISNUMBER(G389),ISNUMBER(G388)),G389-G388,"")</f>
        <v>-32.5</v>
      </c>
      <c r="U389" s="1" t="str">
        <f aca="false">IF(OR(NOT(ISNUMBER(R389)),NOT(ISNUMBER(S389))),"Not classified",IF(AND(R389&gt;0,S389&gt;0),"Long buildup (interpretation)",IF(AND(R389&lt;0,S389&gt;0),"Short buildup (interpretation)",IF(AND(R389&gt;0,S389&lt;0),"Short covering (interpretation)",IF(AND(R389&lt;0,S389&lt;0),"Long unwinding (interpretation)","Neutral")))))</f>
        <v>Short buildup (interpretation)</v>
      </c>
      <c r="V389" s="52" t="str">
        <f aca="false">TEXT(B389,"yyyy-mm")</f>
        <v>2025-06</v>
      </c>
      <c r="W389" s="52" t="n">
        <f aca="false">1+COUNTIFS($B$2:$B$756,B389,$C$2:$C$756,"&lt;"&amp;C389)</f>
        <v>3</v>
      </c>
      <c r="X389" s="53" t="n">
        <f aca="false">IF(AND(ISNUMBER(P389),Q389&gt;0),P389*365/Q389,"")</f>
        <v>0.0472462983156421</v>
      </c>
      <c r="Y389" s="42" t="n">
        <f aca="false">IF(AND(C390=C389,ISNUMBER(R390)),R390,"")</f>
        <v>1.13158978171628</v>
      </c>
      <c r="Z389" s="52" t="n">
        <f aca="false">IF(AND(W389=1,Q389&gt;Basis_Analysis!$B$3,ISNUMBER(Y389)),1,0)</f>
        <v>0</v>
      </c>
      <c r="AA389" s="43" t="str">
        <f aca="false">IF(W389=1,IF(SUMIFS($L$2:$L$756,$B$2:$B$756,B389,$W$2:$W$756,2)&gt;0,SUMIFS($L$2:$L$756,$B$2:$B$756,B389,$W$2:$W$756,2),""),"")</f>
        <v/>
      </c>
      <c r="AB389" s="54" t="str">
        <f aca="false">IF(AND(W389=1,ISNUMBER(AA389)),L389/(L389+AA389),"")</f>
        <v/>
      </c>
    </row>
    <row r="390" customFormat="false" ht="15" hidden="false" customHeight="true" outlineLevel="0" collapsed="false">
      <c r="A390" s="1" t="s">
        <v>274</v>
      </c>
      <c r="B390" s="46" t="n">
        <v>45828</v>
      </c>
      <c r="C390" s="46" t="n">
        <v>45897</v>
      </c>
      <c r="D390" s="47" t="n">
        <v>25028.2</v>
      </c>
      <c r="E390" s="47" t="n">
        <v>25324.1</v>
      </c>
      <c r="F390" s="47" t="n">
        <v>25028.2</v>
      </c>
      <c r="G390" s="47" t="n">
        <v>25301</v>
      </c>
      <c r="H390" s="47" t="n">
        <v>25290</v>
      </c>
      <c r="I390" s="47" t="n">
        <v>25301</v>
      </c>
      <c r="J390" s="48" t="n">
        <v>5280</v>
      </c>
      <c r="K390" s="47" t="n">
        <v>99963.85</v>
      </c>
      <c r="L390" s="48" t="n">
        <v>826350</v>
      </c>
      <c r="M390" s="48" t="n">
        <v>169050</v>
      </c>
      <c r="N390" s="47" t="n">
        <v>25112.4</v>
      </c>
      <c r="O390" s="47" t="n">
        <f aca="false">IF(AND(ISNUMBER(G390),ISNUMBER(N390)),G390-N390,"")</f>
        <v>188.599999999999</v>
      </c>
      <c r="P390" s="49" t="n">
        <f aca="false">IF(ISNUMBER(O390),O390/N390,"")</f>
        <v>0.00751023398798994</v>
      </c>
      <c r="Q390" s="50" t="n">
        <f aca="false">C390-B390</f>
        <v>69</v>
      </c>
      <c r="R390" s="51" t="n">
        <f aca="false">IF(AND(C390=C389,ISNUMBER(G390),ISNUMBER(G389)),(G390/G389-1)*100,"")</f>
        <v>1.13158978171628</v>
      </c>
      <c r="S390" s="51" t="n">
        <f aca="false">IF(AND(C390=C389,ISNUMBER(L390),ISNUMBER(L389)),(L390/L389-1)*100,"")</f>
        <v>25.7188498402556</v>
      </c>
      <c r="T390" s="51" t="n">
        <f aca="false">IF(AND(C390=C389,ISNUMBER(G390),ISNUMBER(G389)),G390-G389,"")</f>
        <v>283.099999999999</v>
      </c>
      <c r="U390" s="1" t="str">
        <f aca="false">IF(OR(NOT(ISNUMBER(R390)),NOT(ISNUMBER(S390))),"Not classified",IF(AND(R390&gt;0,S390&gt;0),"Long buildup (interpretation)",IF(AND(R390&lt;0,S390&gt;0),"Short buildup (interpretation)",IF(AND(R390&gt;0,S390&lt;0),"Short covering (interpretation)",IF(AND(R390&lt;0,S390&lt;0),"Long unwinding (interpretation)","Neutral")))))</f>
        <v>Long buildup (interpretation)</v>
      </c>
      <c r="V390" s="52" t="str">
        <f aca="false">TEXT(B390,"yyyy-mm")</f>
        <v>2025-06</v>
      </c>
      <c r="W390" s="52" t="n">
        <f aca="false">1+COUNTIFS($B$2:$B$756,B390,$C$2:$C$756,"&lt;"&amp;C390)</f>
        <v>3</v>
      </c>
      <c r="X390" s="53" t="n">
        <f aca="false">IF(AND(ISNUMBER(P390),Q390&gt;0),P390*365/Q390,"")</f>
        <v>0.0397280493567584</v>
      </c>
      <c r="Y390" s="42" t="n">
        <f aca="false">IF(AND(C391=C390,ISNUMBER(R391)),R391,"")</f>
        <v>-0.370341093237425</v>
      </c>
      <c r="Z390" s="52" t="n">
        <f aca="false">IF(AND(W390=1,Q390&gt;Basis_Analysis!$B$3,ISNUMBER(Y390)),1,0)</f>
        <v>0</v>
      </c>
      <c r="AA390" s="43" t="str">
        <f aca="false">IF(W390=1,IF(SUMIFS($L$2:$L$756,$B$2:$B$756,B390,$W$2:$W$756,2)&gt;0,SUMIFS($L$2:$L$756,$B$2:$B$756,B390,$W$2:$W$756,2),""),"")</f>
        <v/>
      </c>
      <c r="AB390" s="54" t="str">
        <f aca="false">IF(AND(W390=1,ISNUMBER(AA390)),L390/(L390+AA390),"")</f>
        <v/>
      </c>
    </row>
    <row r="391" customFormat="false" ht="15" hidden="false" customHeight="true" outlineLevel="0" collapsed="false">
      <c r="A391" s="1" t="s">
        <v>274</v>
      </c>
      <c r="B391" s="46" t="n">
        <v>45831</v>
      </c>
      <c r="C391" s="46" t="n">
        <v>45897</v>
      </c>
      <c r="D391" s="47" t="n">
        <v>25190</v>
      </c>
      <c r="E391" s="47" t="n">
        <v>25293.9</v>
      </c>
      <c r="F391" s="47" t="n">
        <v>25040</v>
      </c>
      <c r="G391" s="47" t="n">
        <v>25207.3</v>
      </c>
      <c r="H391" s="47" t="n">
        <v>25198.9</v>
      </c>
      <c r="I391" s="47" t="n">
        <v>25207.3</v>
      </c>
      <c r="J391" s="48" t="n">
        <v>5531</v>
      </c>
      <c r="K391" s="47" t="n">
        <v>104403.1</v>
      </c>
      <c r="L391" s="48" t="n">
        <v>912900</v>
      </c>
      <c r="M391" s="48" t="n">
        <v>86550</v>
      </c>
      <c r="N391" s="47" t="n">
        <v>24971.9</v>
      </c>
      <c r="O391" s="47" t="n">
        <f aca="false">IF(AND(ISNUMBER(G391),ISNUMBER(N391)),G391-N391,"")</f>
        <v>235.399999999998</v>
      </c>
      <c r="P391" s="49" t="n">
        <f aca="false">IF(ISNUMBER(O391),O391/N391,"")</f>
        <v>0.00942659549333442</v>
      </c>
      <c r="Q391" s="50" t="n">
        <f aca="false">C391-B391</f>
        <v>66</v>
      </c>
      <c r="R391" s="51" t="n">
        <f aca="false">IF(AND(C391=C390,ISNUMBER(G391),ISNUMBER(G390)),(G391/G390-1)*100,"")</f>
        <v>-0.370341093237425</v>
      </c>
      <c r="S391" s="51" t="n">
        <f aca="false">IF(AND(C391=C390,ISNUMBER(L391),ISNUMBER(L390)),(L391/L390-1)*100,"")</f>
        <v>10.4737701942276</v>
      </c>
      <c r="T391" s="51" t="n">
        <f aca="false">IF(AND(C391=C390,ISNUMBER(G391),ISNUMBER(G390)),G391-G390,"")</f>
        <v>-93.7000000000007</v>
      </c>
      <c r="U391" s="1" t="str">
        <f aca="false">IF(OR(NOT(ISNUMBER(R391)),NOT(ISNUMBER(S391))),"Not classified",IF(AND(R391&gt;0,S391&gt;0),"Long buildup (interpretation)",IF(AND(R391&lt;0,S391&gt;0),"Short buildup (interpretation)",IF(AND(R391&gt;0,S391&lt;0),"Short covering (interpretation)",IF(AND(R391&lt;0,S391&lt;0),"Long unwinding (interpretation)","Neutral")))))</f>
        <v>Short buildup (interpretation)</v>
      </c>
      <c r="V391" s="52" t="str">
        <f aca="false">TEXT(B391,"yyyy-mm")</f>
        <v>2025-06</v>
      </c>
      <c r="W391" s="52" t="n">
        <f aca="false">1+COUNTIFS($B$2:$B$756,B391,$C$2:$C$756,"&lt;"&amp;C391)</f>
        <v>3</v>
      </c>
      <c r="X391" s="53" t="n">
        <f aca="false">IF(AND(ISNUMBER(P391),Q391&gt;0),P391*365/Q391,"")</f>
        <v>0.0521319296222282</v>
      </c>
      <c r="Y391" s="42" t="n">
        <f aca="false">IF(AND(C392=C391,ISNUMBER(R392)),R392,"")</f>
        <v>0.376478242413914</v>
      </c>
      <c r="Z391" s="52" t="n">
        <f aca="false">IF(AND(W391=1,Q391&gt;Basis_Analysis!$B$3,ISNUMBER(Y391)),1,0)</f>
        <v>0</v>
      </c>
      <c r="AA391" s="43" t="str">
        <f aca="false">IF(W391=1,IF(SUMIFS($L$2:$L$756,$B$2:$B$756,B391,$W$2:$W$756,2)&gt;0,SUMIFS($L$2:$L$756,$B$2:$B$756,B391,$W$2:$W$756,2),""),"")</f>
        <v/>
      </c>
      <c r="AB391" s="54" t="str">
        <f aca="false">IF(AND(W391=1,ISNUMBER(AA391)),L391/(L391+AA391),"")</f>
        <v/>
      </c>
    </row>
    <row r="392" customFormat="false" ht="15" hidden="false" customHeight="true" outlineLevel="0" collapsed="false">
      <c r="A392" s="1" t="s">
        <v>274</v>
      </c>
      <c r="B392" s="46" t="n">
        <v>45832</v>
      </c>
      <c r="C392" s="46" t="n">
        <v>45897</v>
      </c>
      <c r="D392" s="47" t="n">
        <v>25400</v>
      </c>
      <c r="E392" s="47" t="n">
        <v>25558.9</v>
      </c>
      <c r="F392" s="47" t="n">
        <v>25270</v>
      </c>
      <c r="G392" s="47" t="n">
        <v>25302.2</v>
      </c>
      <c r="H392" s="47" t="n">
        <v>25308.8</v>
      </c>
      <c r="I392" s="47" t="n">
        <v>25302.2</v>
      </c>
      <c r="J392" s="48" t="n">
        <v>8880</v>
      </c>
      <c r="K392" s="47" t="n">
        <v>169304.64</v>
      </c>
      <c r="L392" s="48" t="n">
        <v>1093200</v>
      </c>
      <c r="M392" s="48" t="n">
        <v>180300</v>
      </c>
      <c r="N392" s="47" t="n">
        <v>25044.35</v>
      </c>
      <c r="O392" s="47" t="n">
        <f aca="false">IF(AND(ISNUMBER(G392),ISNUMBER(N392)),G392-N392,"")</f>
        <v>257.850000000002</v>
      </c>
      <c r="P392" s="49" t="n">
        <f aca="false">IF(ISNUMBER(O392),O392/N392,"")</f>
        <v>0.0102957353654618</v>
      </c>
      <c r="Q392" s="50" t="n">
        <f aca="false">C392-B392</f>
        <v>65</v>
      </c>
      <c r="R392" s="51" t="n">
        <f aca="false">IF(AND(C392=C391,ISNUMBER(G392),ISNUMBER(G391)),(G392/G391-1)*100,"")</f>
        <v>0.376478242413914</v>
      </c>
      <c r="S392" s="51" t="n">
        <f aca="false">IF(AND(C392=C391,ISNUMBER(L392),ISNUMBER(L391)),(L392/L391-1)*100,"")</f>
        <v>19.750246467302</v>
      </c>
      <c r="T392" s="51" t="n">
        <f aca="false">IF(AND(C392=C391,ISNUMBER(G392),ISNUMBER(G391)),G392-G391,"")</f>
        <v>94.9000000000015</v>
      </c>
      <c r="U392" s="1" t="str">
        <f aca="false">IF(OR(NOT(ISNUMBER(R392)),NOT(ISNUMBER(S392))),"Not classified",IF(AND(R392&gt;0,S392&gt;0),"Long buildup (interpretation)",IF(AND(R392&lt;0,S392&gt;0),"Short buildup (interpretation)",IF(AND(R392&gt;0,S392&lt;0),"Short covering (interpretation)",IF(AND(R392&lt;0,S392&lt;0),"Long unwinding (interpretation)","Neutral")))))</f>
        <v>Long buildup (interpretation)</v>
      </c>
      <c r="V392" s="52" t="str">
        <f aca="false">TEXT(B392,"yyyy-mm")</f>
        <v>2025-06</v>
      </c>
      <c r="W392" s="52" t="n">
        <f aca="false">1+COUNTIFS($B$2:$B$756,B392,$C$2:$C$756,"&lt;"&amp;C392)</f>
        <v>3</v>
      </c>
      <c r="X392" s="53" t="n">
        <f aca="false">IF(AND(ISNUMBER(P392),Q392&gt;0),P392*365/Q392,"")</f>
        <v>0.0578145139752853</v>
      </c>
      <c r="Y392" s="42" t="n">
        <f aca="false">IF(AND(C393=C392,ISNUMBER(R393)),R393,"")</f>
        <v>0.635913082656825</v>
      </c>
      <c r="Z392" s="52" t="n">
        <f aca="false">IF(AND(W392=1,Q392&gt;Basis_Analysis!$B$3,ISNUMBER(Y392)),1,0)</f>
        <v>0</v>
      </c>
      <c r="AA392" s="43" t="str">
        <f aca="false">IF(W392=1,IF(SUMIFS($L$2:$L$756,$B$2:$B$756,B392,$W$2:$W$756,2)&gt;0,SUMIFS($L$2:$L$756,$B$2:$B$756,B392,$W$2:$W$756,2),""),"")</f>
        <v/>
      </c>
      <c r="AB392" s="54" t="str">
        <f aca="false">IF(AND(W392=1,ISNUMBER(AA392)),L392/(L392+AA392),"")</f>
        <v/>
      </c>
    </row>
    <row r="393" customFormat="false" ht="15" hidden="false" customHeight="true" outlineLevel="0" collapsed="false">
      <c r="A393" s="1" t="s">
        <v>274</v>
      </c>
      <c r="B393" s="46" t="n">
        <v>45833</v>
      </c>
      <c r="C393" s="46" t="n">
        <v>45897</v>
      </c>
      <c r="D393" s="47" t="n">
        <v>25389.9</v>
      </c>
      <c r="E393" s="47" t="n">
        <v>25497</v>
      </c>
      <c r="F393" s="47" t="n">
        <v>25351.7</v>
      </c>
      <c r="G393" s="47" t="n">
        <v>25463.1</v>
      </c>
      <c r="H393" s="47" t="n">
        <v>25462</v>
      </c>
      <c r="I393" s="47" t="n">
        <v>25463.1</v>
      </c>
      <c r="J393" s="48" t="n">
        <v>4621</v>
      </c>
      <c r="K393" s="47" t="n">
        <v>88183.02</v>
      </c>
      <c r="L393" s="48" t="n">
        <v>1197375</v>
      </c>
      <c r="M393" s="48" t="n">
        <v>104175</v>
      </c>
      <c r="N393" s="47" t="n">
        <v>25244.75</v>
      </c>
      <c r="O393" s="47" t="n">
        <f aca="false">IF(AND(ISNUMBER(G393),ISNUMBER(N393)),G393-N393,"")</f>
        <v>218.349999999999</v>
      </c>
      <c r="P393" s="49" t="n">
        <f aca="false">IF(ISNUMBER(O393),O393/N393,"")</f>
        <v>0.00864932312659062</v>
      </c>
      <c r="Q393" s="50" t="n">
        <f aca="false">C393-B393</f>
        <v>64</v>
      </c>
      <c r="R393" s="51" t="n">
        <f aca="false">IF(AND(C393=C392,ISNUMBER(G393),ISNUMBER(G392)),(G393/G392-1)*100,"")</f>
        <v>0.635913082656825</v>
      </c>
      <c r="S393" s="51" t="n">
        <f aca="false">IF(AND(C393=C392,ISNUMBER(L393),ISNUMBER(L392)),(L393/L392-1)*100,"")</f>
        <v>9.52936333699233</v>
      </c>
      <c r="T393" s="51" t="n">
        <f aca="false">IF(AND(C393=C392,ISNUMBER(G393),ISNUMBER(G392)),G393-G392,"")</f>
        <v>160.899999999998</v>
      </c>
      <c r="U393" s="1" t="str">
        <f aca="false">IF(OR(NOT(ISNUMBER(R393)),NOT(ISNUMBER(S393))),"Not classified",IF(AND(R393&gt;0,S393&gt;0),"Long buildup (interpretation)",IF(AND(R393&lt;0,S393&gt;0),"Short buildup (interpretation)",IF(AND(R393&gt;0,S393&lt;0),"Short covering (interpretation)",IF(AND(R393&lt;0,S393&lt;0),"Long unwinding (interpretation)","Neutral")))))</f>
        <v>Long buildup (interpretation)</v>
      </c>
      <c r="V393" s="52" t="str">
        <f aca="false">TEXT(B393,"yyyy-mm")</f>
        <v>2025-06</v>
      </c>
      <c r="W393" s="52" t="n">
        <f aca="false">1+COUNTIFS($B$2:$B$756,B393,$C$2:$C$756,"&lt;"&amp;C393)</f>
        <v>3</v>
      </c>
      <c r="X393" s="53" t="n">
        <f aca="false">IF(AND(ISNUMBER(P393),Q393&gt;0),P393*365/Q393,"")</f>
        <v>0.0493281709563371</v>
      </c>
      <c r="Y393" s="42" t="n">
        <f aca="false">IF(AND(C394=C393,ISNUMBER(R394)),R394,"")</f>
        <v>1.03051081761452</v>
      </c>
      <c r="Z393" s="52" t="n">
        <f aca="false">IF(AND(W393=1,Q393&gt;Basis_Analysis!$B$3,ISNUMBER(Y393)),1,0)</f>
        <v>0</v>
      </c>
      <c r="AA393" s="43" t="str">
        <f aca="false">IF(W393=1,IF(SUMIFS($L$2:$L$756,$B$2:$B$756,B393,$W$2:$W$756,2)&gt;0,SUMIFS($L$2:$L$756,$B$2:$B$756,B393,$W$2:$W$756,2),""),"")</f>
        <v/>
      </c>
      <c r="AB393" s="54" t="str">
        <f aca="false">IF(AND(W393=1,ISNUMBER(AA393)),L393/(L393+AA393),"")</f>
        <v/>
      </c>
    </row>
    <row r="394" customFormat="false" ht="15" hidden="false" customHeight="true" outlineLevel="0" collapsed="false">
      <c r="A394" s="1" t="s">
        <v>274</v>
      </c>
      <c r="B394" s="46" t="n">
        <v>45834</v>
      </c>
      <c r="C394" s="46" t="n">
        <v>45897</v>
      </c>
      <c r="D394" s="47" t="n">
        <v>25479.9</v>
      </c>
      <c r="E394" s="47" t="n">
        <v>25739</v>
      </c>
      <c r="F394" s="47" t="n">
        <v>25474.2</v>
      </c>
      <c r="G394" s="47" t="n">
        <v>25725.5</v>
      </c>
      <c r="H394" s="47" t="n">
        <v>25722.3</v>
      </c>
      <c r="I394" s="47" t="n">
        <v>25725.5</v>
      </c>
      <c r="J394" s="48" t="n">
        <v>10918</v>
      </c>
      <c r="K394" s="47" t="n">
        <v>209893.75</v>
      </c>
      <c r="L394" s="48" t="n">
        <v>1448175</v>
      </c>
      <c r="M394" s="48" t="n">
        <v>250800</v>
      </c>
      <c r="N394" s="47" t="n">
        <v>25549</v>
      </c>
      <c r="O394" s="47" t="n">
        <f aca="false">IF(AND(ISNUMBER(G394),ISNUMBER(N394)),G394-N394,"")</f>
        <v>176.5</v>
      </c>
      <c r="P394" s="49" t="n">
        <f aca="false">IF(ISNUMBER(O394),O394/N394,"")</f>
        <v>0.00690829386668754</v>
      </c>
      <c r="Q394" s="50" t="n">
        <f aca="false">C394-B394</f>
        <v>63</v>
      </c>
      <c r="R394" s="51" t="n">
        <f aca="false">IF(AND(C394=C393,ISNUMBER(G394),ISNUMBER(G393)),(G394/G393-1)*100,"")</f>
        <v>1.03051081761452</v>
      </c>
      <c r="S394" s="51" t="n">
        <f aca="false">IF(AND(C394=C393,ISNUMBER(L394),ISNUMBER(L393)),(L394/L393-1)*100,"")</f>
        <v>20.9458189790166</v>
      </c>
      <c r="T394" s="51" t="n">
        <f aca="false">IF(AND(C394=C393,ISNUMBER(G394),ISNUMBER(G393)),G394-G393,"")</f>
        <v>262.400000000001</v>
      </c>
      <c r="U394" s="1" t="str">
        <f aca="false">IF(OR(NOT(ISNUMBER(R394)),NOT(ISNUMBER(S394))),"Not classified",IF(AND(R394&gt;0,S394&gt;0),"Long buildup (interpretation)",IF(AND(R394&lt;0,S394&gt;0),"Short buildup (interpretation)",IF(AND(R394&gt;0,S394&lt;0),"Short covering (interpretation)",IF(AND(R394&lt;0,S394&lt;0),"Long unwinding (interpretation)","Neutral")))))</f>
        <v>Long buildup (interpretation)</v>
      </c>
      <c r="V394" s="52" t="str">
        <f aca="false">TEXT(B394,"yyyy-mm")</f>
        <v>2025-06</v>
      </c>
      <c r="W394" s="52" t="n">
        <f aca="false">1+COUNTIFS($B$2:$B$756,B394,$C$2:$C$756,"&lt;"&amp;C394)</f>
        <v>3</v>
      </c>
      <c r="X394" s="53" t="n">
        <f aca="false">IF(AND(ISNUMBER(P394),Q394&gt;0),P394*365/Q394,"")</f>
        <v>0.0400242422435072</v>
      </c>
      <c r="Y394" s="42" t="n">
        <f aca="false">IF(AND(C395=C394,ISNUMBER(R395)),R395,"")</f>
        <v>0.519329070377639</v>
      </c>
      <c r="Z394" s="52" t="n">
        <f aca="false">IF(AND(W394=1,Q394&gt;Basis_Analysis!$B$3,ISNUMBER(Y394)),1,0)</f>
        <v>0</v>
      </c>
      <c r="AA394" s="43" t="str">
        <f aca="false">IF(W394=1,IF(SUMIFS($L$2:$L$756,$B$2:$B$756,B394,$W$2:$W$756,2)&gt;0,SUMIFS($L$2:$L$756,$B$2:$B$756,B394,$W$2:$W$756,2),""),"")</f>
        <v/>
      </c>
      <c r="AB394" s="54" t="str">
        <f aca="false">IF(AND(W394=1,ISNUMBER(AA394)),L394/(L394+AA394),"")</f>
        <v/>
      </c>
    </row>
    <row r="395" customFormat="false" ht="15" hidden="false" customHeight="true" outlineLevel="0" collapsed="false">
      <c r="A395" s="1" t="s">
        <v>274</v>
      </c>
      <c r="B395" s="46" t="n">
        <v>45835</v>
      </c>
      <c r="C395" s="46" t="n">
        <v>45897</v>
      </c>
      <c r="D395" s="47" t="n">
        <v>25799.9</v>
      </c>
      <c r="E395" s="47" t="n">
        <v>25879</v>
      </c>
      <c r="F395" s="47" t="n">
        <v>25750</v>
      </c>
      <c r="G395" s="47" t="n">
        <v>25859.1</v>
      </c>
      <c r="H395" s="47" t="n">
        <v>25860</v>
      </c>
      <c r="I395" s="47" t="n">
        <v>25859.1</v>
      </c>
      <c r="J395" s="48" t="n">
        <v>5386</v>
      </c>
      <c r="K395" s="47" t="n">
        <v>104328.19</v>
      </c>
      <c r="L395" s="48" t="n">
        <v>1474425</v>
      </c>
      <c r="M395" s="48" t="n">
        <v>26250</v>
      </c>
      <c r="N395" s="47" t="n">
        <v>25637.8</v>
      </c>
      <c r="O395" s="47" t="n">
        <f aca="false">IF(AND(ISNUMBER(G395),ISNUMBER(N395)),G395-N395,"")</f>
        <v>221.299999999999</v>
      </c>
      <c r="P395" s="49" t="n">
        <f aca="false">IF(ISNUMBER(O395),O395/N395,"")</f>
        <v>0.00863178587866351</v>
      </c>
      <c r="Q395" s="50" t="n">
        <f aca="false">C395-B395</f>
        <v>62</v>
      </c>
      <c r="R395" s="51" t="n">
        <f aca="false">IF(AND(C395=C394,ISNUMBER(G395),ISNUMBER(G394)),(G395/G394-1)*100,"")</f>
        <v>0.519329070377639</v>
      </c>
      <c r="S395" s="51" t="n">
        <f aca="false">IF(AND(C395=C394,ISNUMBER(L395),ISNUMBER(L394)),(L395/L394-1)*100,"")</f>
        <v>1.81262623647005</v>
      </c>
      <c r="T395" s="51" t="n">
        <f aca="false">IF(AND(C395=C394,ISNUMBER(G395),ISNUMBER(G394)),G395-G394,"")</f>
        <v>133.599999999999</v>
      </c>
      <c r="U395" s="1" t="str">
        <f aca="false">IF(OR(NOT(ISNUMBER(R395)),NOT(ISNUMBER(S395))),"Not classified",IF(AND(R395&gt;0,S395&gt;0),"Long buildup (interpretation)",IF(AND(R395&lt;0,S395&gt;0),"Short buildup (interpretation)",IF(AND(R395&gt;0,S395&lt;0),"Short covering (interpretation)",IF(AND(R395&lt;0,S395&lt;0),"Long unwinding (interpretation)","Neutral")))))</f>
        <v>Long buildup (interpretation)</v>
      </c>
      <c r="V395" s="52" t="str">
        <f aca="false">TEXT(B395,"yyyy-mm")</f>
        <v>2025-06</v>
      </c>
      <c r="W395" s="52" t="n">
        <f aca="false">1+COUNTIFS($B$2:$B$756,B395,$C$2:$C$756,"&lt;"&amp;C395)</f>
        <v>2</v>
      </c>
      <c r="X395" s="53" t="n">
        <f aca="false">IF(AND(ISNUMBER(P395),Q395&gt;0),P395*365/Q395,"")</f>
        <v>0.0508161588018094</v>
      </c>
      <c r="Y395" s="42" t="n">
        <f aca="false">IF(AND(C396=C395,ISNUMBER(R396)),R396,"")</f>
        <v>-0.484162248492781</v>
      </c>
      <c r="Z395" s="52" t="n">
        <f aca="false">IF(AND(W395=1,Q395&gt;Basis_Analysis!$B$3,ISNUMBER(Y395)),1,0)</f>
        <v>0</v>
      </c>
      <c r="AA395" s="43" t="str">
        <f aca="false">IF(W395=1,IF(SUMIFS($L$2:$L$756,$B$2:$B$756,B395,$W$2:$W$756,2)&gt;0,SUMIFS($L$2:$L$756,$B$2:$B$756,B395,$W$2:$W$756,2),""),"")</f>
        <v/>
      </c>
      <c r="AB395" s="54" t="str">
        <f aca="false">IF(AND(W395=1,ISNUMBER(AA395)),L395/(L395+AA395),"")</f>
        <v/>
      </c>
    </row>
    <row r="396" customFormat="false" ht="15" hidden="false" customHeight="true" outlineLevel="0" collapsed="false">
      <c r="A396" s="1" t="s">
        <v>274</v>
      </c>
      <c r="B396" s="46" t="n">
        <v>45838</v>
      </c>
      <c r="C396" s="46" t="n">
        <v>45897</v>
      </c>
      <c r="D396" s="47" t="n">
        <v>25860</v>
      </c>
      <c r="E396" s="47" t="n">
        <v>25899.9</v>
      </c>
      <c r="F396" s="47" t="n">
        <v>25692.5</v>
      </c>
      <c r="G396" s="47" t="n">
        <v>25733.9</v>
      </c>
      <c r="H396" s="47" t="n">
        <v>25734</v>
      </c>
      <c r="I396" s="47" t="n">
        <v>25733.9</v>
      </c>
      <c r="J396" s="48" t="n">
        <v>5249</v>
      </c>
      <c r="K396" s="47" t="n">
        <v>101512.12</v>
      </c>
      <c r="L396" s="48" t="n">
        <v>1586700</v>
      </c>
      <c r="M396" s="48" t="n">
        <v>112275</v>
      </c>
      <c r="N396" s="47" t="n">
        <v>25517.05</v>
      </c>
      <c r="O396" s="47" t="n">
        <f aca="false">IF(AND(ISNUMBER(G396),ISNUMBER(N396)),G396-N396,"")</f>
        <v>216.850000000002</v>
      </c>
      <c r="P396" s="49" t="n">
        <f aca="false">IF(ISNUMBER(O396),O396/N396,"")</f>
        <v>0.00849823941247136</v>
      </c>
      <c r="Q396" s="50" t="n">
        <f aca="false">C396-B396</f>
        <v>59</v>
      </c>
      <c r="R396" s="51" t="n">
        <f aca="false">IF(AND(C396=C395,ISNUMBER(G396),ISNUMBER(G395)),(G396/G395-1)*100,"")</f>
        <v>-0.484162248492781</v>
      </c>
      <c r="S396" s="51" t="n">
        <f aca="false">IF(AND(C396=C395,ISNUMBER(L396),ISNUMBER(L395)),(L396/L395-1)*100,"")</f>
        <v>7.61483290096139</v>
      </c>
      <c r="T396" s="51" t="n">
        <f aca="false">IF(AND(C396=C395,ISNUMBER(G396),ISNUMBER(G395)),G396-G395,"")</f>
        <v>-125.199999999997</v>
      </c>
      <c r="U396" s="1" t="str">
        <f aca="false">IF(OR(NOT(ISNUMBER(R396)),NOT(ISNUMBER(S396))),"Not classified",IF(AND(R396&gt;0,S396&gt;0),"Long buildup (interpretation)",IF(AND(R396&lt;0,S396&gt;0),"Short buildup (interpretation)",IF(AND(R396&gt;0,S396&lt;0),"Short covering (interpretation)",IF(AND(R396&lt;0,S396&lt;0),"Long unwinding (interpretation)","Neutral")))))</f>
        <v>Short buildup (interpretation)</v>
      </c>
      <c r="V396" s="52" t="str">
        <f aca="false">TEXT(B396,"yyyy-mm")</f>
        <v>2025-06</v>
      </c>
      <c r="W396" s="52" t="n">
        <f aca="false">1+COUNTIFS($B$2:$B$756,B396,$C$2:$C$756,"&lt;"&amp;C396)</f>
        <v>2</v>
      </c>
      <c r="X396" s="53" t="n">
        <f aca="false">IF(AND(ISNUMBER(P396),Q396&gt;0),P396*365/Q396,"")</f>
        <v>0.0525738539924075</v>
      </c>
      <c r="Y396" s="42" t="n">
        <f aca="false">IF(AND(C397=C396,ISNUMBER(R397)),R397,"")</f>
        <v>0.0893762702116607</v>
      </c>
      <c r="Z396" s="52" t="n">
        <f aca="false">IF(AND(W396=1,Q396&gt;Basis_Analysis!$B$3,ISNUMBER(Y396)),1,0)</f>
        <v>0</v>
      </c>
      <c r="AA396" s="43" t="str">
        <f aca="false">IF(W396=1,IF(SUMIFS($L$2:$L$756,$B$2:$B$756,B396,$W$2:$W$756,2)&gt;0,SUMIFS($L$2:$L$756,$B$2:$B$756,B396,$W$2:$W$756,2),""),"")</f>
        <v/>
      </c>
      <c r="AB396" s="54" t="str">
        <f aca="false">IF(AND(W396=1,ISNUMBER(AA396)),L396/(L396+AA396),"")</f>
        <v/>
      </c>
    </row>
    <row r="397" customFormat="false" ht="15" hidden="false" customHeight="true" outlineLevel="0" collapsed="false">
      <c r="A397" s="1" t="s">
        <v>274</v>
      </c>
      <c r="B397" s="46" t="n">
        <v>45839</v>
      </c>
      <c r="C397" s="46" t="n">
        <v>45897</v>
      </c>
      <c r="D397" s="47" t="n">
        <v>25734</v>
      </c>
      <c r="E397" s="47" t="n">
        <v>25800</v>
      </c>
      <c r="F397" s="47" t="n">
        <v>25712.9</v>
      </c>
      <c r="G397" s="47" t="n">
        <v>25756.9</v>
      </c>
      <c r="H397" s="47" t="n">
        <v>25760</v>
      </c>
      <c r="I397" s="47" t="n">
        <v>25756.9</v>
      </c>
      <c r="J397" s="48" t="n">
        <v>2330</v>
      </c>
      <c r="K397" s="47" t="n">
        <v>45015.67</v>
      </c>
      <c r="L397" s="48" t="n">
        <v>1644375</v>
      </c>
      <c r="M397" s="48" t="n">
        <v>57675</v>
      </c>
      <c r="N397" s="47" t="n">
        <v>25541.8</v>
      </c>
      <c r="O397" s="47" t="n">
        <f aca="false">IF(AND(ISNUMBER(G397),ISNUMBER(N397)),G397-N397,"")</f>
        <v>215.100000000002</v>
      </c>
      <c r="P397" s="49" t="n">
        <f aca="false">IF(ISNUMBER(O397),O397/N397,"")</f>
        <v>0.00842148947998975</v>
      </c>
      <c r="Q397" s="50" t="n">
        <f aca="false">C397-B397</f>
        <v>58</v>
      </c>
      <c r="R397" s="51" t="n">
        <f aca="false">IF(AND(C397=C396,ISNUMBER(G397),ISNUMBER(G396)),(G397/G396-1)*100,"")</f>
        <v>0.0893762702116607</v>
      </c>
      <c r="S397" s="51" t="n">
        <f aca="false">IF(AND(C397=C396,ISNUMBER(L397),ISNUMBER(L396)),(L397/L396-1)*100,"")</f>
        <v>3.63490262809605</v>
      </c>
      <c r="T397" s="51" t="n">
        <f aca="false">IF(AND(C397=C396,ISNUMBER(G397),ISNUMBER(G396)),G397-G396,"")</f>
        <v>23</v>
      </c>
      <c r="U397" s="1" t="str">
        <f aca="false">IF(OR(NOT(ISNUMBER(R397)),NOT(ISNUMBER(S397))),"Not classified",IF(AND(R397&gt;0,S397&gt;0),"Long buildup (interpretation)",IF(AND(R397&lt;0,S397&gt;0),"Short buildup (interpretation)",IF(AND(R397&gt;0,S397&lt;0),"Short covering (interpretation)",IF(AND(R397&lt;0,S397&lt;0),"Long unwinding (interpretation)","Neutral")))))</f>
        <v>Long buildup (interpretation)</v>
      </c>
      <c r="V397" s="52" t="str">
        <f aca="false">TEXT(B397,"yyyy-mm")</f>
        <v>2025-07</v>
      </c>
      <c r="W397" s="52" t="n">
        <f aca="false">1+COUNTIFS($B$2:$B$756,B397,$C$2:$C$756,"&lt;"&amp;C397)</f>
        <v>2</v>
      </c>
      <c r="X397" s="53" t="n">
        <f aca="false">IF(AND(ISNUMBER(P397),Q397&gt;0),P397*365/Q397,"")</f>
        <v>0.0529973044861424</v>
      </c>
      <c r="Y397" s="42" t="n">
        <f aca="false">IF(AND(C398=C397,ISNUMBER(R398)),R398,"")</f>
        <v>-0.411928454122978</v>
      </c>
      <c r="Z397" s="52" t="n">
        <f aca="false">IF(AND(W397=1,Q397&gt;Basis_Analysis!$B$3,ISNUMBER(Y397)),1,0)</f>
        <v>0</v>
      </c>
      <c r="AA397" s="43" t="str">
        <f aca="false">IF(W397=1,IF(SUMIFS($L$2:$L$756,$B$2:$B$756,B397,$W$2:$W$756,2)&gt;0,SUMIFS($L$2:$L$756,$B$2:$B$756,B397,$W$2:$W$756,2),""),"")</f>
        <v/>
      </c>
      <c r="AB397" s="54" t="str">
        <f aca="false">IF(AND(W397=1,ISNUMBER(AA397)),L397/(L397+AA397),"")</f>
        <v/>
      </c>
    </row>
    <row r="398" customFormat="false" ht="15" hidden="false" customHeight="true" outlineLevel="0" collapsed="false">
      <c r="A398" s="1" t="s">
        <v>274</v>
      </c>
      <c r="B398" s="46" t="n">
        <v>45840</v>
      </c>
      <c r="C398" s="46" t="n">
        <v>45897</v>
      </c>
      <c r="D398" s="47" t="n">
        <v>25798.9</v>
      </c>
      <c r="E398" s="47" t="n">
        <v>25805</v>
      </c>
      <c r="F398" s="47" t="n">
        <v>25590.2</v>
      </c>
      <c r="G398" s="47" t="n">
        <v>25650.8</v>
      </c>
      <c r="H398" s="47" t="n">
        <v>25645</v>
      </c>
      <c r="I398" s="47" t="n">
        <v>25650.8</v>
      </c>
      <c r="J398" s="48" t="n">
        <v>4086</v>
      </c>
      <c r="K398" s="47" t="n">
        <v>78685.84</v>
      </c>
      <c r="L398" s="48" t="n">
        <v>1716450</v>
      </c>
      <c r="M398" s="48" t="n">
        <v>72075</v>
      </c>
      <c r="N398" s="47" t="n">
        <v>25453.4</v>
      </c>
      <c r="O398" s="47" t="n">
        <f aca="false">IF(AND(ISNUMBER(G398),ISNUMBER(N398)),G398-N398,"")</f>
        <v>197.399999999998</v>
      </c>
      <c r="P398" s="49" t="n">
        <f aca="false">IF(ISNUMBER(O398),O398/N398,"")</f>
        <v>0.0077553489907045</v>
      </c>
      <c r="Q398" s="50" t="n">
        <f aca="false">C398-B398</f>
        <v>57</v>
      </c>
      <c r="R398" s="51" t="n">
        <f aca="false">IF(AND(C398=C397,ISNUMBER(G398),ISNUMBER(G397)),(G398/G397-1)*100,"")</f>
        <v>-0.411928454122978</v>
      </c>
      <c r="S398" s="51" t="n">
        <f aca="false">IF(AND(C398=C397,ISNUMBER(L398),ISNUMBER(L397)),(L398/L397-1)*100,"")</f>
        <v>4.38312428734322</v>
      </c>
      <c r="T398" s="51" t="n">
        <f aca="false">IF(AND(C398=C397,ISNUMBER(G398),ISNUMBER(G397)),G398-G397,"")</f>
        <v>-106.100000000002</v>
      </c>
      <c r="U398" s="1" t="str">
        <f aca="false">IF(OR(NOT(ISNUMBER(R398)),NOT(ISNUMBER(S398))),"Not classified",IF(AND(R398&gt;0,S398&gt;0),"Long buildup (interpretation)",IF(AND(R398&lt;0,S398&gt;0),"Short buildup (interpretation)",IF(AND(R398&gt;0,S398&lt;0),"Short covering (interpretation)",IF(AND(R398&lt;0,S398&lt;0),"Long unwinding (interpretation)","Neutral")))))</f>
        <v>Short buildup (interpretation)</v>
      </c>
      <c r="V398" s="52" t="str">
        <f aca="false">TEXT(B398,"yyyy-mm")</f>
        <v>2025-07</v>
      </c>
      <c r="W398" s="52" t="n">
        <f aca="false">1+COUNTIFS($B$2:$B$756,B398,$C$2:$C$756,"&lt;"&amp;C398)</f>
        <v>2</v>
      </c>
      <c r="X398" s="53" t="n">
        <f aca="false">IF(AND(ISNUMBER(P398),Q398&gt;0),P398*365/Q398,"")</f>
        <v>0.0496614452913534</v>
      </c>
      <c r="Y398" s="42" t="n">
        <f aca="false">IF(AND(C399=C398,ISNUMBER(R399)),R399,"")</f>
        <v>-0.139566797136925</v>
      </c>
      <c r="Z398" s="52" t="n">
        <f aca="false">IF(AND(W398=1,Q398&gt;Basis_Analysis!$B$3,ISNUMBER(Y398)),1,0)</f>
        <v>0</v>
      </c>
      <c r="AA398" s="43" t="str">
        <f aca="false">IF(W398=1,IF(SUMIFS($L$2:$L$756,$B$2:$B$756,B398,$W$2:$W$756,2)&gt;0,SUMIFS($L$2:$L$756,$B$2:$B$756,B398,$W$2:$W$756,2),""),"")</f>
        <v/>
      </c>
      <c r="AB398" s="54" t="str">
        <f aca="false">IF(AND(W398=1,ISNUMBER(AA398)),L398/(L398+AA398),"")</f>
        <v/>
      </c>
    </row>
    <row r="399" customFormat="false" ht="15" hidden="false" customHeight="true" outlineLevel="0" collapsed="false">
      <c r="A399" s="1" t="s">
        <v>274</v>
      </c>
      <c r="B399" s="46" t="n">
        <v>45841</v>
      </c>
      <c r="C399" s="46" t="n">
        <v>45897</v>
      </c>
      <c r="D399" s="47" t="n">
        <v>25693.9</v>
      </c>
      <c r="E399" s="47" t="n">
        <v>25773.6</v>
      </c>
      <c r="F399" s="47" t="n">
        <v>25590</v>
      </c>
      <c r="G399" s="47" t="n">
        <v>25615</v>
      </c>
      <c r="H399" s="47" t="n">
        <v>25609.8</v>
      </c>
      <c r="I399" s="47" t="n">
        <v>25615</v>
      </c>
      <c r="J399" s="48" t="n">
        <v>6202</v>
      </c>
      <c r="K399" s="47" t="n">
        <v>119448.08</v>
      </c>
      <c r="L399" s="48" t="n">
        <v>1905150</v>
      </c>
      <c r="M399" s="48" t="n">
        <v>188700</v>
      </c>
      <c r="N399" s="47" t="n">
        <v>25405.3</v>
      </c>
      <c r="O399" s="47" t="n">
        <f aca="false">IF(AND(ISNUMBER(G399),ISNUMBER(N399)),G399-N399,"")</f>
        <v>209.700000000001</v>
      </c>
      <c r="P399" s="49" t="n">
        <f aca="false">IF(ISNUMBER(O399),O399/N399,"")</f>
        <v>0.0082541831822494</v>
      </c>
      <c r="Q399" s="50" t="n">
        <f aca="false">C399-B399</f>
        <v>56</v>
      </c>
      <c r="R399" s="51" t="n">
        <f aca="false">IF(AND(C399=C398,ISNUMBER(G399),ISNUMBER(G398)),(G399/G398-1)*100,"")</f>
        <v>-0.139566797136925</v>
      </c>
      <c r="S399" s="51" t="n">
        <f aca="false">IF(AND(C399=C398,ISNUMBER(L399),ISNUMBER(L398)),(L399/L398-1)*100,"")</f>
        <v>10.9936205540505</v>
      </c>
      <c r="T399" s="51" t="n">
        <f aca="false">IF(AND(C399=C398,ISNUMBER(G399),ISNUMBER(G398)),G399-G398,"")</f>
        <v>-35.7999999999993</v>
      </c>
      <c r="U399" s="1" t="str">
        <f aca="false">IF(OR(NOT(ISNUMBER(R399)),NOT(ISNUMBER(S399))),"Not classified",IF(AND(R399&gt;0,S399&gt;0),"Long buildup (interpretation)",IF(AND(R399&lt;0,S399&gt;0),"Short buildup (interpretation)",IF(AND(R399&gt;0,S399&lt;0),"Short covering (interpretation)",IF(AND(R399&lt;0,S399&lt;0),"Long unwinding (interpretation)","Neutral")))))</f>
        <v>Short buildup (interpretation)</v>
      </c>
      <c r="V399" s="52" t="str">
        <f aca="false">TEXT(B399,"yyyy-mm")</f>
        <v>2025-07</v>
      </c>
      <c r="W399" s="52" t="n">
        <f aca="false">1+COUNTIFS($B$2:$B$756,B399,$C$2:$C$756,"&lt;"&amp;C399)</f>
        <v>2</v>
      </c>
      <c r="X399" s="53" t="n">
        <f aca="false">IF(AND(ISNUMBER(P399),Q399&gt;0),P399*365/Q399,"")</f>
        <v>0.0537995868128756</v>
      </c>
      <c r="Y399" s="42" t="n">
        <f aca="false">IF(AND(C400=C399,ISNUMBER(R400)),R400,"")</f>
        <v>0.147179387077889</v>
      </c>
      <c r="Z399" s="52" t="n">
        <f aca="false">IF(AND(W399=1,Q399&gt;Basis_Analysis!$B$3,ISNUMBER(Y399)),1,0)</f>
        <v>0</v>
      </c>
      <c r="AA399" s="43" t="str">
        <f aca="false">IF(W399=1,IF(SUMIFS($L$2:$L$756,$B$2:$B$756,B399,$W$2:$W$756,2)&gt;0,SUMIFS($L$2:$L$756,$B$2:$B$756,B399,$W$2:$W$756,2),""),"")</f>
        <v/>
      </c>
      <c r="AB399" s="54" t="str">
        <f aca="false">IF(AND(W399=1,ISNUMBER(AA399)),L399/(L399+AA399),"")</f>
        <v/>
      </c>
    </row>
    <row r="400" customFormat="false" ht="15" hidden="false" customHeight="true" outlineLevel="0" collapsed="false">
      <c r="A400" s="1" t="s">
        <v>274</v>
      </c>
      <c r="B400" s="46" t="n">
        <v>45842</v>
      </c>
      <c r="C400" s="46" t="n">
        <v>45897</v>
      </c>
      <c r="D400" s="47" t="n">
        <v>25596.1</v>
      </c>
      <c r="E400" s="47" t="n">
        <v>25665.9</v>
      </c>
      <c r="F400" s="47" t="n">
        <v>25517</v>
      </c>
      <c r="G400" s="47" t="n">
        <v>25652.7</v>
      </c>
      <c r="H400" s="47" t="n">
        <v>25659</v>
      </c>
      <c r="I400" s="47" t="n">
        <v>25652.7</v>
      </c>
      <c r="J400" s="48" t="n">
        <v>6301</v>
      </c>
      <c r="K400" s="47" t="n">
        <v>120926.9</v>
      </c>
      <c r="L400" s="48" t="n">
        <v>2096625</v>
      </c>
      <c r="M400" s="48" t="n">
        <v>191475</v>
      </c>
      <c r="N400" s="47" t="n">
        <v>25461</v>
      </c>
      <c r="O400" s="47" t="n">
        <f aca="false">IF(AND(ISNUMBER(G400),ISNUMBER(N400)),G400-N400,"")</f>
        <v>191.700000000001</v>
      </c>
      <c r="P400" s="49" t="n">
        <f aca="false">IF(ISNUMBER(O400),O400/N400,"")</f>
        <v>0.00752916224814425</v>
      </c>
      <c r="Q400" s="50" t="n">
        <f aca="false">C400-B400</f>
        <v>55</v>
      </c>
      <c r="R400" s="51" t="n">
        <f aca="false">IF(AND(C400=C399,ISNUMBER(G400),ISNUMBER(G399)),(G400/G399-1)*100,"")</f>
        <v>0.147179387077889</v>
      </c>
      <c r="S400" s="51" t="n">
        <f aca="false">IF(AND(C400=C399,ISNUMBER(L400),ISNUMBER(L399)),(L400/L399-1)*100,"")</f>
        <v>10.0503897330919</v>
      </c>
      <c r="T400" s="51" t="n">
        <f aca="false">IF(AND(C400=C399,ISNUMBER(G400),ISNUMBER(G399)),G400-G399,"")</f>
        <v>37.7000000000007</v>
      </c>
      <c r="U400" s="1" t="str">
        <f aca="false">IF(OR(NOT(ISNUMBER(R400)),NOT(ISNUMBER(S400))),"Not classified",IF(AND(R400&gt;0,S400&gt;0),"Long buildup (interpretation)",IF(AND(R400&lt;0,S400&gt;0),"Short buildup (interpretation)",IF(AND(R400&gt;0,S400&lt;0),"Short covering (interpretation)",IF(AND(R400&lt;0,S400&lt;0),"Long unwinding (interpretation)","Neutral")))))</f>
        <v>Long buildup (interpretation)</v>
      </c>
      <c r="V400" s="52" t="str">
        <f aca="false">TEXT(B400,"yyyy-mm")</f>
        <v>2025-07</v>
      </c>
      <c r="W400" s="52" t="n">
        <f aca="false">1+COUNTIFS($B$2:$B$756,B400,$C$2:$C$756,"&lt;"&amp;C400)</f>
        <v>2</v>
      </c>
      <c r="X400" s="53" t="n">
        <f aca="false">IF(AND(ISNUMBER(P400),Q400&gt;0),P400*365/Q400,"")</f>
        <v>0.0499662585558664</v>
      </c>
      <c r="Y400" s="42" t="n">
        <f aca="false">IF(AND(C401=C400,ISNUMBER(R401)),R401,"")</f>
        <v>-0.00935574033142927</v>
      </c>
      <c r="Z400" s="52" t="n">
        <f aca="false">IF(AND(W400=1,Q400&gt;Basis_Analysis!$B$3,ISNUMBER(Y400)),1,0)</f>
        <v>0</v>
      </c>
      <c r="AA400" s="43" t="str">
        <f aca="false">IF(W400=1,IF(SUMIFS($L$2:$L$756,$B$2:$B$756,B400,$W$2:$W$756,2)&gt;0,SUMIFS($L$2:$L$756,$B$2:$B$756,B400,$W$2:$W$756,2),""),"")</f>
        <v/>
      </c>
      <c r="AB400" s="54" t="str">
        <f aca="false">IF(AND(W400=1,ISNUMBER(AA400)),L400/(L400+AA400),"")</f>
        <v/>
      </c>
    </row>
    <row r="401" customFormat="false" ht="15" hidden="false" customHeight="true" outlineLevel="0" collapsed="false">
      <c r="A401" s="1" t="s">
        <v>274</v>
      </c>
      <c r="B401" s="46" t="n">
        <v>45845</v>
      </c>
      <c r="C401" s="46" t="n">
        <v>45897</v>
      </c>
      <c r="D401" s="47" t="n">
        <v>25630</v>
      </c>
      <c r="E401" s="47" t="n">
        <v>25682.9</v>
      </c>
      <c r="F401" s="47" t="n">
        <v>25583.4</v>
      </c>
      <c r="G401" s="47" t="n">
        <v>25650.3</v>
      </c>
      <c r="H401" s="47" t="n">
        <v>25655</v>
      </c>
      <c r="I401" s="47" t="n">
        <v>25650.3</v>
      </c>
      <c r="J401" s="48" t="n">
        <v>7763</v>
      </c>
      <c r="K401" s="47" t="n">
        <v>149292.98</v>
      </c>
      <c r="L401" s="48" t="n">
        <v>2558025</v>
      </c>
      <c r="M401" s="48" t="n">
        <v>461400</v>
      </c>
      <c r="N401" s="47" t="n">
        <v>25461.3</v>
      </c>
      <c r="O401" s="47" t="n">
        <f aca="false">IF(AND(ISNUMBER(G401),ISNUMBER(N401)),G401-N401,"")</f>
        <v>189</v>
      </c>
      <c r="P401" s="49" t="n">
        <f aca="false">IF(ISNUMBER(O401),O401/N401,"")</f>
        <v>0.00742303024590261</v>
      </c>
      <c r="Q401" s="50" t="n">
        <f aca="false">C401-B401</f>
        <v>52</v>
      </c>
      <c r="R401" s="51" t="n">
        <f aca="false">IF(AND(C401=C400,ISNUMBER(G401),ISNUMBER(G400)),(G401/G400-1)*100,"")</f>
        <v>-0.00935574033142927</v>
      </c>
      <c r="S401" s="51" t="n">
        <f aca="false">IF(AND(C401=C400,ISNUMBER(L401),ISNUMBER(L400)),(L401/L400-1)*100,"")</f>
        <v>22.006796637453</v>
      </c>
      <c r="T401" s="51" t="n">
        <f aca="false">IF(AND(C401=C400,ISNUMBER(G401),ISNUMBER(G400)),G401-G400,"")</f>
        <v>-2.40000000000146</v>
      </c>
      <c r="U401" s="1" t="str">
        <f aca="false">IF(OR(NOT(ISNUMBER(R401)),NOT(ISNUMBER(S401))),"Not classified",IF(AND(R401&gt;0,S401&gt;0),"Long buildup (interpretation)",IF(AND(R401&lt;0,S401&gt;0),"Short buildup (interpretation)",IF(AND(R401&gt;0,S401&lt;0),"Short covering (interpretation)",IF(AND(R401&lt;0,S401&lt;0),"Long unwinding (interpretation)","Neutral")))))</f>
        <v>Short buildup (interpretation)</v>
      </c>
      <c r="V401" s="52" t="str">
        <f aca="false">TEXT(B401,"yyyy-mm")</f>
        <v>2025-07</v>
      </c>
      <c r="W401" s="52" t="n">
        <f aca="false">1+COUNTIFS($B$2:$B$756,B401,$C$2:$C$756,"&lt;"&amp;C401)</f>
        <v>2</v>
      </c>
      <c r="X401" s="53" t="n">
        <f aca="false">IF(AND(ISNUMBER(P401),Q401&gt;0),P401*365/Q401,"")</f>
        <v>0.0521039623029702</v>
      </c>
      <c r="Y401" s="42" t="n">
        <f aca="false">IF(AND(C402=C401,ISNUMBER(R402)),R402,"")</f>
        <v>0.304479869631158</v>
      </c>
      <c r="Z401" s="52" t="n">
        <f aca="false">IF(AND(W401=1,Q401&gt;Basis_Analysis!$B$3,ISNUMBER(Y401)),1,0)</f>
        <v>0</v>
      </c>
      <c r="AA401" s="43" t="str">
        <f aca="false">IF(W401=1,IF(SUMIFS($L$2:$L$756,$B$2:$B$756,B401,$W$2:$W$756,2)&gt;0,SUMIFS($L$2:$L$756,$B$2:$B$756,B401,$W$2:$W$756,2),""),"")</f>
        <v/>
      </c>
      <c r="AB401" s="54" t="str">
        <f aca="false">IF(AND(W401=1,ISNUMBER(AA401)),L401/(L401+AA401),"")</f>
        <v/>
      </c>
    </row>
    <row r="402" customFormat="false" ht="15" hidden="false" customHeight="true" outlineLevel="0" collapsed="false">
      <c r="A402" s="1" t="s">
        <v>274</v>
      </c>
      <c r="B402" s="46" t="n">
        <v>45846</v>
      </c>
      <c r="C402" s="46" t="n">
        <v>45897</v>
      </c>
      <c r="D402" s="47" t="n">
        <v>25630.3</v>
      </c>
      <c r="E402" s="47" t="n">
        <v>25743.9</v>
      </c>
      <c r="F402" s="47" t="n">
        <v>25616</v>
      </c>
      <c r="G402" s="47" t="n">
        <v>25728.4</v>
      </c>
      <c r="H402" s="47" t="n">
        <v>25731.6</v>
      </c>
      <c r="I402" s="47" t="n">
        <v>25728.4</v>
      </c>
      <c r="J402" s="48" t="n">
        <v>9668</v>
      </c>
      <c r="K402" s="47" t="n">
        <v>186190.45</v>
      </c>
      <c r="L402" s="48" t="n">
        <v>3161100</v>
      </c>
      <c r="M402" s="48" t="n">
        <v>603075</v>
      </c>
      <c r="N402" s="47" t="n">
        <v>25522.5</v>
      </c>
      <c r="O402" s="47" t="n">
        <f aca="false">IF(AND(ISNUMBER(G402),ISNUMBER(N402)),G402-N402,"")</f>
        <v>205.900000000001</v>
      </c>
      <c r="P402" s="49" t="n">
        <f aca="false">IF(ISNUMBER(O402),O402/N402,"")</f>
        <v>0.00806739151728872</v>
      </c>
      <c r="Q402" s="50" t="n">
        <f aca="false">C402-B402</f>
        <v>51</v>
      </c>
      <c r="R402" s="51" t="n">
        <f aca="false">IF(AND(C402=C401,ISNUMBER(G402),ISNUMBER(G401)),(G402/G401-1)*100,"")</f>
        <v>0.304479869631158</v>
      </c>
      <c r="S402" s="51" t="n">
        <f aca="false">IF(AND(C402=C401,ISNUMBER(L402),ISNUMBER(L401)),(L402/L401-1)*100,"")</f>
        <v>23.5758055531123</v>
      </c>
      <c r="T402" s="51" t="n">
        <f aca="false">IF(AND(C402=C401,ISNUMBER(G402),ISNUMBER(G401)),G402-G401,"")</f>
        <v>78.1000000000022</v>
      </c>
      <c r="U402" s="1" t="str">
        <f aca="false">IF(OR(NOT(ISNUMBER(R402)),NOT(ISNUMBER(S402))),"Not classified",IF(AND(R402&gt;0,S402&gt;0),"Long buildup (interpretation)",IF(AND(R402&lt;0,S402&gt;0),"Short buildup (interpretation)",IF(AND(R402&gt;0,S402&lt;0),"Short covering (interpretation)",IF(AND(R402&lt;0,S402&lt;0),"Long unwinding (interpretation)","Neutral")))))</f>
        <v>Long buildup (interpretation)</v>
      </c>
      <c r="V402" s="52" t="str">
        <f aca="false">TEXT(B402,"yyyy-mm")</f>
        <v>2025-07</v>
      </c>
      <c r="W402" s="52" t="n">
        <f aca="false">1+COUNTIFS($B$2:$B$756,B402,$C$2:$C$756,"&lt;"&amp;C402)</f>
        <v>2</v>
      </c>
      <c r="X402" s="53" t="n">
        <f aca="false">IF(AND(ISNUMBER(P402),Q402&gt;0),P402*365/Q402,"")</f>
        <v>0.0577372138002036</v>
      </c>
      <c r="Y402" s="42" t="n">
        <f aca="false">IF(AND(C403=C402,ISNUMBER(R403)),R403,"")</f>
        <v>-0.236703409461925</v>
      </c>
      <c r="Z402" s="52" t="n">
        <f aca="false">IF(AND(W402=1,Q402&gt;Basis_Analysis!$B$3,ISNUMBER(Y402)),1,0)</f>
        <v>0</v>
      </c>
      <c r="AA402" s="43" t="str">
        <f aca="false">IF(W402=1,IF(SUMIFS($L$2:$L$756,$B$2:$B$756,B402,$W$2:$W$756,2)&gt;0,SUMIFS($L$2:$L$756,$B$2:$B$756,B402,$W$2:$W$756,2),""),"")</f>
        <v/>
      </c>
      <c r="AB402" s="54" t="str">
        <f aca="false">IF(AND(W402=1,ISNUMBER(AA402)),L402/(L402+AA402),"")</f>
        <v/>
      </c>
    </row>
    <row r="403" customFormat="false" ht="15" hidden="false" customHeight="true" outlineLevel="0" collapsed="false">
      <c r="A403" s="1" t="s">
        <v>274</v>
      </c>
      <c r="B403" s="46" t="n">
        <v>45847</v>
      </c>
      <c r="C403" s="46" t="n">
        <v>45897</v>
      </c>
      <c r="D403" s="47" t="n">
        <v>25720.3</v>
      </c>
      <c r="E403" s="47" t="n">
        <v>25754.1</v>
      </c>
      <c r="F403" s="47" t="n">
        <v>25635.1</v>
      </c>
      <c r="G403" s="47" t="n">
        <v>25667.5</v>
      </c>
      <c r="H403" s="47" t="n">
        <v>25656.1</v>
      </c>
      <c r="I403" s="47" t="n">
        <v>25667.5</v>
      </c>
      <c r="J403" s="48" t="n">
        <v>7235</v>
      </c>
      <c r="K403" s="47" t="n">
        <v>139519.97</v>
      </c>
      <c r="L403" s="48" t="n">
        <v>3567825</v>
      </c>
      <c r="M403" s="48" t="n">
        <v>406725</v>
      </c>
      <c r="N403" s="47" t="n">
        <v>25476.1</v>
      </c>
      <c r="O403" s="47" t="n">
        <f aca="false">IF(AND(ISNUMBER(G403),ISNUMBER(N403)),G403-N403,"")</f>
        <v>191.400000000001</v>
      </c>
      <c r="P403" s="49" t="n">
        <f aca="false">IF(ISNUMBER(O403),O403/N403,"")</f>
        <v>0.00751292387767364</v>
      </c>
      <c r="Q403" s="50" t="n">
        <f aca="false">C403-B403</f>
        <v>50</v>
      </c>
      <c r="R403" s="51" t="n">
        <f aca="false">IF(AND(C403=C402,ISNUMBER(G403),ISNUMBER(G402)),(G403/G402-1)*100,"")</f>
        <v>-0.236703409461925</v>
      </c>
      <c r="S403" s="51" t="n">
        <f aca="false">IF(AND(C403=C402,ISNUMBER(L403),ISNUMBER(L402)),(L403/L402-1)*100,"")</f>
        <v>12.8665654360824</v>
      </c>
      <c r="T403" s="51" t="n">
        <f aca="false">IF(AND(C403=C402,ISNUMBER(G403),ISNUMBER(G402)),G403-G402,"")</f>
        <v>-60.9000000000015</v>
      </c>
      <c r="U403" s="1" t="str">
        <f aca="false">IF(OR(NOT(ISNUMBER(R403)),NOT(ISNUMBER(S403))),"Not classified",IF(AND(R403&gt;0,S403&gt;0),"Long buildup (interpretation)",IF(AND(R403&lt;0,S403&gt;0),"Short buildup (interpretation)",IF(AND(R403&gt;0,S403&lt;0),"Short covering (interpretation)",IF(AND(R403&lt;0,S403&lt;0),"Long unwinding (interpretation)","Neutral")))))</f>
        <v>Short buildup (interpretation)</v>
      </c>
      <c r="V403" s="52" t="str">
        <f aca="false">TEXT(B403,"yyyy-mm")</f>
        <v>2025-07</v>
      </c>
      <c r="W403" s="52" t="n">
        <f aca="false">1+COUNTIFS($B$2:$B$756,B403,$C$2:$C$756,"&lt;"&amp;C403)</f>
        <v>2</v>
      </c>
      <c r="X403" s="53" t="n">
        <f aca="false">IF(AND(ISNUMBER(P403),Q403&gt;0),P403*365/Q403,"")</f>
        <v>0.0548443443070176</v>
      </c>
      <c r="Y403" s="42" t="n">
        <f aca="false">IF(AND(C404=C403,ISNUMBER(R404)),R404,"")</f>
        <v>-0.527125742670687</v>
      </c>
      <c r="Z403" s="52" t="n">
        <f aca="false">IF(AND(W403=1,Q403&gt;Basis_Analysis!$B$3,ISNUMBER(Y403)),1,0)</f>
        <v>0</v>
      </c>
      <c r="AA403" s="43" t="str">
        <f aca="false">IF(W403=1,IF(SUMIFS($L$2:$L$756,$B$2:$B$756,B403,$W$2:$W$756,2)&gt;0,SUMIFS($L$2:$L$756,$B$2:$B$756,B403,$W$2:$W$756,2),""),"")</f>
        <v/>
      </c>
      <c r="AB403" s="54" t="str">
        <f aca="false">IF(AND(W403=1,ISNUMBER(AA403)),L403/(L403+AA403),"")</f>
        <v/>
      </c>
    </row>
    <row r="404" customFormat="false" ht="15" hidden="false" customHeight="true" outlineLevel="0" collapsed="false">
      <c r="A404" s="1" t="s">
        <v>274</v>
      </c>
      <c r="B404" s="46" t="n">
        <v>45848</v>
      </c>
      <c r="C404" s="46" t="n">
        <v>45897</v>
      </c>
      <c r="D404" s="47" t="n">
        <v>25667.5</v>
      </c>
      <c r="E404" s="47" t="n">
        <v>25672.4</v>
      </c>
      <c r="F404" s="47" t="n">
        <v>25520</v>
      </c>
      <c r="G404" s="47" t="n">
        <v>25532.2</v>
      </c>
      <c r="H404" s="47" t="n">
        <v>25527.6</v>
      </c>
      <c r="I404" s="47" t="n">
        <v>25532.2</v>
      </c>
      <c r="J404" s="48" t="n">
        <v>5670</v>
      </c>
      <c r="K404" s="47" t="n">
        <v>108731.9</v>
      </c>
      <c r="L404" s="48" t="n">
        <v>3754875</v>
      </c>
      <c r="M404" s="48" t="n">
        <v>187050</v>
      </c>
      <c r="N404" s="47" t="n">
        <v>25355.25</v>
      </c>
      <c r="O404" s="47" t="n">
        <f aca="false">IF(AND(ISNUMBER(G404),ISNUMBER(N404)),G404-N404,"")</f>
        <v>176.950000000001</v>
      </c>
      <c r="P404" s="49" t="n">
        <f aca="false">IF(ISNUMBER(O404),O404/N404,"")</f>
        <v>0.00697883081413122</v>
      </c>
      <c r="Q404" s="50" t="n">
        <f aca="false">C404-B404</f>
        <v>49</v>
      </c>
      <c r="R404" s="51" t="n">
        <f aca="false">IF(AND(C404=C403,ISNUMBER(G404),ISNUMBER(G403)),(G404/G403-1)*100,"")</f>
        <v>-0.527125742670687</v>
      </c>
      <c r="S404" s="51" t="n">
        <f aca="false">IF(AND(C404=C403,ISNUMBER(L404),ISNUMBER(L403)),(L404/L403-1)*100,"")</f>
        <v>5.24268987408294</v>
      </c>
      <c r="T404" s="51" t="n">
        <f aca="false">IF(AND(C404=C403,ISNUMBER(G404),ISNUMBER(G403)),G404-G403,"")</f>
        <v>-135.299999999999</v>
      </c>
      <c r="U404" s="1" t="str">
        <f aca="false">IF(OR(NOT(ISNUMBER(R404)),NOT(ISNUMBER(S404))),"Not classified",IF(AND(R404&gt;0,S404&gt;0),"Long buildup (interpretation)",IF(AND(R404&lt;0,S404&gt;0),"Short buildup (interpretation)",IF(AND(R404&gt;0,S404&lt;0),"Short covering (interpretation)",IF(AND(R404&lt;0,S404&lt;0),"Long unwinding (interpretation)","Neutral")))))</f>
        <v>Short buildup (interpretation)</v>
      </c>
      <c r="V404" s="52" t="str">
        <f aca="false">TEXT(B404,"yyyy-mm")</f>
        <v>2025-07</v>
      </c>
      <c r="W404" s="52" t="n">
        <f aca="false">1+COUNTIFS($B$2:$B$756,B404,$C$2:$C$756,"&lt;"&amp;C404)</f>
        <v>2</v>
      </c>
      <c r="X404" s="53" t="n">
        <f aca="false">IF(AND(ISNUMBER(P404),Q404&gt;0),P404*365/Q404,"")</f>
        <v>0.0519851683093448</v>
      </c>
      <c r="Y404" s="42" t="n">
        <f aca="false">IF(AND(C405=C404,ISNUMBER(R405)),R405,"")</f>
        <v>-0.801732713984693</v>
      </c>
      <c r="Z404" s="52" t="n">
        <f aca="false">IF(AND(W404=1,Q404&gt;Basis_Analysis!$B$3,ISNUMBER(Y404)),1,0)</f>
        <v>0</v>
      </c>
      <c r="AA404" s="43" t="str">
        <f aca="false">IF(W404=1,IF(SUMIFS($L$2:$L$756,$B$2:$B$756,B404,$W$2:$W$756,2)&gt;0,SUMIFS($L$2:$L$756,$B$2:$B$756,B404,$W$2:$W$756,2),""),"")</f>
        <v/>
      </c>
      <c r="AB404" s="54" t="str">
        <f aca="false">IF(AND(W404=1,ISNUMBER(AA404)),L404/(L404+AA404),"")</f>
        <v/>
      </c>
    </row>
    <row r="405" customFormat="false" ht="15" hidden="false" customHeight="true" outlineLevel="0" collapsed="false">
      <c r="A405" s="1" t="s">
        <v>274</v>
      </c>
      <c r="B405" s="46" t="n">
        <v>45849</v>
      </c>
      <c r="C405" s="46" t="n">
        <v>45897</v>
      </c>
      <c r="D405" s="47" t="n">
        <v>25498</v>
      </c>
      <c r="E405" s="47" t="n">
        <v>25498</v>
      </c>
      <c r="F405" s="47" t="n">
        <v>25310</v>
      </c>
      <c r="G405" s="47" t="n">
        <v>25327.5</v>
      </c>
      <c r="H405" s="47" t="n">
        <v>25310</v>
      </c>
      <c r="I405" s="47" t="n">
        <v>25327.5</v>
      </c>
      <c r="J405" s="48" t="n">
        <v>7388</v>
      </c>
      <c r="K405" s="47" t="n">
        <v>140602.21</v>
      </c>
      <c r="L405" s="48" t="n">
        <v>3935925</v>
      </c>
      <c r="M405" s="48" t="n">
        <v>181050</v>
      </c>
      <c r="N405" s="47" t="n">
        <v>25149.85</v>
      </c>
      <c r="O405" s="47" t="n">
        <f aca="false">IF(AND(ISNUMBER(G405),ISNUMBER(N405)),G405-N405,"")</f>
        <v>177.650000000001</v>
      </c>
      <c r="P405" s="49" t="n">
        <f aca="false">IF(ISNUMBER(O405),O405/N405,"")</f>
        <v>0.0070636604194459</v>
      </c>
      <c r="Q405" s="50" t="n">
        <f aca="false">C405-B405</f>
        <v>48</v>
      </c>
      <c r="R405" s="51" t="n">
        <f aca="false">IF(AND(C405=C404,ISNUMBER(G405),ISNUMBER(G404)),(G405/G404-1)*100,"")</f>
        <v>-0.801732713984693</v>
      </c>
      <c r="S405" s="51" t="n">
        <f aca="false">IF(AND(C405=C404,ISNUMBER(L405),ISNUMBER(L404)),(L405/L404-1)*100,"")</f>
        <v>4.82173174872667</v>
      </c>
      <c r="T405" s="51" t="n">
        <f aca="false">IF(AND(C405=C404,ISNUMBER(G405),ISNUMBER(G404)),G405-G404,"")</f>
        <v>-204.700000000001</v>
      </c>
      <c r="U405" s="1" t="str">
        <f aca="false">IF(OR(NOT(ISNUMBER(R405)),NOT(ISNUMBER(S405))),"Not classified",IF(AND(R405&gt;0,S405&gt;0),"Long buildup (interpretation)",IF(AND(R405&lt;0,S405&gt;0),"Short buildup (interpretation)",IF(AND(R405&gt;0,S405&lt;0),"Short covering (interpretation)",IF(AND(R405&lt;0,S405&lt;0),"Long unwinding (interpretation)","Neutral")))))</f>
        <v>Short buildup (interpretation)</v>
      </c>
      <c r="V405" s="52" t="str">
        <f aca="false">TEXT(B405,"yyyy-mm")</f>
        <v>2025-07</v>
      </c>
      <c r="W405" s="52" t="n">
        <f aca="false">1+COUNTIFS($B$2:$B$756,B405,$C$2:$C$756,"&lt;"&amp;C405)</f>
        <v>2</v>
      </c>
      <c r="X405" s="53" t="n">
        <f aca="false">IF(AND(ISNUMBER(P405),Q405&gt;0),P405*365/Q405,"")</f>
        <v>0.0537132511062032</v>
      </c>
      <c r="Y405" s="42" t="n">
        <f aca="false">IF(AND(C406=C405,ISNUMBER(R406)),R406,"")</f>
        <v>-0.23176389300168</v>
      </c>
      <c r="Z405" s="52" t="n">
        <f aca="false">IF(AND(W405=1,Q405&gt;Basis_Analysis!$B$3,ISNUMBER(Y405)),1,0)</f>
        <v>0</v>
      </c>
      <c r="AA405" s="43" t="str">
        <f aca="false">IF(W405=1,IF(SUMIFS($L$2:$L$756,$B$2:$B$756,B405,$W$2:$W$756,2)&gt;0,SUMIFS($L$2:$L$756,$B$2:$B$756,B405,$W$2:$W$756,2),""),"")</f>
        <v/>
      </c>
      <c r="AB405" s="54" t="str">
        <f aca="false">IF(AND(W405=1,ISNUMBER(AA405)),L405/(L405+AA405),"")</f>
        <v/>
      </c>
    </row>
    <row r="406" customFormat="false" ht="15" hidden="false" customHeight="true" outlineLevel="0" collapsed="false">
      <c r="A406" s="1" t="s">
        <v>274</v>
      </c>
      <c r="B406" s="46" t="n">
        <v>45852</v>
      </c>
      <c r="C406" s="46" t="n">
        <v>45897</v>
      </c>
      <c r="D406" s="47" t="n">
        <v>25300</v>
      </c>
      <c r="E406" s="47" t="n">
        <v>25310</v>
      </c>
      <c r="F406" s="47" t="n">
        <v>25181.6</v>
      </c>
      <c r="G406" s="47" t="n">
        <v>25268.8</v>
      </c>
      <c r="H406" s="47" t="n">
        <v>25284.5</v>
      </c>
      <c r="I406" s="47" t="n">
        <v>25268.8</v>
      </c>
      <c r="J406" s="48" t="n">
        <v>11462</v>
      </c>
      <c r="K406" s="47" t="n">
        <v>217108.66</v>
      </c>
      <c r="L406" s="48" t="n">
        <v>4445550</v>
      </c>
      <c r="M406" s="48" t="n">
        <v>509625</v>
      </c>
      <c r="N406" s="47" t="n">
        <v>25082.3</v>
      </c>
      <c r="O406" s="47" t="n">
        <f aca="false">IF(AND(ISNUMBER(G406),ISNUMBER(N406)),G406-N406,"")</f>
        <v>186.5</v>
      </c>
      <c r="P406" s="49" t="n">
        <f aca="false">IF(ISNUMBER(O406),O406/N406,"")</f>
        <v>0.00743552226071772</v>
      </c>
      <c r="Q406" s="50" t="n">
        <f aca="false">C406-B406</f>
        <v>45</v>
      </c>
      <c r="R406" s="51" t="n">
        <f aca="false">IF(AND(C406=C405,ISNUMBER(G406),ISNUMBER(G405)),(G406/G405-1)*100,"")</f>
        <v>-0.23176389300168</v>
      </c>
      <c r="S406" s="51" t="n">
        <f aca="false">IF(AND(C406=C405,ISNUMBER(L406),ISNUMBER(L405)),(L406/L405-1)*100,"")</f>
        <v>12.9480363574001</v>
      </c>
      <c r="T406" s="51" t="n">
        <f aca="false">IF(AND(C406=C405,ISNUMBER(G406),ISNUMBER(G405)),G406-G405,"")</f>
        <v>-58.7000000000007</v>
      </c>
      <c r="U406" s="1" t="str">
        <f aca="false">IF(OR(NOT(ISNUMBER(R406)),NOT(ISNUMBER(S406))),"Not classified",IF(AND(R406&gt;0,S406&gt;0),"Long buildup (interpretation)",IF(AND(R406&lt;0,S406&gt;0),"Short buildup (interpretation)",IF(AND(R406&gt;0,S406&lt;0),"Short covering (interpretation)",IF(AND(R406&lt;0,S406&lt;0),"Long unwinding (interpretation)","Neutral")))))</f>
        <v>Short buildup (interpretation)</v>
      </c>
      <c r="V406" s="52" t="str">
        <f aca="false">TEXT(B406,"yyyy-mm")</f>
        <v>2025-07</v>
      </c>
      <c r="W406" s="52" t="n">
        <f aca="false">1+COUNTIFS($B$2:$B$756,B406,$C$2:$C$756,"&lt;"&amp;C406)</f>
        <v>2</v>
      </c>
      <c r="X406" s="53" t="n">
        <f aca="false">IF(AND(ISNUMBER(P406),Q406&gt;0),P406*365/Q406,"")</f>
        <v>0.0603103472258215</v>
      </c>
      <c r="Y406" s="42" t="n">
        <f aca="false">IF(AND(C407=C406,ISNUMBER(R407)),R407,"")</f>
        <v>0.391391755841197</v>
      </c>
      <c r="Z406" s="52" t="n">
        <f aca="false">IF(AND(W406=1,Q406&gt;Basis_Analysis!$B$3,ISNUMBER(Y406)),1,0)</f>
        <v>0</v>
      </c>
      <c r="AA406" s="43" t="str">
        <f aca="false">IF(W406=1,IF(SUMIFS($L$2:$L$756,$B$2:$B$756,B406,$W$2:$W$756,2)&gt;0,SUMIFS($L$2:$L$756,$B$2:$B$756,B406,$W$2:$W$756,2),""),"")</f>
        <v/>
      </c>
      <c r="AB406" s="54" t="str">
        <f aca="false">IF(AND(W406=1,ISNUMBER(AA406)),L406/(L406+AA406),"")</f>
        <v/>
      </c>
    </row>
    <row r="407" customFormat="false" ht="15" hidden="false" customHeight="true" outlineLevel="0" collapsed="false">
      <c r="A407" s="1" t="s">
        <v>274</v>
      </c>
      <c r="B407" s="46" t="n">
        <v>45853</v>
      </c>
      <c r="C407" s="46" t="n">
        <v>45897</v>
      </c>
      <c r="D407" s="47" t="n">
        <v>25282.9</v>
      </c>
      <c r="E407" s="47" t="n">
        <v>25411</v>
      </c>
      <c r="F407" s="47" t="n">
        <v>25260</v>
      </c>
      <c r="G407" s="47" t="n">
        <v>25367.7</v>
      </c>
      <c r="H407" s="47" t="n">
        <v>25384</v>
      </c>
      <c r="I407" s="47" t="n">
        <v>25367.7</v>
      </c>
      <c r="J407" s="48" t="n">
        <v>4373</v>
      </c>
      <c r="K407" s="47" t="n">
        <v>83143.17</v>
      </c>
      <c r="L407" s="48" t="n">
        <v>4547100</v>
      </c>
      <c r="M407" s="48" t="n">
        <v>101550</v>
      </c>
      <c r="N407" s="47" t="n">
        <v>25195.8</v>
      </c>
      <c r="O407" s="47" t="n">
        <f aca="false">IF(AND(ISNUMBER(G407),ISNUMBER(N407)),G407-N407,"")</f>
        <v>171.900000000001</v>
      </c>
      <c r="P407" s="49" t="n">
        <f aca="false">IF(ISNUMBER(O407),O407/N407,"")</f>
        <v>0.00682256566570625</v>
      </c>
      <c r="Q407" s="50" t="n">
        <f aca="false">C407-B407</f>
        <v>44</v>
      </c>
      <c r="R407" s="51" t="n">
        <f aca="false">IF(AND(C407=C406,ISNUMBER(G407),ISNUMBER(G406)),(G407/G406-1)*100,"")</f>
        <v>0.391391755841197</v>
      </c>
      <c r="S407" s="51" t="n">
        <f aca="false">IF(AND(C407=C406,ISNUMBER(L407),ISNUMBER(L406)),(L407/L406-1)*100,"")</f>
        <v>2.28430677868881</v>
      </c>
      <c r="T407" s="51" t="n">
        <f aca="false">IF(AND(C407=C406,ISNUMBER(G407),ISNUMBER(G406)),G407-G406,"")</f>
        <v>98.9000000000015</v>
      </c>
      <c r="U407" s="1" t="str">
        <f aca="false">IF(OR(NOT(ISNUMBER(R407)),NOT(ISNUMBER(S407))),"Not classified",IF(AND(R407&gt;0,S407&gt;0),"Long buildup (interpretation)",IF(AND(R407&lt;0,S407&gt;0),"Short buildup (interpretation)",IF(AND(R407&gt;0,S407&lt;0),"Short covering (interpretation)",IF(AND(R407&lt;0,S407&lt;0),"Long unwinding (interpretation)","Neutral")))))</f>
        <v>Long buildup (interpretation)</v>
      </c>
      <c r="V407" s="52" t="str">
        <f aca="false">TEXT(B407,"yyyy-mm")</f>
        <v>2025-07</v>
      </c>
      <c r="W407" s="52" t="n">
        <f aca="false">1+COUNTIFS($B$2:$B$756,B407,$C$2:$C$756,"&lt;"&amp;C407)</f>
        <v>2</v>
      </c>
      <c r="X407" s="53" t="n">
        <f aca="false">IF(AND(ISNUMBER(P407),Q407&gt;0),P407*365/Q407,"")</f>
        <v>0.056596283363245</v>
      </c>
      <c r="Y407" s="42" t="n">
        <f aca="false">IF(AND(C408=C407,ISNUMBER(R408)),R408,"")</f>
        <v>-0.07765780894603</v>
      </c>
      <c r="Z407" s="52" t="n">
        <f aca="false">IF(AND(W407=1,Q407&gt;Basis_Analysis!$B$3,ISNUMBER(Y407)),1,0)</f>
        <v>0</v>
      </c>
      <c r="AA407" s="43" t="str">
        <f aca="false">IF(W407=1,IF(SUMIFS($L$2:$L$756,$B$2:$B$756,B407,$W$2:$W$756,2)&gt;0,SUMIFS($L$2:$L$756,$B$2:$B$756,B407,$W$2:$W$756,2),""),"")</f>
        <v/>
      </c>
      <c r="AB407" s="54" t="str">
        <f aca="false">IF(AND(W407=1,ISNUMBER(AA407)),L407/(L407+AA407),"")</f>
        <v/>
      </c>
    </row>
    <row r="408" customFormat="false" ht="15" hidden="false" customHeight="true" outlineLevel="0" collapsed="false">
      <c r="A408" s="1" t="s">
        <v>274</v>
      </c>
      <c r="B408" s="46" t="n">
        <v>45854</v>
      </c>
      <c r="C408" s="46" t="n">
        <v>45897</v>
      </c>
      <c r="D408" s="47" t="n">
        <v>25333.9</v>
      </c>
      <c r="E408" s="47" t="n">
        <v>25388.9</v>
      </c>
      <c r="F408" s="47" t="n">
        <v>25266</v>
      </c>
      <c r="G408" s="47" t="n">
        <v>25348</v>
      </c>
      <c r="H408" s="47" t="n">
        <v>25348.3</v>
      </c>
      <c r="I408" s="47" t="n">
        <v>25348</v>
      </c>
      <c r="J408" s="48" t="n">
        <v>3875</v>
      </c>
      <c r="K408" s="47" t="n">
        <v>73591.72</v>
      </c>
      <c r="L408" s="48" t="n">
        <v>4659825</v>
      </c>
      <c r="M408" s="48" t="n">
        <v>112725</v>
      </c>
      <c r="N408" s="47" t="n">
        <v>25212.05</v>
      </c>
      <c r="O408" s="47" t="n">
        <f aca="false">IF(AND(ISNUMBER(G408),ISNUMBER(N408)),G408-N408,"")</f>
        <v>135.950000000001</v>
      </c>
      <c r="P408" s="49" t="n">
        <f aca="false">IF(ISNUMBER(O408),O408/N408,"")</f>
        <v>0.00539226282670393</v>
      </c>
      <c r="Q408" s="50" t="n">
        <f aca="false">C408-B408</f>
        <v>43</v>
      </c>
      <c r="R408" s="51" t="n">
        <f aca="false">IF(AND(C408=C407,ISNUMBER(G408),ISNUMBER(G407)),(G408/G407-1)*100,"")</f>
        <v>-0.07765780894603</v>
      </c>
      <c r="S408" s="51" t="n">
        <f aca="false">IF(AND(C408=C407,ISNUMBER(L408),ISNUMBER(L407)),(L408/L407-1)*100,"")</f>
        <v>2.47905258296497</v>
      </c>
      <c r="T408" s="51" t="n">
        <f aca="false">IF(AND(C408=C407,ISNUMBER(G408),ISNUMBER(G407)),G408-G407,"")</f>
        <v>-19.7000000000007</v>
      </c>
      <c r="U408" s="1" t="str">
        <f aca="false">IF(OR(NOT(ISNUMBER(R408)),NOT(ISNUMBER(S408))),"Not classified",IF(AND(R408&gt;0,S408&gt;0),"Long buildup (interpretation)",IF(AND(R408&lt;0,S408&gt;0),"Short buildup (interpretation)",IF(AND(R408&gt;0,S408&lt;0),"Short covering (interpretation)",IF(AND(R408&lt;0,S408&lt;0),"Long unwinding (interpretation)","Neutral")))))</f>
        <v>Short buildup (interpretation)</v>
      </c>
      <c r="V408" s="52" t="str">
        <f aca="false">TEXT(B408,"yyyy-mm")</f>
        <v>2025-07</v>
      </c>
      <c r="W408" s="52" t="n">
        <f aca="false">1+COUNTIFS($B$2:$B$756,B408,$C$2:$C$756,"&lt;"&amp;C408)</f>
        <v>2</v>
      </c>
      <c r="X408" s="53" t="n">
        <f aca="false">IF(AND(ISNUMBER(P408),Q408&gt;0),P408*365/Q408,"")</f>
        <v>0.0457715332964403</v>
      </c>
      <c r="Y408" s="42" t="n">
        <f aca="false">IF(AND(C409=C408,ISNUMBER(R409)),R409,"")</f>
        <v>-0.288780179895853</v>
      </c>
      <c r="Z408" s="52" t="n">
        <f aca="false">IF(AND(W408=1,Q408&gt;Basis_Analysis!$B$3,ISNUMBER(Y408)),1,0)</f>
        <v>0</v>
      </c>
      <c r="AA408" s="43" t="str">
        <f aca="false">IF(W408=1,IF(SUMIFS($L$2:$L$756,$B$2:$B$756,B408,$W$2:$W$756,2)&gt;0,SUMIFS($L$2:$L$756,$B$2:$B$756,B408,$W$2:$W$756,2),""),"")</f>
        <v/>
      </c>
      <c r="AB408" s="54" t="str">
        <f aca="false">IF(AND(W408=1,ISNUMBER(AA408)),L408/(L408+AA408),"")</f>
        <v/>
      </c>
    </row>
    <row r="409" customFormat="false" ht="15" hidden="false" customHeight="true" outlineLevel="0" collapsed="false">
      <c r="A409" s="1" t="s">
        <v>274</v>
      </c>
      <c r="B409" s="46" t="n">
        <v>45855</v>
      </c>
      <c r="C409" s="46" t="n">
        <v>45897</v>
      </c>
      <c r="D409" s="47" t="n">
        <v>25348.1</v>
      </c>
      <c r="E409" s="47" t="n">
        <v>25369</v>
      </c>
      <c r="F409" s="47" t="n">
        <v>25265</v>
      </c>
      <c r="G409" s="47" t="n">
        <v>25274.8</v>
      </c>
      <c r="H409" s="47" t="n">
        <v>25265</v>
      </c>
      <c r="I409" s="47" t="n">
        <v>25274.8</v>
      </c>
      <c r="J409" s="48" t="n">
        <v>4367</v>
      </c>
      <c r="K409" s="47" t="n">
        <v>82892.65</v>
      </c>
      <c r="L409" s="48" t="n">
        <v>4800825</v>
      </c>
      <c r="M409" s="48" t="n">
        <v>141000</v>
      </c>
      <c r="N409" s="47" t="n">
        <v>25111.45</v>
      </c>
      <c r="O409" s="47" t="n">
        <f aca="false">IF(AND(ISNUMBER(G409),ISNUMBER(N409)),G409-N409,"")</f>
        <v>163.349999999999</v>
      </c>
      <c r="P409" s="49" t="n">
        <f aca="false">IF(ISNUMBER(O409),O409/N409,"")</f>
        <v>0.00650500070684881</v>
      </c>
      <c r="Q409" s="50" t="n">
        <f aca="false">C409-B409</f>
        <v>42</v>
      </c>
      <c r="R409" s="51" t="n">
        <f aca="false">IF(AND(C409=C408,ISNUMBER(G409),ISNUMBER(G408)),(G409/G408-1)*100,"")</f>
        <v>-0.288780179895853</v>
      </c>
      <c r="S409" s="51" t="n">
        <f aca="false">IF(AND(C409=C408,ISNUMBER(L409),ISNUMBER(L408)),(L409/L408-1)*100,"")</f>
        <v>3.02586470521962</v>
      </c>
      <c r="T409" s="51" t="n">
        <f aca="false">IF(AND(C409=C408,ISNUMBER(G409),ISNUMBER(G408)),G409-G408,"")</f>
        <v>-73.2000000000007</v>
      </c>
      <c r="U409" s="1" t="str">
        <f aca="false">IF(OR(NOT(ISNUMBER(R409)),NOT(ISNUMBER(S409))),"Not classified",IF(AND(R409&gt;0,S409&gt;0),"Long buildup (interpretation)",IF(AND(R409&lt;0,S409&gt;0),"Short buildup (interpretation)",IF(AND(R409&gt;0,S409&lt;0),"Short covering (interpretation)",IF(AND(R409&lt;0,S409&lt;0),"Long unwinding (interpretation)","Neutral")))))</f>
        <v>Short buildup (interpretation)</v>
      </c>
      <c r="V409" s="52" t="str">
        <f aca="false">TEXT(B409,"yyyy-mm")</f>
        <v>2025-07</v>
      </c>
      <c r="W409" s="52" t="n">
        <f aca="false">1+COUNTIFS($B$2:$B$756,B409,$C$2:$C$756,"&lt;"&amp;C409)</f>
        <v>2</v>
      </c>
      <c r="X409" s="53" t="n">
        <f aca="false">IF(AND(ISNUMBER(P409),Q409&gt;0),P409*365/Q409,"")</f>
        <v>0.0565315537619004</v>
      </c>
      <c r="Y409" s="42" t="n">
        <f aca="false">IF(AND(C410=C409,ISNUMBER(R410)),R410,"")</f>
        <v>-0.543624479718918</v>
      </c>
      <c r="Z409" s="52" t="n">
        <f aca="false">IF(AND(W409=1,Q409&gt;Basis_Analysis!$B$3,ISNUMBER(Y409)),1,0)</f>
        <v>0</v>
      </c>
      <c r="AA409" s="43" t="str">
        <f aca="false">IF(W409=1,IF(SUMIFS($L$2:$L$756,$B$2:$B$756,B409,$W$2:$W$756,2)&gt;0,SUMIFS($L$2:$L$756,$B$2:$B$756,B409,$W$2:$W$756,2),""),"")</f>
        <v/>
      </c>
      <c r="AB409" s="54" t="str">
        <f aca="false">IF(AND(W409=1,ISNUMBER(AA409)),L409/(L409+AA409),"")</f>
        <v/>
      </c>
    </row>
    <row r="410" customFormat="false" ht="15" hidden="false" customHeight="true" outlineLevel="0" collapsed="false">
      <c r="A410" s="1" t="s">
        <v>274</v>
      </c>
      <c r="B410" s="46" t="n">
        <v>45856</v>
      </c>
      <c r="C410" s="46" t="n">
        <v>45897</v>
      </c>
      <c r="D410" s="47" t="n">
        <v>25278.9</v>
      </c>
      <c r="E410" s="47" t="n">
        <v>25279</v>
      </c>
      <c r="F410" s="47" t="n">
        <v>25085</v>
      </c>
      <c r="G410" s="47" t="n">
        <v>25137.4</v>
      </c>
      <c r="H410" s="47" t="n">
        <v>25137</v>
      </c>
      <c r="I410" s="47" t="n">
        <v>25137.4</v>
      </c>
      <c r="J410" s="48" t="n">
        <v>8924</v>
      </c>
      <c r="K410" s="47" t="n">
        <v>168266.19</v>
      </c>
      <c r="L410" s="48" t="n">
        <v>5044725</v>
      </c>
      <c r="M410" s="48" t="n">
        <v>243900</v>
      </c>
      <c r="N410" s="47" t="n">
        <v>24968.4</v>
      </c>
      <c r="O410" s="47" t="n">
        <f aca="false">IF(AND(ISNUMBER(G410),ISNUMBER(N410)),G410-N410,"")</f>
        <v>169</v>
      </c>
      <c r="P410" s="49" t="n">
        <f aca="false">IF(ISNUMBER(O410),O410/N410,"")</f>
        <v>0.00676855545409397</v>
      </c>
      <c r="Q410" s="50" t="n">
        <f aca="false">C410-B410</f>
        <v>41</v>
      </c>
      <c r="R410" s="51" t="n">
        <f aca="false">IF(AND(C410=C409,ISNUMBER(G410),ISNUMBER(G409)),(G410/G409-1)*100,"")</f>
        <v>-0.543624479718918</v>
      </c>
      <c r="S410" s="51" t="n">
        <f aca="false">IF(AND(C410=C409,ISNUMBER(L410),ISNUMBER(L409)),(L410/L409-1)*100,"")</f>
        <v>5.08037681023574</v>
      </c>
      <c r="T410" s="51" t="n">
        <f aca="false">IF(AND(C410=C409,ISNUMBER(G410),ISNUMBER(G409)),G410-G409,"")</f>
        <v>-137.399999999998</v>
      </c>
      <c r="U410" s="1" t="str">
        <f aca="false">IF(OR(NOT(ISNUMBER(R410)),NOT(ISNUMBER(S410))),"Not classified",IF(AND(R410&gt;0,S410&gt;0),"Long buildup (interpretation)",IF(AND(R410&lt;0,S410&gt;0),"Short buildup (interpretation)",IF(AND(R410&gt;0,S410&lt;0),"Short covering (interpretation)",IF(AND(R410&lt;0,S410&lt;0),"Long unwinding (interpretation)","Neutral")))))</f>
        <v>Short buildup (interpretation)</v>
      </c>
      <c r="V410" s="52" t="str">
        <f aca="false">TEXT(B410,"yyyy-mm")</f>
        <v>2025-07</v>
      </c>
      <c r="W410" s="52" t="n">
        <f aca="false">1+COUNTIFS($B$2:$B$756,B410,$C$2:$C$756,"&lt;"&amp;C410)</f>
        <v>2</v>
      </c>
      <c r="X410" s="53" t="n">
        <f aca="false">IF(AND(ISNUMBER(P410),Q410&gt;0),P410*365/Q410,"")</f>
        <v>0.0602566522132756</v>
      </c>
      <c r="Y410" s="42" t="n">
        <f aca="false">IF(AND(C411=C410,ISNUMBER(R411)),R411,"")</f>
        <v>0.355247559413452</v>
      </c>
      <c r="Z410" s="52" t="n">
        <f aca="false">IF(AND(W410=1,Q410&gt;Basis_Analysis!$B$3,ISNUMBER(Y410)),1,0)</f>
        <v>0</v>
      </c>
      <c r="AA410" s="43" t="str">
        <f aca="false">IF(W410=1,IF(SUMIFS($L$2:$L$756,$B$2:$B$756,B410,$W$2:$W$756,2)&gt;0,SUMIFS($L$2:$L$756,$B$2:$B$756,B410,$W$2:$W$756,2),""),"")</f>
        <v/>
      </c>
      <c r="AB410" s="54" t="str">
        <f aca="false">IF(AND(W410=1,ISNUMBER(AA410)),L410/(L410+AA410),"")</f>
        <v/>
      </c>
    </row>
    <row r="411" customFormat="false" ht="15" hidden="false" customHeight="true" outlineLevel="0" collapsed="false">
      <c r="A411" s="1" t="s">
        <v>274</v>
      </c>
      <c r="B411" s="46" t="n">
        <v>45859</v>
      </c>
      <c r="C411" s="46" t="n">
        <v>45897</v>
      </c>
      <c r="D411" s="47" t="n">
        <v>25080.1</v>
      </c>
      <c r="E411" s="47" t="n">
        <v>25239.9</v>
      </c>
      <c r="F411" s="47" t="n">
        <v>25025</v>
      </c>
      <c r="G411" s="47" t="n">
        <v>25226.7</v>
      </c>
      <c r="H411" s="47" t="n">
        <v>25233</v>
      </c>
      <c r="I411" s="47" t="n">
        <v>25226.7</v>
      </c>
      <c r="J411" s="48" t="n">
        <v>6961</v>
      </c>
      <c r="K411" s="47" t="n">
        <v>131380.33</v>
      </c>
      <c r="L411" s="48" t="n">
        <v>5200425</v>
      </c>
      <c r="M411" s="48" t="n">
        <v>155700</v>
      </c>
      <c r="N411" s="47" t="n">
        <v>25090.7</v>
      </c>
      <c r="O411" s="47" t="n">
        <f aca="false">IF(AND(ISNUMBER(G411),ISNUMBER(N411)),G411-N411,"")</f>
        <v>136</v>
      </c>
      <c r="P411" s="49" t="n">
        <f aca="false">IF(ISNUMBER(O411),O411/N411,"")</f>
        <v>0.005420335024531</v>
      </c>
      <c r="Q411" s="50" t="n">
        <f aca="false">C411-B411</f>
        <v>38</v>
      </c>
      <c r="R411" s="51" t="n">
        <f aca="false">IF(AND(C411=C410,ISNUMBER(G411),ISNUMBER(G410)),(G411/G410-1)*100,"")</f>
        <v>0.355247559413452</v>
      </c>
      <c r="S411" s="51" t="n">
        <f aca="false">IF(AND(C411=C410,ISNUMBER(L411),ISNUMBER(L410)),(L411/L410-1)*100,"")</f>
        <v>3.08639222157798</v>
      </c>
      <c r="T411" s="51" t="n">
        <f aca="false">IF(AND(C411=C410,ISNUMBER(G411),ISNUMBER(G410)),G411-G410,"")</f>
        <v>89.2999999999993</v>
      </c>
      <c r="U411" s="1" t="str">
        <f aca="false">IF(OR(NOT(ISNUMBER(R411)),NOT(ISNUMBER(S411))),"Not classified",IF(AND(R411&gt;0,S411&gt;0),"Long buildup (interpretation)",IF(AND(R411&lt;0,S411&gt;0),"Short buildup (interpretation)",IF(AND(R411&gt;0,S411&lt;0),"Short covering (interpretation)",IF(AND(R411&lt;0,S411&lt;0),"Long unwinding (interpretation)","Neutral")))))</f>
        <v>Long buildup (interpretation)</v>
      </c>
      <c r="V411" s="52" t="str">
        <f aca="false">TEXT(B411,"yyyy-mm")</f>
        <v>2025-07</v>
      </c>
      <c r="W411" s="52" t="n">
        <f aca="false">1+COUNTIFS($B$2:$B$756,B411,$C$2:$C$756,"&lt;"&amp;C411)</f>
        <v>2</v>
      </c>
      <c r="X411" s="53" t="n">
        <f aca="false">IF(AND(ISNUMBER(P411),Q411&gt;0),P411*365/Q411,"")</f>
        <v>0.0520637443145741</v>
      </c>
      <c r="Y411" s="42" t="n">
        <f aca="false">IF(AND(C412=C411,ISNUMBER(R412)),R412,"")</f>
        <v>-0.109804294656057</v>
      </c>
      <c r="Z411" s="52" t="n">
        <f aca="false">IF(AND(W411=1,Q411&gt;Basis_Analysis!$B$3,ISNUMBER(Y411)),1,0)</f>
        <v>0</v>
      </c>
      <c r="AA411" s="43" t="str">
        <f aca="false">IF(W411=1,IF(SUMIFS($L$2:$L$756,$B$2:$B$756,B411,$W$2:$W$756,2)&gt;0,SUMIFS($L$2:$L$756,$B$2:$B$756,B411,$W$2:$W$756,2),""),"")</f>
        <v/>
      </c>
      <c r="AB411" s="54" t="str">
        <f aca="false">IF(AND(W411=1,ISNUMBER(AA411)),L411/(L411+AA411),"")</f>
        <v/>
      </c>
    </row>
    <row r="412" customFormat="false" ht="15" hidden="false" customHeight="true" outlineLevel="0" collapsed="false">
      <c r="A412" s="1" t="s">
        <v>274</v>
      </c>
      <c r="B412" s="46" t="n">
        <v>45860</v>
      </c>
      <c r="C412" s="46" t="n">
        <v>45897</v>
      </c>
      <c r="D412" s="47" t="n">
        <v>25258</v>
      </c>
      <c r="E412" s="47" t="n">
        <v>25296</v>
      </c>
      <c r="F412" s="47" t="n">
        <v>25176.1</v>
      </c>
      <c r="G412" s="47" t="n">
        <v>25199</v>
      </c>
      <c r="H412" s="47" t="n">
        <v>25191.1</v>
      </c>
      <c r="I412" s="47" t="n">
        <v>25199</v>
      </c>
      <c r="J412" s="48" t="n">
        <v>5352</v>
      </c>
      <c r="K412" s="47" t="n">
        <v>101252.89</v>
      </c>
      <c r="L412" s="48" t="n">
        <v>5337900</v>
      </c>
      <c r="M412" s="48" t="n">
        <v>137475</v>
      </c>
      <c r="N412" s="47" t="n">
        <v>25060.9</v>
      </c>
      <c r="O412" s="47" t="n">
        <f aca="false">IF(AND(ISNUMBER(G412),ISNUMBER(N412)),G412-N412,"")</f>
        <v>138.099999999999</v>
      </c>
      <c r="P412" s="49" t="n">
        <f aca="false">IF(ISNUMBER(O412),O412/N412,"")</f>
        <v>0.00551057623628834</v>
      </c>
      <c r="Q412" s="50" t="n">
        <f aca="false">C412-B412</f>
        <v>37</v>
      </c>
      <c r="R412" s="51" t="n">
        <f aca="false">IF(AND(C412=C411,ISNUMBER(G412),ISNUMBER(G411)),(G412/G411-1)*100,"")</f>
        <v>-0.109804294656057</v>
      </c>
      <c r="S412" s="51" t="n">
        <f aca="false">IF(AND(C412=C411,ISNUMBER(L412),ISNUMBER(L411)),(L412/L411-1)*100,"")</f>
        <v>2.64353394193744</v>
      </c>
      <c r="T412" s="51" t="n">
        <f aca="false">IF(AND(C412=C411,ISNUMBER(G412),ISNUMBER(G411)),G412-G411,"")</f>
        <v>-27.7000000000007</v>
      </c>
      <c r="U412" s="1" t="str">
        <f aca="false">IF(OR(NOT(ISNUMBER(R412)),NOT(ISNUMBER(S412))),"Not classified",IF(AND(R412&gt;0,S412&gt;0),"Long buildup (interpretation)",IF(AND(R412&lt;0,S412&gt;0),"Short buildup (interpretation)",IF(AND(R412&gt;0,S412&lt;0),"Short covering (interpretation)",IF(AND(R412&lt;0,S412&lt;0),"Long unwinding (interpretation)","Neutral")))))</f>
        <v>Short buildup (interpretation)</v>
      </c>
      <c r="V412" s="52" t="str">
        <f aca="false">TEXT(B412,"yyyy-mm")</f>
        <v>2025-07</v>
      </c>
      <c r="W412" s="52" t="n">
        <f aca="false">1+COUNTIFS($B$2:$B$756,B412,$C$2:$C$756,"&lt;"&amp;C412)</f>
        <v>2</v>
      </c>
      <c r="X412" s="53" t="n">
        <f aca="false">IF(AND(ISNUMBER(P412),Q412&gt;0),P412*365/Q412,"")</f>
        <v>0.0543610898985201</v>
      </c>
      <c r="Y412" s="42" t="n">
        <f aca="false">IF(AND(C413=C412,ISNUMBER(R413)),R413,"")</f>
        <v>0.61589745624826</v>
      </c>
      <c r="Z412" s="52" t="n">
        <f aca="false">IF(AND(W412=1,Q412&gt;Basis_Analysis!$B$3,ISNUMBER(Y412)),1,0)</f>
        <v>0</v>
      </c>
      <c r="AA412" s="43" t="str">
        <f aca="false">IF(W412=1,IF(SUMIFS($L$2:$L$756,$B$2:$B$756,B412,$W$2:$W$756,2)&gt;0,SUMIFS($L$2:$L$756,$B$2:$B$756,B412,$W$2:$W$756,2),""),"")</f>
        <v/>
      </c>
      <c r="AB412" s="54" t="str">
        <f aca="false">IF(AND(W412=1,ISNUMBER(AA412)),L412/(L412+AA412),"")</f>
        <v/>
      </c>
    </row>
    <row r="413" customFormat="false" ht="15" hidden="false" customHeight="true" outlineLevel="0" collapsed="false">
      <c r="A413" s="1" t="s">
        <v>274</v>
      </c>
      <c r="B413" s="46" t="n">
        <v>45861</v>
      </c>
      <c r="C413" s="46" t="n">
        <v>45897</v>
      </c>
      <c r="D413" s="47" t="n">
        <v>25260</v>
      </c>
      <c r="E413" s="47" t="n">
        <v>25361</v>
      </c>
      <c r="F413" s="47" t="n">
        <v>25211.5</v>
      </c>
      <c r="G413" s="47" t="n">
        <v>25354.2</v>
      </c>
      <c r="H413" s="47" t="n">
        <v>25358.7</v>
      </c>
      <c r="I413" s="47" t="n">
        <v>25354.2</v>
      </c>
      <c r="J413" s="48" t="n">
        <v>8421</v>
      </c>
      <c r="K413" s="47" t="n">
        <v>159781.49</v>
      </c>
      <c r="L413" s="48" t="n">
        <v>5544075</v>
      </c>
      <c r="M413" s="48" t="n">
        <v>206175</v>
      </c>
      <c r="N413" s="47" t="n">
        <v>25219.9</v>
      </c>
      <c r="O413" s="47" t="n">
        <f aca="false">IF(AND(ISNUMBER(G413),ISNUMBER(N413)),G413-N413,"")</f>
        <v>134.299999999999</v>
      </c>
      <c r="P413" s="49" t="n">
        <f aca="false">IF(ISNUMBER(O413),O413/N413,"")</f>
        <v>0.00532515989357608</v>
      </c>
      <c r="Q413" s="50" t="n">
        <f aca="false">C413-B413</f>
        <v>36</v>
      </c>
      <c r="R413" s="51" t="n">
        <f aca="false">IF(AND(C413=C412,ISNUMBER(G413),ISNUMBER(G412)),(G413/G412-1)*100,"")</f>
        <v>0.61589745624826</v>
      </c>
      <c r="S413" s="51" t="n">
        <f aca="false">IF(AND(C413=C412,ISNUMBER(L413),ISNUMBER(L412)),(L413/L412-1)*100,"")</f>
        <v>3.86247400663182</v>
      </c>
      <c r="T413" s="51" t="n">
        <f aca="false">IF(AND(C413=C412,ISNUMBER(G413),ISNUMBER(G412)),G413-G412,"")</f>
        <v>155.200000000001</v>
      </c>
      <c r="U413" s="1" t="str">
        <f aca="false">IF(OR(NOT(ISNUMBER(R413)),NOT(ISNUMBER(S413))),"Not classified",IF(AND(R413&gt;0,S413&gt;0),"Long buildup (interpretation)",IF(AND(R413&lt;0,S413&gt;0),"Short buildup (interpretation)",IF(AND(R413&gt;0,S413&lt;0),"Short covering (interpretation)",IF(AND(R413&lt;0,S413&lt;0),"Long unwinding (interpretation)","Neutral")))))</f>
        <v>Long buildup (interpretation)</v>
      </c>
      <c r="V413" s="52" t="str">
        <f aca="false">TEXT(B413,"yyyy-mm")</f>
        <v>2025-07</v>
      </c>
      <c r="W413" s="52" t="n">
        <f aca="false">1+COUNTIFS($B$2:$B$756,B413,$C$2:$C$756,"&lt;"&amp;C413)</f>
        <v>2</v>
      </c>
      <c r="X413" s="53" t="n">
        <f aca="false">IF(AND(ISNUMBER(P413),Q413&gt;0),P413*365/Q413,"")</f>
        <v>0.0539912044765352</v>
      </c>
      <c r="Y413" s="42" t="n">
        <f aca="false">IF(AND(C414=C413,ISNUMBER(R414)),R414,"")</f>
        <v>-0.627903858137902</v>
      </c>
      <c r="Z413" s="52" t="n">
        <f aca="false">IF(AND(W413=1,Q413&gt;Basis_Analysis!$B$3,ISNUMBER(Y413)),1,0)</f>
        <v>0</v>
      </c>
      <c r="AA413" s="43" t="str">
        <f aca="false">IF(W413=1,IF(SUMIFS($L$2:$L$756,$B$2:$B$756,B413,$W$2:$W$756,2)&gt;0,SUMIFS($L$2:$L$756,$B$2:$B$756,B413,$W$2:$W$756,2),""),"")</f>
        <v/>
      </c>
      <c r="AB413" s="54" t="str">
        <f aca="false">IF(AND(W413=1,ISNUMBER(AA413)),L413/(L413+AA413),"")</f>
        <v/>
      </c>
    </row>
    <row r="414" customFormat="false" ht="15" hidden="false" customHeight="true" outlineLevel="0" collapsed="false">
      <c r="A414" s="1" t="s">
        <v>274</v>
      </c>
      <c r="B414" s="46" t="n">
        <v>45862</v>
      </c>
      <c r="C414" s="46" t="n">
        <v>45897</v>
      </c>
      <c r="D414" s="47" t="n">
        <v>25358.7</v>
      </c>
      <c r="E414" s="47" t="n">
        <v>25369.4</v>
      </c>
      <c r="F414" s="47" t="n">
        <v>25150</v>
      </c>
      <c r="G414" s="47" t="n">
        <v>25195</v>
      </c>
      <c r="H414" s="47" t="n">
        <v>25189</v>
      </c>
      <c r="I414" s="47" t="n">
        <v>25195</v>
      </c>
      <c r="J414" s="48" t="n">
        <v>20678</v>
      </c>
      <c r="K414" s="47" t="n">
        <v>391420.31</v>
      </c>
      <c r="L414" s="48" t="n">
        <v>6479175</v>
      </c>
      <c r="M414" s="48" t="n">
        <v>935100</v>
      </c>
      <c r="N414" s="47" t="n">
        <v>25062.1</v>
      </c>
      <c r="O414" s="47" t="n">
        <f aca="false">IF(AND(ISNUMBER(G414),ISNUMBER(N414)),G414-N414,"")</f>
        <v>132.900000000001</v>
      </c>
      <c r="P414" s="49" t="n">
        <f aca="false">IF(ISNUMBER(O414),O414/N414,"")</f>
        <v>0.00530282777580496</v>
      </c>
      <c r="Q414" s="50" t="n">
        <f aca="false">C414-B414</f>
        <v>35</v>
      </c>
      <c r="R414" s="51" t="n">
        <f aca="false">IF(AND(C414=C413,ISNUMBER(G414),ISNUMBER(G413)),(G414/G413-1)*100,"")</f>
        <v>-0.627903858137902</v>
      </c>
      <c r="S414" s="51" t="n">
        <f aca="false">IF(AND(C414=C413,ISNUMBER(L414),ISNUMBER(L413)),(L414/L413-1)*100,"")</f>
        <v>16.8666549424386</v>
      </c>
      <c r="T414" s="51" t="n">
        <f aca="false">IF(AND(C414=C413,ISNUMBER(G414),ISNUMBER(G413)),G414-G413,"")</f>
        <v>-159.200000000001</v>
      </c>
      <c r="U414" s="1" t="str">
        <f aca="false">IF(OR(NOT(ISNUMBER(R414)),NOT(ISNUMBER(S414))),"Not classified",IF(AND(R414&gt;0,S414&gt;0),"Long buildup (interpretation)",IF(AND(R414&lt;0,S414&gt;0),"Short buildup (interpretation)",IF(AND(R414&gt;0,S414&lt;0),"Short covering (interpretation)",IF(AND(R414&lt;0,S414&lt;0),"Long unwinding (interpretation)","Neutral")))))</f>
        <v>Short buildup (interpretation)</v>
      </c>
      <c r="V414" s="52" t="str">
        <f aca="false">TEXT(B414,"yyyy-mm")</f>
        <v>2025-07</v>
      </c>
      <c r="W414" s="52" t="n">
        <f aca="false">1+COUNTIFS($B$2:$B$756,B414,$C$2:$C$756,"&lt;"&amp;C414)</f>
        <v>2</v>
      </c>
      <c r="X414" s="53" t="n">
        <f aca="false">IF(AND(ISNUMBER(P414),Q414&gt;0),P414*365/Q414,"")</f>
        <v>0.0553009182333946</v>
      </c>
      <c r="Y414" s="42" t="n">
        <f aca="false">IF(AND(C415=C414,ISNUMBER(R415)),R415,"")</f>
        <v>-1.00218297281207</v>
      </c>
      <c r="Z414" s="52" t="n">
        <f aca="false">IF(AND(W414=1,Q414&gt;Basis_Analysis!$B$3,ISNUMBER(Y414)),1,0)</f>
        <v>0</v>
      </c>
      <c r="AA414" s="43" t="str">
        <f aca="false">IF(W414=1,IF(SUMIFS($L$2:$L$756,$B$2:$B$756,B414,$W$2:$W$756,2)&gt;0,SUMIFS($L$2:$L$756,$B$2:$B$756,B414,$W$2:$W$756,2),""),"")</f>
        <v/>
      </c>
      <c r="AB414" s="54" t="str">
        <f aca="false">IF(AND(W414=1,ISNUMBER(AA414)),L414/(L414+AA414),"")</f>
        <v/>
      </c>
    </row>
    <row r="415" customFormat="false" ht="15" hidden="false" customHeight="true" outlineLevel="0" collapsed="false">
      <c r="A415" s="1" t="s">
        <v>274</v>
      </c>
      <c r="B415" s="46" t="n">
        <v>45863</v>
      </c>
      <c r="C415" s="46" t="n">
        <v>45897</v>
      </c>
      <c r="D415" s="47" t="n">
        <v>25126</v>
      </c>
      <c r="E415" s="47" t="n">
        <v>25126.2</v>
      </c>
      <c r="F415" s="47" t="n">
        <v>24928.8</v>
      </c>
      <c r="G415" s="47" t="n">
        <v>24942.5</v>
      </c>
      <c r="H415" s="47" t="n">
        <v>24938.9</v>
      </c>
      <c r="I415" s="47" t="n">
        <v>24942.5</v>
      </c>
      <c r="J415" s="48" t="n">
        <v>25340</v>
      </c>
      <c r="K415" s="47" t="n">
        <v>475010.44</v>
      </c>
      <c r="L415" s="48" t="n">
        <v>7389450</v>
      </c>
      <c r="M415" s="48" t="n">
        <v>910275</v>
      </c>
      <c r="N415" s="47" t="n">
        <v>24837</v>
      </c>
      <c r="O415" s="47" t="n">
        <f aca="false">IF(AND(ISNUMBER(G415),ISNUMBER(N415)),G415-N415,"")</f>
        <v>105.5</v>
      </c>
      <c r="P415" s="49" t="n">
        <f aca="false">IF(ISNUMBER(O415),O415/N415,"")</f>
        <v>0.0042476949712123</v>
      </c>
      <c r="Q415" s="50" t="n">
        <f aca="false">C415-B415</f>
        <v>34</v>
      </c>
      <c r="R415" s="51" t="n">
        <f aca="false">IF(AND(C415=C414,ISNUMBER(G415),ISNUMBER(G414)),(G415/G414-1)*100,"")</f>
        <v>-1.00218297281207</v>
      </c>
      <c r="S415" s="51" t="n">
        <f aca="false">IF(AND(C415=C414,ISNUMBER(L415),ISNUMBER(L414)),(L415/L414-1)*100,"")</f>
        <v>14.0492423803956</v>
      </c>
      <c r="T415" s="51" t="n">
        <f aca="false">IF(AND(C415=C414,ISNUMBER(G415),ISNUMBER(G414)),G415-G414,"")</f>
        <v>-252.5</v>
      </c>
      <c r="U415" s="1" t="str">
        <f aca="false">IF(OR(NOT(ISNUMBER(R415)),NOT(ISNUMBER(S415))),"Not classified",IF(AND(R415&gt;0,S415&gt;0),"Long buildup (interpretation)",IF(AND(R415&lt;0,S415&gt;0),"Short buildup (interpretation)",IF(AND(R415&gt;0,S415&lt;0),"Short covering (interpretation)",IF(AND(R415&lt;0,S415&lt;0),"Long unwinding (interpretation)","Neutral")))))</f>
        <v>Short buildup (interpretation)</v>
      </c>
      <c r="V415" s="52" t="str">
        <f aca="false">TEXT(B415,"yyyy-mm")</f>
        <v>2025-07</v>
      </c>
      <c r="W415" s="52" t="n">
        <f aca="false">1+COUNTIFS($B$2:$B$756,B415,$C$2:$C$756,"&lt;"&amp;C415)</f>
        <v>2</v>
      </c>
      <c r="X415" s="53" t="n">
        <f aca="false">IF(AND(ISNUMBER(P415),Q415&gt;0),P415*365/Q415,"")</f>
        <v>0.0456002548380144</v>
      </c>
      <c r="Y415" s="42" t="n">
        <f aca="false">IF(AND(C416=C415,ISNUMBER(R416)),R416,"")</f>
        <v>-0.539240252580941</v>
      </c>
      <c r="Z415" s="52" t="n">
        <f aca="false">IF(AND(W415=1,Q415&gt;Basis_Analysis!$B$3,ISNUMBER(Y415)),1,0)</f>
        <v>0</v>
      </c>
      <c r="AA415" s="43" t="str">
        <f aca="false">IF(W415=1,IF(SUMIFS($L$2:$L$756,$B$2:$B$756,B415,$W$2:$W$756,2)&gt;0,SUMIFS($L$2:$L$756,$B$2:$B$756,B415,$W$2:$W$756,2),""),"")</f>
        <v/>
      </c>
      <c r="AB415" s="54" t="str">
        <f aca="false">IF(AND(W415=1,ISNUMBER(AA415)),L415/(L415+AA415),"")</f>
        <v/>
      </c>
    </row>
    <row r="416" customFormat="false" ht="15" hidden="false" customHeight="true" outlineLevel="0" collapsed="false">
      <c r="A416" s="1" t="s">
        <v>274</v>
      </c>
      <c r="B416" s="46" t="n">
        <v>45866</v>
      </c>
      <c r="C416" s="46" t="n">
        <v>45897</v>
      </c>
      <c r="D416" s="47" t="n">
        <v>24938.9</v>
      </c>
      <c r="E416" s="47" t="n">
        <v>25023</v>
      </c>
      <c r="F416" s="47" t="n">
        <v>24770</v>
      </c>
      <c r="G416" s="47" t="n">
        <v>24808</v>
      </c>
      <c r="H416" s="47" t="n">
        <v>24811.8</v>
      </c>
      <c r="I416" s="47" t="n">
        <v>24808</v>
      </c>
      <c r="J416" s="48" t="n">
        <v>35725</v>
      </c>
      <c r="K416" s="47" t="n">
        <v>666250.17</v>
      </c>
      <c r="L416" s="48" t="n">
        <v>8551725</v>
      </c>
      <c r="M416" s="48" t="n">
        <v>1162275</v>
      </c>
      <c r="N416" s="47" t="n">
        <v>24680.9</v>
      </c>
      <c r="O416" s="47" t="n">
        <f aca="false">IF(AND(ISNUMBER(G416),ISNUMBER(N416)),G416-N416,"")</f>
        <v>127.099999999999</v>
      </c>
      <c r="P416" s="49" t="n">
        <f aca="false">IF(ISNUMBER(O416),O416/N416,"")</f>
        <v>0.00514973116863642</v>
      </c>
      <c r="Q416" s="50" t="n">
        <f aca="false">C416-B416</f>
        <v>31</v>
      </c>
      <c r="R416" s="51" t="n">
        <f aca="false">IF(AND(C416=C415,ISNUMBER(G416),ISNUMBER(G415)),(G416/G415-1)*100,"")</f>
        <v>-0.539240252580941</v>
      </c>
      <c r="S416" s="51" t="n">
        <f aca="false">IF(AND(C416=C415,ISNUMBER(L416),ISNUMBER(L415)),(L416/L415-1)*100,"")</f>
        <v>15.7288431480015</v>
      </c>
      <c r="T416" s="51" t="n">
        <f aca="false">IF(AND(C416=C415,ISNUMBER(G416),ISNUMBER(G415)),G416-G415,"")</f>
        <v>-134.5</v>
      </c>
      <c r="U416" s="1" t="str">
        <f aca="false">IF(OR(NOT(ISNUMBER(R416)),NOT(ISNUMBER(S416))),"Not classified",IF(AND(R416&gt;0,S416&gt;0),"Long buildup (interpretation)",IF(AND(R416&lt;0,S416&gt;0),"Short buildup (interpretation)",IF(AND(R416&gt;0,S416&lt;0),"Short covering (interpretation)",IF(AND(R416&lt;0,S416&lt;0),"Long unwinding (interpretation)","Neutral")))))</f>
        <v>Short buildup (interpretation)</v>
      </c>
      <c r="V416" s="52" t="str">
        <f aca="false">TEXT(B416,"yyyy-mm")</f>
        <v>2025-07</v>
      </c>
      <c r="W416" s="52" t="n">
        <f aca="false">1+COUNTIFS($B$2:$B$756,B416,$C$2:$C$756,"&lt;"&amp;C416)</f>
        <v>2</v>
      </c>
      <c r="X416" s="53" t="n">
        <f aca="false">IF(AND(ISNUMBER(P416),Q416&gt;0),P416*365/Q416,"")</f>
        <v>0.0606339315016868</v>
      </c>
      <c r="Y416" s="42" t="n">
        <f aca="false">IF(AND(C417=C416,ISNUMBER(R417)),R417,"")</f>
        <v>0.510722347629811</v>
      </c>
      <c r="Z416" s="52" t="n">
        <f aca="false">IF(AND(W416=1,Q416&gt;Basis_Analysis!$B$3,ISNUMBER(Y416)),1,0)</f>
        <v>0</v>
      </c>
      <c r="AA416" s="43" t="str">
        <f aca="false">IF(W416=1,IF(SUMIFS($L$2:$L$756,$B$2:$B$756,B416,$W$2:$W$756,2)&gt;0,SUMIFS($L$2:$L$756,$B$2:$B$756,B416,$W$2:$W$756,2),""),"")</f>
        <v/>
      </c>
      <c r="AB416" s="54" t="str">
        <f aca="false">IF(AND(W416=1,ISNUMBER(AA416)),L416/(L416+AA416),"")</f>
        <v/>
      </c>
    </row>
    <row r="417" customFormat="false" ht="15" hidden="false" customHeight="true" outlineLevel="0" collapsed="false">
      <c r="A417" s="1" t="s">
        <v>274</v>
      </c>
      <c r="B417" s="46" t="n">
        <v>45867</v>
      </c>
      <c r="C417" s="46" t="n">
        <v>45897</v>
      </c>
      <c r="D417" s="47" t="n">
        <v>24757.1</v>
      </c>
      <c r="E417" s="47" t="n">
        <v>24952.2</v>
      </c>
      <c r="F417" s="47" t="n">
        <v>24735</v>
      </c>
      <c r="G417" s="47" t="n">
        <v>24934.7</v>
      </c>
      <c r="H417" s="47" t="n">
        <v>24951.6</v>
      </c>
      <c r="I417" s="47" t="n">
        <v>24934.7</v>
      </c>
      <c r="J417" s="48" t="n">
        <v>63915</v>
      </c>
      <c r="K417" s="47" t="n">
        <v>1191281.36</v>
      </c>
      <c r="L417" s="48" t="n">
        <v>10252125</v>
      </c>
      <c r="M417" s="48" t="n">
        <v>1700400</v>
      </c>
      <c r="N417" s="47" t="n">
        <v>24821.1</v>
      </c>
      <c r="O417" s="47" t="n">
        <f aca="false">IF(AND(ISNUMBER(G417),ISNUMBER(N417)),G417-N417,"")</f>
        <v>113.600000000002</v>
      </c>
      <c r="P417" s="49" t="n">
        <f aca="false">IF(ISNUMBER(O417),O417/N417,"")</f>
        <v>0.00457675123181496</v>
      </c>
      <c r="Q417" s="50" t="n">
        <f aca="false">C417-B417</f>
        <v>30</v>
      </c>
      <c r="R417" s="51" t="n">
        <f aca="false">IF(AND(C417=C416,ISNUMBER(G417),ISNUMBER(G416)),(G417/G416-1)*100,"")</f>
        <v>0.510722347629811</v>
      </c>
      <c r="S417" s="51" t="n">
        <f aca="false">IF(AND(C417=C416,ISNUMBER(L417),ISNUMBER(L416)),(L417/L416-1)*100,"")</f>
        <v>19.8837076730133</v>
      </c>
      <c r="T417" s="51" t="n">
        <f aca="false">IF(AND(C417=C416,ISNUMBER(G417),ISNUMBER(G416)),G417-G416,"")</f>
        <v>126.700000000001</v>
      </c>
      <c r="U417" s="1" t="str">
        <f aca="false">IF(OR(NOT(ISNUMBER(R417)),NOT(ISNUMBER(S417))),"Not classified",IF(AND(R417&gt;0,S417&gt;0),"Long buildup (interpretation)",IF(AND(R417&lt;0,S417&gt;0),"Short buildup (interpretation)",IF(AND(R417&gt;0,S417&lt;0),"Short covering (interpretation)",IF(AND(R417&lt;0,S417&lt;0),"Long unwinding (interpretation)","Neutral")))))</f>
        <v>Long buildup (interpretation)</v>
      </c>
      <c r="V417" s="52" t="str">
        <f aca="false">TEXT(B417,"yyyy-mm")</f>
        <v>2025-07</v>
      </c>
      <c r="W417" s="52" t="n">
        <f aca="false">1+COUNTIFS($B$2:$B$756,B417,$C$2:$C$756,"&lt;"&amp;C417)</f>
        <v>2</v>
      </c>
      <c r="X417" s="53" t="n">
        <f aca="false">IF(AND(ISNUMBER(P417),Q417&gt;0),P417*365/Q417,"")</f>
        <v>0.0556838066537486</v>
      </c>
      <c r="Y417" s="42" t="n">
        <f aca="false">IF(AND(C418=C417,ISNUMBER(R418)),R418,"")</f>
        <v>0.0978555988241148</v>
      </c>
      <c r="Z417" s="52" t="n">
        <f aca="false">IF(AND(W417=1,Q417&gt;Basis_Analysis!$B$3,ISNUMBER(Y417)),1,0)</f>
        <v>0</v>
      </c>
      <c r="AA417" s="43" t="str">
        <f aca="false">IF(W417=1,IF(SUMIFS($L$2:$L$756,$B$2:$B$756,B417,$W$2:$W$756,2)&gt;0,SUMIFS($L$2:$L$756,$B$2:$B$756,B417,$W$2:$W$756,2),""),"")</f>
        <v/>
      </c>
      <c r="AB417" s="54" t="str">
        <f aca="false">IF(AND(W417=1,ISNUMBER(AA417)),L417/(L417+AA417),"")</f>
        <v/>
      </c>
    </row>
    <row r="418" customFormat="false" ht="15" hidden="false" customHeight="true" outlineLevel="0" collapsed="false">
      <c r="A418" s="1" t="s">
        <v>274</v>
      </c>
      <c r="B418" s="46" t="n">
        <v>45868</v>
      </c>
      <c r="C418" s="46" t="n">
        <v>45897</v>
      </c>
      <c r="D418" s="47" t="n">
        <v>24972</v>
      </c>
      <c r="E418" s="47" t="n">
        <v>25002</v>
      </c>
      <c r="F418" s="47" t="n">
        <v>24880.8</v>
      </c>
      <c r="G418" s="47" t="n">
        <v>24959.1</v>
      </c>
      <c r="H418" s="47" t="n">
        <v>24952</v>
      </c>
      <c r="I418" s="47" t="n">
        <v>24959.1</v>
      </c>
      <c r="J418" s="48" t="n">
        <v>61818</v>
      </c>
      <c r="K418" s="47" t="n">
        <v>1157013.19</v>
      </c>
      <c r="L418" s="48" t="n">
        <v>12571575</v>
      </c>
      <c r="M418" s="48" t="n">
        <v>2319450</v>
      </c>
      <c r="N418" s="47" t="n">
        <v>24855.05</v>
      </c>
      <c r="O418" s="47" t="n">
        <f aca="false">IF(AND(ISNUMBER(G418),ISNUMBER(N418)),G418-N418,"")</f>
        <v>104.049999999999</v>
      </c>
      <c r="P418" s="49" t="n">
        <f aca="false">IF(ISNUMBER(O418),O418/N418,"")</f>
        <v>0.00418627200508546</v>
      </c>
      <c r="Q418" s="50" t="n">
        <f aca="false">C418-B418</f>
        <v>29</v>
      </c>
      <c r="R418" s="51" t="n">
        <f aca="false">IF(AND(C418=C417,ISNUMBER(G418),ISNUMBER(G417)),(G418/G417-1)*100,"")</f>
        <v>0.0978555988241148</v>
      </c>
      <c r="S418" s="51" t="n">
        <f aca="false">IF(AND(C418=C417,ISNUMBER(L418),ISNUMBER(L417)),(L418/L417-1)*100,"")</f>
        <v>22.6240901276565</v>
      </c>
      <c r="T418" s="51" t="n">
        <f aca="false">IF(AND(C418=C417,ISNUMBER(G418),ISNUMBER(G417)),G418-G417,"")</f>
        <v>24.3999999999978</v>
      </c>
      <c r="U418" s="1" t="str">
        <f aca="false">IF(OR(NOT(ISNUMBER(R418)),NOT(ISNUMBER(S418))),"Not classified",IF(AND(R418&gt;0,S418&gt;0),"Long buildup (interpretation)",IF(AND(R418&lt;0,S418&gt;0),"Short buildup (interpretation)",IF(AND(R418&gt;0,S418&lt;0),"Short covering (interpretation)",IF(AND(R418&lt;0,S418&lt;0),"Long unwinding (interpretation)","Neutral")))))</f>
        <v>Long buildup (interpretation)</v>
      </c>
      <c r="V418" s="52" t="str">
        <f aca="false">TEXT(B418,"yyyy-mm")</f>
        <v>2025-07</v>
      </c>
      <c r="W418" s="52" t="n">
        <f aca="false">1+COUNTIFS($B$2:$B$756,B418,$C$2:$C$756,"&lt;"&amp;C418)</f>
        <v>2</v>
      </c>
      <c r="X418" s="53" t="n">
        <f aca="false">IF(AND(ISNUMBER(P418),Q418&gt;0),P418*365/Q418,"")</f>
        <v>0.052689285581248</v>
      </c>
      <c r="Y418" s="42" t="n">
        <f aca="false">IF(AND(C419=C418,ISNUMBER(R419)),R419,"")</f>
        <v>-0.350573538308674</v>
      </c>
      <c r="Z418" s="52" t="n">
        <f aca="false">IF(AND(W418=1,Q418&gt;Basis_Analysis!$B$3,ISNUMBER(Y418)),1,0)</f>
        <v>0</v>
      </c>
      <c r="AA418" s="43" t="str">
        <f aca="false">IF(W418=1,IF(SUMIFS($L$2:$L$756,$B$2:$B$756,B418,$W$2:$W$756,2)&gt;0,SUMIFS($L$2:$L$756,$B$2:$B$756,B418,$W$2:$W$756,2),""),"")</f>
        <v/>
      </c>
      <c r="AB418" s="54" t="str">
        <f aca="false">IF(AND(W418=1,ISNUMBER(AA418)),L418/(L418+AA418),"")</f>
        <v/>
      </c>
    </row>
    <row r="419" customFormat="false" ht="15" hidden="false" customHeight="true" outlineLevel="0" collapsed="false">
      <c r="A419" s="1" t="s">
        <v>274</v>
      </c>
      <c r="B419" s="46" t="n">
        <v>45869</v>
      </c>
      <c r="C419" s="46" t="n">
        <v>45897</v>
      </c>
      <c r="D419" s="47" t="n">
        <v>24800</v>
      </c>
      <c r="E419" s="47" t="n">
        <v>25051.6</v>
      </c>
      <c r="F419" s="47" t="n">
        <v>24723.2</v>
      </c>
      <c r="G419" s="47" t="n">
        <v>24871.6</v>
      </c>
      <c r="H419" s="47" t="n">
        <v>24868.5</v>
      </c>
      <c r="I419" s="47" t="n">
        <v>24871.6</v>
      </c>
      <c r="J419" s="48" t="n">
        <v>128102</v>
      </c>
      <c r="K419" s="47" t="n">
        <v>2390026.78</v>
      </c>
      <c r="L419" s="48" t="n">
        <v>15590625</v>
      </c>
      <c r="M419" s="48" t="n">
        <v>3019050</v>
      </c>
      <c r="N419" s="47" t="n">
        <v>24768.35</v>
      </c>
      <c r="O419" s="47" t="n">
        <f aca="false">IF(AND(ISNUMBER(G419),ISNUMBER(N419)),G419-N419,"")</f>
        <v>103.25</v>
      </c>
      <c r="P419" s="49" t="n">
        <f aca="false">IF(ISNUMBER(O419),O419/N419,"")</f>
        <v>0.00416862649308493</v>
      </c>
      <c r="Q419" s="50" t="n">
        <f aca="false">C419-B419</f>
        <v>28</v>
      </c>
      <c r="R419" s="51" t="n">
        <f aca="false">IF(AND(C419=C418,ISNUMBER(G419),ISNUMBER(G418)),(G419/G418-1)*100,"")</f>
        <v>-0.350573538308674</v>
      </c>
      <c r="S419" s="51" t="n">
        <f aca="false">IF(AND(C419=C418,ISNUMBER(L419),ISNUMBER(L418)),(L419/L418-1)*100,"")</f>
        <v>24.0148907356477</v>
      </c>
      <c r="T419" s="51" t="n">
        <f aca="false">IF(AND(C419=C418,ISNUMBER(G419),ISNUMBER(G418)),G419-G418,"")</f>
        <v>-87.5</v>
      </c>
      <c r="U419" s="1" t="str">
        <f aca="false">IF(OR(NOT(ISNUMBER(R419)),NOT(ISNUMBER(S419))),"Not classified",IF(AND(R419&gt;0,S419&gt;0),"Long buildup (interpretation)",IF(AND(R419&lt;0,S419&gt;0),"Short buildup (interpretation)",IF(AND(R419&gt;0,S419&lt;0),"Short covering (interpretation)",IF(AND(R419&lt;0,S419&lt;0),"Long unwinding (interpretation)","Neutral")))))</f>
        <v>Short buildup (interpretation)</v>
      </c>
      <c r="V419" s="52" t="str">
        <f aca="false">TEXT(B419,"yyyy-mm")</f>
        <v>2025-07</v>
      </c>
      <c r="W419" s="52" t="n">
        <f aca="false">1+COUNTIFS($B$2:$B$756,B419,$C$2:$C$756,"&lt;"&amp;C419)</f>
        <v>2</v>
      </c>
      <c r="X419" s="53" t="n">
        <f aca="false">IF(AND(ISNUMBER(P419),Q419&gt;0),P419*365/Q419,"")</f>
        <v>0.0543410239277142</v>
      </c>
      <c r="Y419" s="42" t="n">
        <f aca="false">IF(AND(C420=C419,ISNUMBER(R420)),R420,"")</f>
        <v>-0.982646874346638</v>
      </c>
      <c r="Z419" s="52" t="n">
        <f aca="false">IF(AND(W419=1,Q419&gt;Basis_Analysis!$B$3,ISNUMBER(Y419)),1,0)</f>
        <v>0</v>
      </c>
      <c r="AA419" s="43" t="str">
        <f aca="false">IF(W419=1,IF(SUMIFS($L$2:$L$756,$B$2:$B$756,B419,$W$2:$W$756,2)&gt;0,SUMIFS($L$2:$L$756,$B$2:$B$756,B419,$W$2:$W$756,2),""),"")</f>
        <v/>
      </c>
      <c r="AB419" s="54" t="str">
        <f aca="false">IF(AND(W419=1,ISNUMBER(AA419)),L419/(L419+AA419),"")</f>
        <v/>
      </c>
    </row>
    <row r="420" customFormat="false" ht="15" hidden="false" customHeight="true" outlineLevel="0" collapsed="false">
      <c r="A420" s="1" t="s">
        <v>274</v>
      </c>
      <c r="B420" s="46" t="n">
        <v>45870</v>
      </c>
      <c r="C420" s="46" t="n">
        <v>45897</v>
      </c>
      <c r="D420" s="47" t="n">
        <v>24800</v>
      </c>
      <c r="E420" s="47" t="n">
        <v>24854.9</v>
      </c>
      <c r="F420" s="47" t="n">
        <v>24601.4</v>
      </c>
      <c r="G420" s="47" t="n">
        <v>24627.2</v>
      </c>
      <c r="H420" s="47" t="n">
        <v>24618</v>
      </c>
      <c r="I420" s="47" t="n">
        <v>24627.2</v>
      </c>
      <c r="J420" s="48" t="n">
        <v>83419</v>
      </c>
      <c r="K420" s="47" t="n">
        <v>1547289.51</v>
      </c>
      <c r="L420" s="48" t="n">
        <v>16890450</v>
      </c>
      <c r="M420" s="48" t="n">
        <v>1299825</v>
      </c>
      <c r="N420" s="47" t="n">
        <v>24565.35</v>
      </c>
      <c r="O420" s="47" t="n">
        <f aca="false">IF(AND(ISNUMBER(G420),ISNUMBER(N420)),G420-N420,"")</f>
        <v>61.8500000000022</v>
      </c>
      <c r="P420" s="49" t="n">
        <f aca="false">IF(ISNUMBER(O420),O420/N420,"")</f>
        <v>0.00251777401909609</v>
      </c>
      <c r="Q420" s="50" t="n">
        <f aca="false">C420-B420</f>
        <v>27</v>
      </c>
      <c r="R420" s="51" t="n">
        <f aca="false">IF(AND(C420=C419,ISNUMBER(G420),ISNUMBER(G419)),(G420/G419-1)*100,"")</f>
        <v>-0.982646874346638</v>
      </c>
      <c r="S420" s="51" t="n">
        <f aca="false">IF(AND(C420=C419,ISNUMBER(L420),ISNUMBER(L419)),(L420/L419-1)*100,"")</f>
        <v>8.33722188815393</v>
      </c>
      <c r="T420" s="51" t="n">
        <f aca="false">IF(AND(C420=C419,ISNUMBER(G420),ISNUMBER(G419)),G420-G419,"")</f>
        <v>-244.399999999998</v>
      </c>
      <c r="U420" s="1" t="str">
        <f aca="false">IF(OR(NOT(ISNUMBER(R420)),NOT(ISNUMBER(S420))),"Not classified",IF(AND(R420&gt;0,S420&gt;0),"Long buildup (interpretation)",IF(AND(R420&lt;0,S420&gt;0),"Short buildup (interpretation)",IF(AND(R420&gt;0,S420&lt;0),"Short covering (interpretation)",IF(AND(R420&lt;0,S420&lt;0),"Long unwinding (interpretation)","Neutral")))))</f>
        <v>Short buildup (interpretation)</v>
      </c>
      <c r="V420" s="52" t="str">
        <f aca="false">TEXT(B420,"yyyy-mm")</f>
        <v>2025-08</v>
      </c>
      <c r="W420" s="52" t="n">
        <f aca="false">1+COUNTIFS($B$2:$B$756,B420,$C$2:$C$756,"&lt;"&amp;C420)</f>
        <v>1</v>
      </c>
      <c r="X420" s="53" t="n">
        <f aca="false">IF(AND(ISNUMBER(P420),Q420&gt;0),P420*365/Q420,"")</f>
        <v>0.0340365747025953</v>
      </c>
      <c r="Y420" s="42" t="n">
        <f aca="false">IF(AND(C421=C420,ISNUMBER(R421)),R421,"")</f>
        <v>0.67364540020789</v>
      </c>
      <c r="Z420" s="52" t="n">
        <f aca="false">IF(AND(W420=1,Q420&gt;Basis_Analysis!$B$3,ISNUMBER(Y420)),1,0)</f>
        <v>1</v>
      </c>
      <c r="AA420" s="43" t="n">
        <f aca="false">IF(W420=1,IF(SUMIFS($L$2:$L$756,$B$2:$B$756,B420,$W$2:$W$756,2)&gt;0,SUMIFS($L$2:$L$756,$B$2:$B$756,B420,$W$2:$W$756,2),""),"")</f>
        <v>913725</v>
      </c>
      <c r="AB420" s="54" t="n">
        <f aca="false">IF(AND(W420=1,ISNUMBER(AA420)),L420/(L420+AA420),"")</f>
        <v>0.948679172160462</v>
      </c>
    </row>
    <row r="421" customFormat="false" ht="15" hidden="false" customHeight="true" outlineLevel="0" collapsed="false">
      <c r="A421" s="1" t="s">
        <v>274</v>
      </c>
      <c r="B421" s="46" t="n">
        <v>45873</v>
      </c>
      <c r="C421" s="46" t="n">
        <v>45897</v>
      </c>
      <c r="D421" s="47" t="n">
        <v>24630</v>
      </c>
      <c r="E421" s="47" t="n">
        <v>24812.9</v>
      </c>
      <c r="F421" s="47" t="n">
        <v>24630</v>
      </c>
      <c r="G421" s="47" t="n">
        <v>24793.1</v>
      </c>
      <c r="H421" s="47" t="n">
        <v>24803</v>
      </c>
      <c r="I421" s="47" t="n">
        <v>24793.1</v>
      </c>
      <c r="J421" s="48" t="n">
        <v>57820</v>
      </c>
      <c r="K421" s="47" t="n">
        <v>1072930.11</v>
      </c>
      <c r="L421" s="48" t="n">
        <v>16496700</v>
      </c>
      <c r="M421" s="48" t="n">
        <v>-393750</v>
      </c>
      <c r="N421" s="47" t="n">
        <v>24722.75</v>
      </c>
      <c r="O421" s="47" t="n">
        <f aca="false">IF(AND(ISNUMBER(G421),ISNUMBER(N421)),G421-N421,"")</f>
        <v>70.3499999999985</v>
      </c>
      <c r="P421" s="49" t="n">
        <f aca="false">IF(ISNUMBER(O421),O421/N421,"")</f>
        <v>0.00284555722967706</v>
      </c>
      <c r="Q421" s="50" t="n">
        <f aca="false">C421-B421</f>
        <v>24</v>
      </c>
      <c r="R421" s="51" t="n">
        <f aca="false">IF(AND(C421=C420,ISNUMBER(G421),ISNUMBER(G420)),(G421/G420-1)*100,"")</f>
        <v>0.67364540020789</v>
      </c>
      <c r="S421" s="51" t="n">
        <f aca="false">IF(AND(C421=C420,ISNUMBER(L421),ISNUMBER(L420)),(L421/L420-1)*100,"")</f>
        <v>-2.33119899114589</v>
      </c>
      <c r="T421" s="51" t="n">
        <f aca="false">IF(AND(C421=C420,ISNUMBER(G421),ISNUMBER(G420)),G421-G420,"")</f>
        <v>165.899999999998</v>
      </c>
      <c r="U421" s="1" t="str">
        <f aca="false">IF(OR(NOT(ISNUMBER(R421)),NOT(ISNUMBER(S421))),"Not classified",IF(AND(R421&gt;0,S421&gt;0),"Long buildup (interpretation)",IF(AND(R421&lt;0,S421&gt;0),"Short buildup (interpretation)",IF(AND(R421&gt;0,S421&lt;0),"Short covering (interpretation)",IF(AND(R421&lt;0,S421&lt;0),"Long unwinding (interpretation)","Neutral")))))</f>
        <v>Short covering (interpretation)</v>
      </c>
      <c r="V421" s="52" t="str">
        <f aca="false">TEXT(B421,"yyyy-mm")</f>
        <v>2025-08</v>
      </c>
      <c r="W421" s="52" t="n">
        <f aca="false">1+COUNTIFS($B$2:$B$756,B421,$C$2:$C$756,"&lt;"&amp;C421)</f>
        <v>1</v>
      </c>
      <c r="X421" s="53" t="n">
        <f aca="false">IF(AND(ISNUMBER(P421),Q421&gt;0),P421*365/Q421,"")</f>
        <v>0.0432761828680053</v>
      </c>
      <c r="Y421" s="42" t="n">
        <f aca="false">IF(AND(C422=C421,ISNUMBER(R422)),R422,"")</f>
        <v>-0.344047335750675</v>
      </c>
      <c r="Z421" s="52" t="n">
        <f aca="false">IF(AND(W421=1,Q421&gt;Basis_Analysis!$B$3,ISNUMBER(Y421)),1,0)</f>
        <v>1</v>
      </c>
      <c r="AA421" s="43" t="n">
        <f aca="false">IF(W421=1,IF(SUMIFS($L$2:$L$756,$B$2:$B$756,B421,$W$2:$W$756,2)&gt;0,SUMIFS($L$2:$L$756,$B$2:$B$756,B421,$W$2:$W$756,2),""),"")</f>
        <v>905475</v>
      </c>
      <c r="AB421" s="54" t="n">
        <f aca="false">IF(AND(W421=1,ISNUMBER(AA421)),L421/(L421+AA421),"")</f>
        <v>0.947967710932685</v>
      </c>
    </row>
    <row r="422" customFormat="false" ht="15" hidden="false" customHeight="true" outlineLevel="0" collapsed="false">
      <c r="A422" s="1" t="s">
        <v>274</v>
      </c>
      <c r="B422" s="46" t="n">
        <v>45874</v>
      </c>
      <c r="C422" s="46" t="n">
        <v>45897</v>
      </c>
      <c r="D422" s="47" t="n">
        <v>24774.9</v>
      </c>
      <c r="E422" s="47" t="n">
        <v>24783.7</v>
      </c>
      <c r="F422" s="47" t="n">
        <v>24650</v>
      </c>
      <c r="G422" s="47" t="n">
        <v>24707.8</v>
      </c>
      <c r="H422" s="47" t="n">
        <v>24716</v>
      </c>
      <c r="I422" s="47" t="n">
        <v>24707.8</v>
      </c>
      <c r="J422" s="48" t="n">
        <v>54138</v>
      </c>
      <c r="K422" s="47" t="n">
        <v>1002835.22</v>
      </c>
      <c r="L422" s="48" t="n">
        <v>16602675</v>
      </c>
      <c r="M422" s="48" t="n">
        <v>105975</v>
      </c>
      <c r="N422" s="47" t="n">
        <v>24649.55</v>
      </c>
      <c r="O422" s="47" t="n">
        <f aca="false">IF(AND(ISNUMBER(G422),ISNUMBER(N422)),G422-N422,"")</f>
        <v>58.25</v>
      </c>
      <c r="P422" s="49" t="n">
        <f aca="false">IF(ISNUMBER(O422),O422/N422,"")</f>
        <v>0.002363126304537</v>
      </c>
      <c r="Q422" s="50" t="n">
        <f aca="false">C422-B422</f>
        <v>23</v>
      </c>
      <c r="R422" s="51" t="n">
        <f aca="false">IF(AND(C422=C421,ISNUMBER(G422),ISNUMBER(G421)),(G422/G421-1)*100,"")</f>
        <v>-0.344047335750675</v>
      </c>
      <c r="S422" s="51" t="n">
        <f aca="false">IF(AND(C422=C421,ISNUMBER(L422),ISNUMBER(L421)),(L422/L421-1)*100,"")</f>
        <v>0.642401207514221</v>
      </c>
      <c r="T422" s="51" t="n">
        <f aca="false">IF(AND(C422=C421,ISNUMBER(G422),ISNUMBER(G421)),G422-G421,"")</f>
        <v>-85.2999999999993</v>
      </c>
      <c r="U422" s="1" t="str">
        <f aca="false">IF(OR(NOT(ISNUMBER(R422)),NOT(ISNUMBER(S422))),"Not classified",IF(AND(R422&gt;0,S422&gt;0),"Long buildup (interpretation)",IF(AND(R422&lt;0,S422&gt;0),"Short buildup (interpretation)",IF(AND(R422&gt;0,S422&lt;0),"Short covering (interpretation)",IF(AND(R422&lt;0,S422&lt;0),"Long unwinding (interpretation)","Neutral")))))</f>
        <v>Short buildup (interpretation)</v>
      </c>
      <c r="V422" s="52" t="str">
        <f aca="false">TEXT(B422,"yyyy-mm")</f>
        <v>2025-08</v>
      </c>
      <c r="W422" s="52" t="n">
        <f aca="false">1+COUNTIFS($B$2:$B$756,B422,$C$2:$C$756,"&lt;"&amp;C422)</f>
        <v>1</v>
      </c>
      <c r="X422" s="53" t="n">
        <f aca="false">IF(AND(ISNUMBER(P422),Q422&gt;0),P422*365/Q422,"")</f>
        <v>0.0375017870067828</v>
      </c>
      <c r="Y422" s="42" t="n">
        <f aca="false">IF(AND(C423=C422,ISNUMBER(R423)),R423,"")</f>
        <v>-0.295048527185737</v>
      </c>
      <c r="Z422" s="52" t="n">
        <f aca="false">IF(AND(W422=1,Q422&gt;Basis_Analysis!$B$3,ISNUMBER(Y422)),1,0)</f>
        <v>1</v>
      </c>
      <c r="AA422" s="43" t="n">
        <f aca="false">IF(W422=1,IF(SUMIFS($L$2:$L$756,$B$2:$B$756,B422,$W$2:$W$756,2)&gt;0,SUMIFS($L$2:$L$756,$B$2:$B$756,B422,$W$2:$W$756,2),""),"")</f>
        <v>908925</v>
      </c>
      <c r="AB422" s="54" t="n">
        <f aca="false">IF(AND(W422=1,ISNUMBER(AA422)),L422/(L422+AA422),"")</f>
        <v>0.948095833618858</v>
      </c>
    </row>
    <row r="423" customFormat="false" ht="15" hidden="false" customHeight="true" outlineLevel="0" collapsed="false">
      <c r="A423" s="1" t="s">
        <v>274</v>
      </c>
      <c r="B423" s="46" t="n">
        <v>45875</v>
      </c>
      <c r="C423" s="46" t="n">
        <v>45897</v>
      </c>
      <c r="D423" s="47" t="n">
        <v>24707.8</v>
      </c>
      <c r="E423" s="47" t="n">
        <v>24738.9</v>
      </c>
      <c r="F423" s="47" t="n">
        <v>24616.6</v>
      </c>
      <c r="G423" s="47" t="n">
        <v>24634.9</v>
      </c>
      <c r="H423" s="47" t="n">
        <v>24628</v>
      </c>
      <c r="I423" s="47" t="n">
        <v>24634.9</v>
      </c>
      <c r="J423" s="48" t="n">
        <v>52800</v>
      </c>
      <c r="K423" s="47" t="n">
        <v>976729.04</v>
      </c>
      <c r="L423" s="48" t="n">
        <v>16681725</v>
      </c>
      <c r="M423" s="48" t="n">
        <v>79050</v>
      </c>
      <c r="N423" s="47" t="n">
        <v>24574.2</v>
      </c>
      <c r="O423" s="47" t="n">
        <f aca="false">IF(AND(ISNUMBER(G423),ISNUMBER(N423)),G423-N423,"")</f>
        <v>60.7000000000007</v>
      </c>
      <c r="P423" s="49" t="n">
        <f aca="false">IF(ISNUMBER(O423),O423/N423,"")</f>
        <v>0.00247007023626408</v>
      </c>
      <c r="Q423" s="50" t="n">
        <f aca="false">C423-B423</f>
        <v>22</v>
      </c>
      <c r="R423" s="51" t="n">
        <f aca="false">IF(AND(C423=C422,ISNUMBER(G423),ISNUMBER(G422)),(G423/G422-1)*100,"")</f>
        <v>-0.295048527185737</v>
      </c>
      <c r="S423" s="51" t="n">
        <f aca="false">IF(AND(C423=C422,ISNUMBER(L423),ISNUMBER(L422)),(L423/L422-1)*100,"")</f>
        <v>0.476128093816208</v>
      </c>
      <c r="T423" s="51" t="n">
        <f aca="false">IF(AND(C423=C422,ISNUMBER(G423),ISNUMBER(G422)),G423-G422,"")</f>
        <v>-72.8999999999978</v>
      </c>
      <c r="U423" s="1" t="str">
        <f aca="false">IF(OR(NOT(ISNUMBER(R423)),NOT(ISNUMBER(S423))),"Not classified",IF(AND(R423&gt;0,S423&gt;0),"Long buildup (interpretation)",IF(AND(R423&lt;0,S423&gt;0),"Short buildup (interpretation)",IF(AND(R423&gt;0,S423&lt;0),"Short covering (interpretation)",IF(AND(R423&lt;0,S423&lt;0),"Long unwinding (interpretation)","Neutral")))))</f>
        <v>Short buildup (interpretation)</v>
      </c>
      <c r="V423" s="52" t="str">
        <f aca="false">TEXT(B423,"yyyy-mm")</f>
        <v>2025-08</v>
      </c>
      <c r="W423" s="52" t="n">
        <f aca="false">1+COUNTIFS($B$2:$B$756,B423,$C$2:$C$756,"&lt;"&amp;C423)</f>
        <v>1</v>
      </c>
      <c r="X423" s="53" t="n">
        <f aca="false">IF(AND(ISNUMBER(P423),Q423&gt;0),P423*365/Q423,"")</f>
        <v>0.0409807107380177</v>
      </c>
      <c r="Y423" s="42" t="n">
        <f aca="false">IF(AND(C424=C423,ISNUMBER(R424)),R424,"")</f>
        <v>0.15628234740146</v>
      </c>
      <c r="Z423" s="52" t="n">
        <f aca="false">IF(AND(W423=1,Q423&gt;Basis_Analysis!$B$3,ISNUMBER(Y423)),1,0)</f>
        <v>1</v>
      </c>
      <c r="AA423" s="43" t="n">
        <f aca="false">IF(W423=1,IF(SUMIFS($L$2:$L$756,$B$2:$B$756,B423,$W$2:$W$756,2)&gt;0,SUMIFS($L$2:$L$756,$B$2:$B$756,B423,$W$2:$W$756,2),""),"")</f>
        <v>928350</v>
      </c>
      <c r="AB423" s="54" t="n">
        <f aca="false">IF(AND(W423=1,ISNUMBER(AA423)),L423/(L423+AA423),"")</f>
        <v>0.947283018385782</v>
      </c>
    </row>
    <row r="424" customFormat="false" ht="15" hidden="false" customHeight="true" outlineLevel="0" collapsed="false">
      <c r="A424" s="1" t="s">
        <v>274</v>
      </c>
      <c r="B424" s="46" t="n">
        <v>45876</v>
      </c>
      <c r="C424" s="46" t="n">
        <v>45897</v>
      </c>
      <c r="D424" s="47" t="n">
        <v>24539.9</v>
      </c>
      <c r="E424" s="47" t="n">
        <v>24721</v>
      </c>
      <c r="F424" s="47" t="n">
        <v>24409</v>
      </c>
      <c r="G424" s="47" t="n">
        <v>24673.4</v>
      </c>
      <c r="H424" s="47" t="n">
        <v>24715</v>
      </c>
      <c r="I424" s="47" t="n">
        <v>24673.4</v>
      </c>
      <c r="J424" s="48" t="n">
        <v>97916</v>
      </c>
      <c r="K424" s="47" t="n">
        <v>1803475.15</v>
      </c>
      <c r="L424" s="48" t="n">
        <v>16752675</v>
      </c>
      <c r="M424" s="48" t="n">
        <v>70950</v>
      </c>
      <c r="N424" s="47" t="n">
        <v>24596.15</v>
      </c>
      <c r="O424" s="47" t="n">
        <f aca="false">IF(AND(ISNUMBER(G424),ISNUMBER(N424)),G424-N424,"")</f>
        <v>77.25</v>
      </c>
      <c r="P424" s="49" t="n">
        <f aca="false">IF(ISNUMBER(O424),O424/N424,"")</f>
        <v>0.00314073544030265</v>
      </c>
      <c r="Q424" s="50" t="n">
        <f aca="false">C424-B424</f>
        <v>21</v>
      </c>
      <c r="R424" s="51" t="n">
        <f aca="false">IF(AND(C424=C423,ISNUMBER(G424),ISNUMBER(G423)),(G424/G423-1)*100,"")</f>
        <v>0.15628234740146</v>
      </c>
      <c r="S424" s="51" t="n">
        <f aca="false">IF(AND(C424=C423,ISNUMBER(L424),ISNUMBER(L423)),(L424/L423-1)*100,"")</f>
        <v>0.425315727240427</v>
      </c>
      <c r="T424" s="51" t="n">
        <f aca="false">IF(AND(C424=C423,ISNUMBER(G424),ISNUMBER(G423)),G424-G423,"")</f>
        <v>38.5</v>
      </c>
      <c r="U424" s="1" t="str">
        <f aca="false">IF(OR(NOT(ISNUMBER(R424)),NOT(ISNUMBER(S424))),"Not classified",IF(AND(R424&gt;0,S424&gt;0),"Long buildup (interpretation)",IF(AND(R424&lt;0,S424&gt;0),"Short buildup (interpretation)",IF(AND(R424&gt;0,S424&lt;0),"Short covering (interpretation)",IF(AND(R424&lt;0,S424&lt;0),"Long unwinding (interpretation)","Neutral")))))</f>
        <v>Long buildup (interpretation)</v>
      </c>
      <c r="V424" s="52" t="str">
        <f aca="false">TEXT(B424,"yyyy-mm")</f>
        <v>2025-08</v>
      </c>
      <c r="W424" s="52" t="n">
        <f aca="false">1+COUNTIFS($B$2:$B$756,B424,$C$2:$C$756,"&lt;"&amp;C424)</f>
        <v>1</v>
      </c>
      <c r="X424" s="53" t="n">
        <f aca="false">IF(AND(ISNUMBER(P424),Q424&gt;0),P424*365/Q424,"")</f>
        <v>0.0545889731290699</v>
      </c>
      <c r="Y424" s="42" t="n">
        <f aca="false">IF(AND(C425=C424,ISNUMBER(R425)),R425,"")</f>
        <v>-0.941499752770203</v>
      </c>
      <c r="Z424" s="52" t="n">
        <f aca="false">IF(AND(W424=1,Q424&gt;Basis_Analysis!$B$3,ISNUMBER(Y424)),1,0)</f>
        <v>1</v>
      </c>
      <c r="AA424" s="43" t="n">
        <f aca="false">IF(W424=1,IF(SUMIFS($L$2:$L$756,$B$2:$B$756,B424,$W$2:$W$756,2)&gt;0,SUMIFS($L$2:$L$756,$B$2:$B$756,B424,$W$2:$W$756,2),""),"")</f>
        <v>965700</v>
      </c>
      <c r="AB424" s="54" t="n">
        <f aca="false">IF(AND(W424=1,ISNUMBER(AA424)),L424/(L424+AA424),"")</f>
        <v>0.945497259201253</v>
      </c>
    </row>
    <row r="425" customFormat="false" ht="15" hidden="false" customHeight="true" outlineLevel="0" collapsed="false">
      <c r="A425" s="1" t="s">
        <v>274</v>
      </c>
      <c r="B425" s="46" t="n">
        <v>45877</v>
      </c>
      <c r="C425" s="46" t="n">
        <v>45897</v>
      </c>
      <c r="D425" s="47" t="n">
        <v>24669</v>
      </c>
      <c r="E425" s="47" t="n">
        <v>24694</v>
      </c>
      <c r="F425" s="47" t="n">
        <v>24413.1</v>
      </c>
      <c r="G425" s="47" t="n">
        <v>24441.1</v>
      </c>
      <c r="H425" s="47" t="n">
        <v>24430</v>
      </c>
      <c r="I425" s="47" t="n">
        <v>24441.1</v>
      </c>
      <c r="J425" s="48" t="n">
        <v>79655</v>
      </c>
      <c r="K425" s="47" t="n">
        <v>1464776.51</v>
      </c>
      <c r="L425" s="48" t="n">
        <v>17244675</v>
      </c>
      <c r="M425" s="48" t="n">
        <v>492000</v>
      </c>
      <c r="N425" s="47" t="n">
        <v>24363.3</v>
      </c>
      <c r="O425" s="47" t="n">
        <f aca="false">IF(AND(ISNUMBER(G425),ISNUMBER(N425)),G425-N425,"")</f>
        <v>77.7999999999993</v>
      </c>
      <c r="P425" s="49" t="n">
        <f aca="false">IF(ISNUMBER(O425),O425/N425,"")</f>
        <v>0.003193327669076</v>
      </c>
      <c r="Q425" s="50" t="n">
        <f aca="false">C425-B425</f>
        <v>20</v>
      </c>
      <c r="R425" s="51" t="n">
        <f aca="false">IF(AND(C425=C424,ISNUMBER(G425),ISNUMBER(G424)),(G425/G424-1)*100,"")</f>
        <v>-0.941499752770203</v>
      </c>
      <c r="S425" s="51" t="n">
        <f aca="false">IF(AND(C425=C424,ISNUMBER(L425),ISNUMBER(L424)),(L425/L424-1)*100,"")</f>
        <v>2.9368444143995</v>
      </c>
      <c r="T425" s="51" t="n">
        <f aca="false">IF(AND(C425=C424,ISNUMBER(G425),ISNUMBER(G424)),G425-G424,"")</f>
        <v>-232.300000000003</v>
      </c>
      <c r="U425" s="1" t="str">
        <f aca="false">IF(OR(NOT(ISNUMBER(R425)),NOT(ISNUMBER(S425))),"Not classified",IF(AND(R425&gt;0,S425&gt;0),"Long buildup (interpretation)",IF(AND(R425&lt;0,S425&gt;0),"Short buildup (interpretation)",IF(AND(R425&gt;0,S425&lt;0),"Short covering (interpretation)",IF(AND(R425&lt;0,S425&lt;0),"Long unwinding (interpretation)","Neutral")))))</f>
        <v>Short buildup (interpretation)</v>
      </c>
      <c r="V425" s="52" t="str">
        <f aca="false">TEXT(B425,"yyyy-mm")</f>
        <v>2025-08</v>
      </c>
      <c r="W425" s="52" t="n">
        <f aca="false">1+COUNTIFS($B$2:$B$756,B425,$C$2:$C$756,"&lt;"&amp;C425)</f>
        <v>1</v>
      </c>
      <c r="X425" s="53" t="n">
        <f aca="false">IF(AND(ISNUMBER(P425),Q425&gt;0),P425*365/Q425,"")</f>
        <v>0.058278229960637</v>
      </c>
      <c r="Y425" s="42" t="n">
        <f aca="false">IF(AND(C426=C425,ISNUMBER(R426)),R426,"")</f>
        <v>0.764286386455604</v>
      </c>
      <c r="Z425" s="52" t="n">
        <f aca="false">IF(AND(W425=1,Q425&gt;Basis_Analysis!$B$3,ISNUMBER(Y425)),1,0)</f>
        <v>1</v>
      </c>
      <c r="AA425" s="43" t="n">
        <f aca="false">IF(W425=1,IF(SUMIFS($L$2:$L$756,$B$2:$B$756,B425,$W$2:$W$756,2)&gt;0,SUMIFS($L$2:$L$756,$B$2:$B$756,B425,$W$2:$W$756,2),""),"")</f>
        <v>1035675</v>
      </c>
      <c r="AB425" s="54" t="n">
        <f aca="false">IF(AND(W425=1,ISNUMBER(AA425)),L425/(L425+AA425),"")</f>
        <v>0.943344903133693</v>
      </c>
    </row>
    <row r="426" customFormat="false" ht="15" hidden="false" customHeight="true" outlineLevel="0" collapsed="false">
      <c r="A426" s="1" t="s">
        <v>274</v>
      </c>
      <c r="B426" s="46" t="n">
        <v>45880</v>
      </c>
      <c r="C426" s="46" t="n">
        <v>45897</v>
      </c>
      <c r="D426" s="47" t="n">
        <v>24455</v>
      </c>
      <c r="E426" s="47" t="n">
        <v>24646.2</v>
      </c>
      <c r="F426" s="47" t="n">
        <v>24409.2</v>
      </c>
      <c r="G426" s="47" t="n">
        <v>24627.9</v>
      </c>
      <c r="H426" s="47" t="n">
        <v>24614</v>
      </c>
      <c r="I426" s="47" t="n">
        <v>24627.9</v>
      </c>
      <c r="J426" s="48" t="n">
        <v>63544</v>
      </c>
      <c r="K426" s="47" t="n">
        <v>1169946.84</v>
      </c>
      <c r="L426" s="48" t="n">
        <v>16920750</v>
      </c>
      <c r="M426" s="48" t="n">
        <v>-323925</v>
      </c>
      <c r="N426" s="47" t="n">
        <v>24585.05</v>
      </c>
      <c r="O426" s="47" t="n">
        <f aca="false">IF(AND(ISNUMBER(G426),ISNUMBER(N426)),G426-N426,"")</f>
        <v>42.8500000000022</v>
      </c>
      <c r="P426" s="49" t="n">
        <f aca="false">IF(ISNUMBER(O426),O426/N426,"")</f>
        <v>0.00174292913782979</v>
      </c>
      <c r="Q426" s="50" t="n">
        <f aca="false">C426-B426</f>
        <v>17</v>
      </c>
      <c r="R426" s="51" t="n">
        <f aca="false">IF(AND(C426=C425,ISNUMBER(G426),ISNUMBER(G425)),(G426/G425-1)*100,"")</f>
        <v>0.764286386455604</v>
      </c>
      <c r="S426" s="51" t="n">
        <f aca="false">IF(AND(C426=C425,ISNUMBER(L426),ISNUMBER(L425)),(L426/L425-1)*100,"")</f>
        <v>-1.87840594270405</v>
      </c>
      <c r="T426" s="51" t="n">
        <f aca="false">IF(AND(C426=C425,ISNUMBER(G426),ISNUMBER(G425)),G426-G425,"")</f>
        <v>186.800000000003</v>
      </c>
      <c r="U426" s="1" t="str">
        <f aca="false">IF(OR(NOT(ISNUMBER(R426)),NOT(ISNUMBER(S426))),"Not classified",IF(AND(R426&gt;0,S426&gt;0),"Long buildup (interpretation)",IF(AND(R426&lt;0,S426&gt;0),"Short buildup (interpretation)",IF(AND(R426&gt;0,S426&lt;0),"Short covering (interpretation)",IF(AND(R426&lt;0,S426&lt;0),"Long unwinding (interpretation)","Neutral")))))</f>
        <v>Short covering (interpretation)</v>
      </c>
      <c r="V426" s="52" t="str">
        <f aca="false">TEXT(B426,"yyyy-mm")</f>
        <v>2025-08</v>
      </c>
      <c r="W426" s="52" t="n">
        <f aca="false">1+COUNTIFS($B$2:$B$756,B426,$C$2:$C$756,"&lt;"&amp;C426)</f>
        <v>1</v>
      </c>
      <c r="X426" s="53" t="n">
        <f aca="false">IF(AND(ISNUMBER(P426),Q426&gt;0),P426*365/Q426,"")</f>
        <v>0.0374217138416395</v>
      </c>
      <c r="Y426" s="42" t="n">
        <f aca="false">IF(AND(C427=C426,ISNUMBER(R427)),R427,"")</f>
        <v>-0.296411793128926</v>
      </c>
      <c r="Z426" s="52" t="n">
        <f aca="false">IF(AND(W426=1,Q426&gt;Basis_Analysis!$B$3,ISNUMBER(Y426)),1,0)</f>
        <v>1</v>
      </c>
      <c r="AA426" s="43" t="n">
        <f aca="false">IF(W426=1,IF(SUMIFS($L$2:$L$756,$B$2:$B$756,B426,$W$2:$W$756,2)&gt;0,SUMIFS($L$2:$L$756,$B$2:$B$756,B426,$W$2:$W$756,2),""),"")</f>
        <v>1043925</v>
      </c>
      <c r="AB426" s="54" t="n">
        <f aca="false">IF(AND(W426=1,ISNUMBER(AA426)),L426/(L426+AA426),"")</f>
        <v>0.941890126039018</v>
      </c>
    </row>
    <row r="427" customFormat="false" ht="15" hidden="false" customHeight="true" outlineLevel="0" collapsed="false">
      <c r="A427" s="1" t="s">
        <v>274</v>
      </c>
      <c r="B427" s="46" t="n">
        <v>45881</v>
      </c>
      <c r="C427" s="46" t="n">
        <v>45897</v>
      </c>
      <c r="D427" s="47" t="n">
        <v>24605.1</v>
      </c>
      <c r="E427" s="47" t="n">
        <v>24764</v>
      </c>
      <c r="F427" s="47" t="n">
        <v>24541.6</v>
      </c>
      <c r="G427" s="47" t="n">
        <v>24554.9</v>
      </c>
      <c r="H427" s="47" t="n">
        <v>24550</v>
      </c>
      <c r="I427" s="47" t="n">
        <v>24554.9</v>
      </c>
      <c r="J427" s="48" t="n">
        <v>83389</v>
      </c>
      <c r="K427" s="47" t="n">
        <v>1541804.77</v>
      </c>
      <c r="L427" s="48" t="n">
        <v>17018250</v>
      </c>
      <c r="M427" s="48" t="n">
        <v>97500</v>
      </c>
      <c r="N427" s="47" t="n">
        <v>24487.4</v>
      </c>
      <c r="O427" s="47" t="n">
        <f aca="false">IF(AND(ISNUMBER(G427),ISNUMBER(N427)),G427-N427,"")</f>
        <v>67.5</v>
      </c>
      <c r="P427" s="49" t="n">
        <f aca="false">IF(ISNUMBER(O427),O427/N427,"")</f>
        <v>0.00275651967950865</v>
      </c>
      <c r="Q427" s="50" t="n">
        <f aca="false">C427-B427</f>
        <v>16</v>
      </c>
      <c r="R427" s="51" t="n">
        <f aca="false">IF(AND(C427=C426,ISNUMBER(G427),ISNUMBER(G426)),(G427/G426-1)*100,"")</f>
        <v>-0.296411793128926</v>
      </c>
      <c r="S427" s="51" t="n">
        <f aca="false">IF(AND(C427=C426,ISNUMBER(L427),ISNUMBER(L426)),(L427/L426-1)*100,"")</f>
        <v>0.576215593280449</v>
      </c>
      <c r="T427" s="51" t="n">
        <f aca="false">IF(AND(C427=C426,ISNUMBER(G427),ISNUMBER(G426)),G427-G426,"")</f>
        <v>-73</v>
      </c>
      <c r="U427" s="1" t="str">
        <f aca="false">IF(OR(NOT(ISNUMBER(R427)),NOT(ISNUMBER(S427))),"Not classified",IF(AND(R427&gt;0,S427&gt;0),"Long buildup (interpretation)",IF(AND(R427&lt;0,S427&gt;0),"Short buildup (interpretation)",IF(AND(R427&gt;0,S427&lt;0),"Short covering (interpretation)",IF(AND(R427&lt;0,S427&lt;0),"Long unwinding (interpretation)","Neutral")))))</f>
        <v>Short buildup (interpretation)</v>
      </c>
      <c r="V427" s="52" t="str">
        <f aca="false">TEXT(B427,"yyyy-mm")</f>
        <v>2025-08</v>
      </c>
      <c r="W427" s="52" t="n">
        <f aca="false">1+COUNTIFS($B$2:$B$756,B427,$C$2:$C$756,"&lt;"&amp;C427)</f>
        <v>1</v>
      </c>
      <c r="X427" s="53" t="n">
        <f aca="false">IF(AND(ISNUMBER(P427),Q427&gt;0),P427*365/Q427,"")</f>
        <v>0.062883105188791</v>
      </c>
      <c r="Y427" s="42" t="n">
        <f aca="false">IF(AND(C428=C427,ISNUMBER(R428)),R428,"")</f>
        <v>0.640605337427558</v>
      </c>
      <c r="Z427" s="52" t="n">
        <f aca="false">IF(AND(W427=1,Q427&gt;Basis_Analysis!$B$3,ISNUMBER(Y427)),1,0)</f>
        <v>1</v>
      </c>
      <c r="AA427" s="43" t="n">
        <f aca="false">IF(W427=1,IF(SUMIFS($L$2:$L$756,$B$2:$B$756,B427,$W$2:$W$756,2)&gt;0,SUMIFS($L$2:$L$756,$B$2:$B$756,B427,$W$2:$W$756,2),""),"")</f>
        <v>1071375</v>
      </c>
      <c r="AB427" s="54" t="n">
        <f aca="false">IF(AND(W427=1,ISNUMBER(AA427)),L427/(L427+AA427),"")</f>
        <v>0.940774062480566</v>
      </c>
    </row>
    <row r="428" customFormat="false" ht="15" hidden="false" customHeight="true" outlineLevel="0" collapsed="false">
      <c r="A428" s="1" t="s">
        <v>274</v>
      </c>
      <c r="B428" s="46" t="n">
        <v>45882</v>
      </c>
      <c r="C428" s="46" t="n">
        <v>45897</v>
      </c>
      <c r="D428" s="47" t="n">
        <v>24625</v>
      </c>
      <c r="E428" s="47" t="n">
        <v>24748</v>
      </c>
      <c r="F428" s="47" t="n">
        <v>24610</v>
      </c>
      <c r="G428" s="47" t="n">
        <v>24712.2</v>
      </c>
      <c r="H428" s="47" t="n">
        <v>24718.9</v>
      </c>
      <c r="I428" s="47" t="n">
        <v>24712.2</v>
      </c>
      <c r="J428" s="48" t="n">
        <v>58314</v>
      </c>
      <c r="K428" s="47" t="n">
        <v>1079547.16</v>
      </c>
      <c r="L428" s="48" t="n">
        <v>16845375</v>
      </c>
      <c r="M428" s="48" t="n">
        <v>-172875</v>
      </c>
      <c r="N428" s="47" t="n">
        <v>24619.35</v>
      </c>
      <c r="O428" s="47" t="n">
        <f aca="false">IF(AND(ISNUMBER(G428),ISNUMBER(N428)),G428-N428,"")</f>
        <v>92.8500000000022</v>
      </c>
      <c r="P428" s="49" t="n">
        <f aca="false">IF(ISNUMBER(O428),O428/N428,"")</f>
        <v>0.00377142369721387</v>
      </c>
      <c r="Q428" s="50" t="n">
        <f aca="false">C428-B428</f>
        <v>15</v>
      </c>
      <c r="R428" s="51" t="n">
        <f aca="false">IF(AND(C428=C427,ISNUMBER(G428),ISNUMBER(G427)),(G428/G427-1)*100,"")</f>
        <v>0.640605337427558</v>
      </c>
      <c r="S428" s="51" t="n">
        <f aca="false">IF(AND(C428=C427,ISNUMBER(L428),ISNUMBER(L427)),(L428/L427-1)*100,"")</f>
        <v>-1.01582125071614</v>
      </c>
      <c r="T428" s="51" t="n">
        <f aca="false">IF(AND(C428=C427,ISNUMBER(G428),ISNUMBER(G427)),G428-G427,"")</f>
        <v>157.299999999999</v>
      </c>
      <c r="U428" s="1" t="str">
        <f aca="false">IF(OR(NOT(ISNUMBER(R428)),NOT(ISNUMBER(S428))),"Not classified",IF(AND(R428&gt;0,S428&gt;0),"Long buildup (interpretation)",IF(AND(R428&lt;0,S428&gt;0),"Short buildup (interpretation)",IF(AND(R428&gt;0,S428&lt;0),"Short covering (interpretation)",IF(AND(R428&lt;0,S428&lt;0),"Long unwinding (interpretation)","Neutral")))))</f>
        <v>Short covering (interpretation)</v>
      </c>
      <c r="V428" s="52" t="str">
        <f aca="false">TEXT(B428,"yyyy-mm")</f>
        <v>2025-08</v>
      </c>
      <c r="W428" s="52" t="n">
        <f aca="false">1+COUNTIFS($B$2:$B$756,B428,$C$2:$C$756,"&lt;"&amp;C428)</f>
        <v>1</v>
      </c>
      <c r="X428" s="53" t="n">
        <f aca="false">IF(AND(ISNUMBER(P428),Q428&gt;0),P428*365/Q428,"")</f>
        <v>0.0917713099655374</v>
      </c>
      <c r="Y428" s="42" t="n">
        <f aca="false">IF(AND(C429=C428,ISNUMBER(R429)),R429,"")</f>
        <v>-0.111281067650792</v>
      </c>
      <c r="Z428" s="52" t="n">
        <f aca="false">IF(AND(W428=1,Q428&gt;Basis_Analysis!$B$3,ISNUMBER(Y428)),1,0)</f>
        <v>1</v>
      </c>
      <c r="AA428" s="43" t="n">
        <f aca="false">IF(W428=1,IF(SUMIFS($L$2:$L$756,$B$2:$B$756,B428,$W$2:$W$756,2)&gt;0,SUMIFS($L$2:$L$756,$B$2:$B$756,B428,$W$2:$W$756,2),""),"")</f>
        <v>1189575</v>
      </c>
      <c r="AB428" s="54" t="n">
        <f aca="false">IF(AND(W428=1,ISNUMBER(AA428)),L428/(L428+AA428),"")</f>
        <v>0.934040571224206</v>
      </c>
    </row>
    <row r="429" customFormat="false" ht="15" hidden="false" customHeight="true" outlineLevel="0" collapsed="false">
      <c r="A429" s="1" t="s">
        <v>274</v>
      </c>
      <c r="B429" s="46" t="n">
        <v>45883</v>
      </c>
      <c r="C429" s="46" t="n">
        <v>45897</v>
      </c>
      <c r="D429" s="47" t="n">
        <v>24708.9</v>
      </c>
      <c r="E429" s="47" t="n">
        <v>24750.9</v>
      </c>
      <c r="F429" s="47" t="n">
        <v>24657.4</v>
      </c>
      <c r="G429" s="47" t="n">
        <v>24684.7</v>
      </c>
      <c r="H429" s="47" t="n">
        <v>24671</v>
      </c>
      <c r="I429" s="47" t="n">
        <v>24684.7</v>
      </c>
      <c r="J429" s="48" t="n">
        <v>50699</v>
      </c>
      <c r="K429" s="47" t="n">
        <v>939261.38</v>
      </c>
      <c r="L429" s="48" t="n">
        <v>16733775</v>
      </c>
      <c r="M429" s="48" t="n">
        <v>-111600</v>
      </c>
      <c r="N429" s="47" t="n">
        <v>24631.3</v>
      </c>
      <c r="O429" s="47" t="n">
        <f aca="false">IF(AND(ISNUMBER(G429),ISNUMBER(N429)),G429-N429,"")</f>
        <v>53.4000000000015</v>
      </c>
      <c r="P429" s="49" t="n">
        <f aca="false">IF(ISNUMBER(O429),O429/N429,"")</f>
        <v>0.00216797326978282</v>
      </c>
      <c r="Q429" s="50" t="n">
        <f aca="false">C429-B429</f>
        <v>14</v>
      </c>
      <c r="R429" s="51" t="n">
        <f aca="false">IF(AND(C429=C428,ISNUMBER(G429),ISNUMBER(G428)),(G429/G428-1)*100,"")</f>
        <v>-0.111281067650792</v>
      </c>
      <c r="S429" s="51" t="n">
        <f aca="false">IF(AND(C429=C428,ISNUMBER(L429),ISNUMBER(L428)),(L429/L428-1)*100,"")</f>
        <v>-0.662496382538236</v>
      </c>
      <c r="T429" s="51" t="n">
        <f aca="false">IF(AND(C429=C428,ISNUMBER(G429),ISNUMBER(G428)),G429-G428,"")</f>
        <v>-27.5</v>
      </c>
      <c r="U429" s="1" t="str">
        <f aca="false">IF(OR(NOT(ISNUMBER(R429)),NOT(ISNUMBER(S429))),"Not classified",IF(AND(R429&gt;0,S429&gt;0),"Long buildup (interpretation)",IF(AND(R429&lt;0,S429&gt;0),"Short buildup (interpretation)",IF(AND(R429&gt;0,S429&lt;0),"Short covering (interpretation)",IF(AND(R429&lt;0,S429&lt;0),"Long unwinding (interpretation)","Neutral")))))</f>
        <v>Long unwinding (interpretation)</v>
      </c>
      <c r="V429" s="52" t="str">
        <f aca="false">TEXT(B429,"yyyy-mm")</f>
        <v>2025-08</v>
      </c>
      <c r="W429" s="52" t="n">
        <f aca="false">1+COUNTIFS($B$2:$B$756,B429,$C$2:$C$756,"&lt;"&amp;C429)</f>
        <v>1</v>
      </c>
      <c r="X429" s="53" t="n">
        <f aca="false">IF(AND(ISNUMBER(P429),Q429&gt;0),P429*365/Q429,"")</f>
        <v>0.0565221602479091</v>
      </c>
      <c r="Y429" s="42" t="n">
        <f aca="false">IF(AND(C430=C429,ISNUMBER(R430)),R430,"")</f>
        <v>1.14281315956848</v>
      </c>
      <c r="Z429" s="52" t="n">
        <f aca="false">IF(AND(W429=1,Q429&gt;Basis_Analysis!$B$3,ISNUMBER(Y429)),1,0)</f>
        <v>1</v>
      </c>
      <c r="AA429" s="43" t="n">
        <f aca="false">IF(W429=1,IF(SUMIFS($L$2:$L$756,$B$2:$B$756,B429,$W$2:$W$756,2)&gt;0,SUMIFS($L$2:$L$756,$B$2:$B$756,B429,$W$2:$W$756,2),""),"")</f>
        <v>1216350</v>
      </c>
      <c r="AB429" s="54" t="n">
        <f aca="false">IF(AND(W429=1,ISNUMBER(AA429)),L429/(L429+AA429),"")</f>
        <v>0.932237240687739</v>
      </c>
    </row>
    <row r="430" customFormat="false" ht="15" hidden="false" customHeight="true" outlineLevel="0" collapsed="false">
      <c r="A430" s="1" t="s">
        <v>274</v>
      </c>
      <c r="B430" s="46" t="n">
        <v>45887</v>
      </c>
      <c r="C430" s="46" t="n">
        <v>45897</v>
      </c>
      <c r="D430" s="47" t="n">
        <v>24906.3</v>
      </c>
      <c r="E430" s="47" t="n">
        <v>25079</v>
      </c>
      <c r="F430" s="47" t="n">
        <v>24906.3</v>
      </c>
      <c r="G430" s="47" t="n">
        <v>24966.8</v>
      </c>
      <c r="H430" s="47" t="n">
        <v>24971.6</v>
      </c>
      <c r="I430" s="47" t="n">
        <v>24966.8</v>
      </c>
      <c r="J430" s="48" t="n">
        <v>89126</v>
      </c>
      <c r="K430" s="47" t="n">
        <v>1671168.3</v>
      </c>
      <c r="L430" s="48" t="n">
        <v>16437225</v>
      </c>
      <c r="M430" s="48" t="n">
        <v>-296550</v>
      </c>
      <c r="N430" s="47" t="n">
        <v>24876.95</v>
      </c>
      <c r="O430" s="47" t="n">
        <f aca="false">IF(AND(ISNUMBER(G430),ISNUMBER(N430)),G430-N430,"")</f>
        <v>89.8499999999985</v>
      </c>
      <c r="P430" s="49" t="n">
        <f aca="false">IF(ISNUMBER(O430),O430/N430,"")</f>
        <v>0.00361177716721698</v>
      </c>
      <c r="Q430" s="50" t="n">
        <f aca="false">C430-B430</f>
        <v>10</v>
      </c>
      <c r="R430" s="51" t="n">
        <f aca="false">IF(AND(C430=C429,ISNUMBER(G430),ISNUMBER(G429)),(G430/G429-1)*100,"")</f>
        <v>1.14281315956848</v>
      </c>
      <c r="S430" s="51" t="n">
        <f aca="false">IF(AND(C430=C429,ISNUMBER(L430),ISNUMBER(L429)),(L430/L429-1)*100,"")</f>
        <v>-1.77216438012343</v>
      </c>
      <c r="T430" s="51" t="n">
        <f aca="false">IF(AND(C430=C429,ISNUMBER(G430),ISNUMBER(G429)),G430-G429,"")</f>
        <v>282.099999999999</v>
      </c>
      <c r="U430" s="1" t="str">
        <f aca="false">IF(OR(NOT(ISNUMBER(R430)),NOT(ISNUMBER(S430))),"Not classified",IF(AND(R430&gt;0,S430&gt;0),"Long buildup (interpretation)",IF(AND(R430&lt;0,S430&gt;0),"Short buildup (interpretation)",IF(AND(R430&gt;0,S430&lt;0),"Short covering (interpretation)",IF(AND(R430&lt;0,S430&lt;0),"Long unwinding (interpretation)","Neutral")))))</f>
        <v>Short covering (interpretation)</v>
      </c>
      <c r="V430" s="52" t="str">
        <f aca="false">TEXT(B430,"yyyy-mm")</f>
        <v>2025-08</v>
      </c>
      <c r="W430" s="52" t="n">
        <f aca="false">1+COUNTIFS($B$2:$B$756,B430,$C$2:$C$756,"&lt;"&amp;C430)</f>
        <v>1</v>
      </c>
      <c r="X430" s="53" t="n">
        <f aca="false">IF(AND(ISNUMBER(P430),Q430&gt;0),P430*365/Q430,"")</f>
        <v>0.13182986660342</v>
      </c>
      <c r="Y430" s="42" t="n">
        <f aca="false">IF(AND(C431=C430,ISNUMBER(R431)),R431,"")</f>
        <v>0.267154781549905</v>
      </c>
      <c r="Z430" s="52" t="n">
        <f aca="false">IF(AND(W430=1,Q430&gt;Basis_Analysis!$B$3,ISNUMBER(Y430)),1,0)</f>
        <v>1</v>
      </c>
      <c r="AA430" s="43" t="n">
        <f aca="false">IF(W430=1,IF(SUMIFS($L$2:$L$756,$B$2:$B$756,B430,$W$2:$W$756,2)&gt;0,SUMIFS($L$2:$L$756,$B$2:$B$756,B430,$W$2:$W$756,2),""),"")</f>
        <v>1403475</v>
      </c>
      <c r="AB430" s="54" t="n">
        <f aca="false">IF(AND(W430=1,ISNUMBER(AA430)),L430/(L430+AA430),"")</f>
        <v>0.921332963392692</v>
      </c>
    </row>
    <row r="431" customFormat="false" ht="15" hidden="false" customHeight="true" outlineLevel="0" collapsed="false">
      <c r="A431" s="1" t="s">
        <v>274</v>
      </c>
      <c r="B431" s="46" t="n">
        <v>45888</v>
      </c>
      <c r="C431" s="46" t="n">
        <v>45897</v>
      </c>
      <c r="D431" s="47" t="n">
        <v>24958</v>
      </c>
      <c r="E431" s="47" t="n">
        <v>25060.9</v>
      </c>
      <c r="F431" s="47" t="n">
        <v>24922.3</v>
      </c>
      <c r="G431" s="47" t="n">
        <v>25033.5</v>
      </c>
      <c r="H431" s="47" t="n">
        <v>25036</v>
      </c>
      <c r="I431" s="47" t="n">
        <v>25033.5</v>
      </c>
      <c r="J431" s="48" t="n">
        <v>47372</v>
      </c>
      <c r="K431" s="47" t="n">
        <v>888408.65</v>
      </c>
      <c r="L431" s="48" t="n">
        <v>16231575</v>
      </c>
      <c r="M431" s="48" t="n">
        <v>-205650</v>
      </c>
      <c r="N431" s="47" t="n">
        <v>24980.65</v>
      </c>
      <c r="O431" s="47" t="n">
        <f aca="false">IF(AND(ISNUMBER(G431),ISNUMBER(N431)),G431-N431,"")</f>
        <v>52.8499999999985</v>
      </c>
      <c r="P431" s="49" t="n">
        <f aca="false">IF(ISNUMBER(O431),O431/N431,"")</f>
        <v>0.0021156375034276</v>
      </c>
      <c r="Q431" s="50" t="n">
        <f aca="false">C431-B431</f>
        <v>9</v>
      </c>
      <c r="R431" s="51" t="n">
        <f aca="false">IF(AND(C431=C430,ISNUMBER(G431),ISNUMBER(G430)),(G431/G430-1)*100,"")</f>
        <v>0.267154781549905</v>
      </c>
      <c r="S431" s="51" t="n">
        <f aca="false">IF(AND(C431=C430,ISNUMBER(L431),ISNUMBER(L430)),(L431/L430-1)*100,"")</f>
        <v>-1.25112359294224</v>
      </c>
      <c r="T431" s="51" t="n">
        <f aca="false">IF(AND(C431=C430,ISNUMBER(G431),ISNUMBER(G430)),G431-G430,"")</f>
        <v>66.7000000000007</v>
      </c>
      <c r="U431" s="1" t="str">
        <f aca="false">IF(OR(NOT(ISNUMBER(R431)),NOT(ISNUMBER(S431))),"Not classified",IF(AND(R431&gt;0,S431&gt;0),"Long buildup (interpretation)",IF(AND(R431&lt;0,S431&gt;0),"Short buildup (interpretation)",IF(AND(R431&gt;0,S431&lt;0),"Short covering (interpretation)",IF(AND(R431&lt;0,S431&lt;0),"Long unwinding (interpretation)","Neutral")))))</f>
        <v>Short covering (interpretation)</v>
      </c>
      <c r="V431" s="52" t="str">
        <f aca="false">TEXT(B431,"yyyy-mm")</f>
        <v>2025-08</v>
      </c>
      <c r="W431" s="52" t="n">
        <f aca="false">1+COUNTIFS($B$2:$B$756,B431,$C$2:$C$756,"&lt;"&amp;C431)</f>
        <v>1</v>
      </c>
      <c r="X431" s="53" t="n">
        <f aca="false">IF(AND(ISNUMBER(P431),Q431&gt;0),P431*365/Q431,"")</f>
        <v>0.0858008543056747</v>
      </c>
      <c r="Y431" s="42" t="n">
        <f aca="false">IF(AND(C432=C431,ISNUMBER(R432)),R432,"")</f>
        <v>0.198933429204873</v>
      </c>
      <c r="Z431" s="52" t="n">
        <f aca="false">IF(AND(W431=1,Q431&gt;Basis_Analysis!$B$3,ISNUMBER(Y431)),1,0)</f>
        <v>1</v>
      </c>
      <c r="AA431" s="43" t="n">
        <f aca="false">IF(W431=1,IF(SUMIFS($L$2:$L$756,$B$2:$B$756,B431,$W$2:$W$756,2)&gt;0,SUMIFS($L$2:$L$756,$B$2:$B$756,B431,$W$2:$W$756,2),""),"")</f>
        <v>1504725</v>
      </c>
      <c r="AB431" s="54" t="n">
        <f aca="false">IF(AND(W431=1,ISNUMBER(AA431)),L431/(L431+AA431),"")</f>
        <v>0.915161279410024</v>
      </c>
    </row>
    <row r="432" customFormat="false" ht="15" hidden="false" customHeight="true" outlineLevel="0" collapsed="false">
      <c r="A432" s="1" t="s">
        <v>274</v>
      </c>
      <c r="B432" s="46" t="n">
        <v>45889</v>
      </c>
      <c r="C432" s="46" t="n">
        <v>45897</v>
      </c>
      <c r="D432" s="47" t="n">
        <v>24974.9</v>
      </c>
      <c r="E432" s="47" t="n">
        <v>25108.1</v>
      </c>
      <c r="F432" s="47" t="n">
        <v>24960</v>
      </c>
      <c r="G432" s="47" t="n">
        <v>25083.3</v>
      </c>
      <c r="H432" s="47" t="n">
        <v>25077</v>
      </c>
      <c r="I432" s="47" t="n">
        <v>25083.3</v>
      </c>
      <c r="J432" s="48" t="n">
        <v>54455</v>
      </c>
      <c r="K432" s="47" t="n">
        <v>1022716.47</v>
      </c>
      <c r="L432" s="48" t="n">
        <v>15889275</v>
      </c>
      <c r="M432" s="48" t="n">
        <v>-342300</v>
      </c>
      <c r="N432" s="47" t="n">
        <v>25050.55</v>
      </c>
      <c r="O432" s="47" t="n">
        <f aca="false">IF(AND(ISNUMBER(G432),ISNUMBER(N432)),G432-N432,"")</f>
        <v>32.75</v>
      </c>
      <c r="P432" s="49" t="n">
        <f aca="false">IF(ISNUMBER(O432),O432/N432,"")</f>
        <v>0.00130735652510624</v>
      </c>
      <c r="Q432" s="50" t="n">
        <f aca="false">C432-B432</f>
        <v>8</v>
      </c>
      <c r="R432" s="51" t="n">
        <f aca="false">IF(AND(C432=C431,ISNUMBER(G432),ISNUMBER(G431)),(G432/G431-1)*100,"")</f>
        <v>0.198933429204873</v>
      </c>
      <c r="S432" s="51" t="n">
        <f aca="false">IF(AND(C432=C431,ISNUMBER(L432),ISNUMBER(L431)),(L432/L431-1)*100,"")</f>
        <v>-2.10885265293109</v>
      </c>
      <c r="T432" s="51" t="n">
        <f aca="false">IF(AND(C432=C431,ISNUMBER(G432),ISNUMBER(G431)),G432-G431,"")</f>
        <v>49.7999999999993</v>
      </c>
      <c r="U432" s="1" t="str">
        <f aca="false">IF(OR(NOT(ISNUMBER(R432)),NOT(ISNUMBER(S432))),"Not classified",IF(AND(R432&gt;0,S432&gt;0),"Long buildup (interpretation)",IF(AND(R432&lt;0,S432&gt;0),"Short buildup (interpretation)",IF(AND(R432&gt;0,S432&lt;0),"Short covering (interpretation)",IF(AND(R432&lt;0,S432&lt;0),"Long unwinding (interpretation)","Neutral")))))</f>
        <v>Short covering (interpretation)</v>
      </c>
      <c r="V432" s="52" t="str">
        <f aca="false">TEXT(B432,"yyyy-mm")</f>
        <v>2025-08</v>
      </c>
      <c r="W432" s="52" t="n">
        <f aca="false">1+COUNTIFS($B$2:$B$756,B432,$C$2:$C$756,"&lt;"&amp;C432)</f>
        <v>1</v>
      </c>
      <c r="X432" s="53" t="n">
        <f aca="false">IF(AND(ISNUMBER(P432),Q432&gt;0),P432*365/Q432,"")</f>
        <v>0.059648141457972</v>
      </c>
      <c r="Y432" s="42" t="n">
        <f aca="false">IF(AND(C433=C432,ISNUMBER(R433)),R433,"")</f>
        <v>0.156279277447546</v>
      </c>
      <c r="Z432" s="52" t="n">
        <f aca="false">IF(AND(W432=1,Q432&gt;Basis_Analysis!$B$3,ISNUMBER(Y432)),1,0)</f>
        <v>1</v>
      </c>
      <c r="AA432" s="43" t="n">
        <f aca="false">IF(W432=1,IF(SUMIFS($L$2:$L$756,$B$2:$B$756,B432,$W$2:$W$756,2)&gt;0,SUMIFS($L$2:$L$756,$B$2:$B$756,B432,$W$2:$W$756,2),""),"")</f>
        <v>1781775</v>
      </c>
      <c r="AB432" s="54" t="n">
        <f aca="false">IF(AND(W432=1,ISNUMBER(AA432)),L432/(L432+AA432),"")</f>
        <v>0.899169828617994</v>
      </c>
    </row>
    <row r="433" customFormat="false" ht="15" hidden="false" customHeight="true" outlineLevel="0" collapsed="false">
      <c r="A433" s="1" t="s">
        <v>274</v>
      </c>
      <c r="B433" s="46" t="n">
        <v>45890</v>
      </c>
      <c r="C433" s="46" t="n">
        <v>45897</v>
      </c>
      <c r="D433" s="47" t="n">
        <v>25111.1</v>
      </c>
      <c r="E433" s="47" t="n">
        <v>25179</v>
      </c>
      <c r="F433" s="47" t="n">
        <v>25086</v>
      </c>
      <c r="G433" s="47" t="n">
        <v>25122.5</v>
      </c>
      <c r="H433" s="47" t="n">
        <v>25110.4</v>
      </c>
      <c r="I433" s="47" t="n">
        <v>25122.5</v>
      </c>
      <c r="J433" s="48" t="n">
        <v>55136</v>
      </c>
      <c r="K433" s="47" t="n">
        <v>1039529.54</v>
      </c>
      <c r="L433" s="48" t="n">
        <v>14993325</v>
      </c>
      <c r="M433" s="48" t="n">
        <v>-895950</v>
      </c>
      <c r="N433" s="47" t="n">
        <v>25083.75</v>
      </c>
      <c r="O433" s="47" t="n">
        <f aca="false">IF(AND(ISNUMBER(G433),ISNUMBER(N433)),G433-N433,"")</f>
        <v>38.75</v>
      </c>
      <c r="P433" s="49" t="n">
        <f aca="false">IF(ISNUMBER(O433),O433/N433,"")</f>
        <v>0.00154482483679673</v>
      </c>
      <c r="Q433" s="50" t="n">
        <f aca="false">C433-B433</f>
        <v>7</v>
      </c>
      <c r="R433" s="51" t="n">
        <f aca="false">IF(AND(C433=C432,ISNUMBER(G433),ISNUMBER(G432)),(G433/G432-1)*100,"")</f>
        <v>0.156279277447546</v>
      </c>
      <c r="S433" s="51" t="n">
        <f aca="false">IF(AND(C433=C432,ISNUMBER(L433),ISNUMBER(L432)),(L433/L432-1)*100,"")</f>
        <v>-5.63870912927116</v>
      </c>
      <c r="T433" s="51" t="n">
        <f aca="false">IF(AND(C433=C432,ISNUMBER(G433),ISNUMBER(G432)),G433-G432,"")</f>
        <v>39.2000000000007</v>
      </c>
      <c r="U433" s="1" t="str">
        <f aca="false">IF(OR(NOT(ISNUMBER(R433)),NOT(ISNUMBER(S433))),"Not classified",IF(AND(R433&gt;0,S433&gt;0),"Long buildup (interpretation)",IF(AND(R433&lt;0,S433&gt;0),"Short buildup (interpretation)",IF(AND(R433&gt;0,S433&lt;0),"Short covering (interpretation)",IF(AND(R433&lt;0,S433&lt;0),"Long unwinding (interpretation)","Neutral")))))</f>
        <v>Short covering (interpretation)</v>
      </c>
      <c r="V433" s="52" t="str">
        <f aca="false">TEXT(B433,"yyyy-mm")</f>
        <v>2025-08</v>
      </c>
      <c r="W433" s="52" t="n">
        <f aca="false">1+COUNTIFS($B$2:$B$756,B433,$C$2:$C$756,"&lt;"&amp;C433)</f>
        <v>1</v>
      </c>
      <c r="X433" s="53" t="n">
        <f aca="false">IF(AND(ISNUMBER(P433),Q433&gt;0),P433*365/Q433,"")</f>
        <v>0.0805515807758295</v>
      </c>
      <c r="Y433" s="42" t="n">
        <f aca="false">IF(AND(C434=C433,ISNUMBER(R434)),R434,"")</f>
        <v>-0.892825156732013</v>
      </c>
      <c r="Z433" s="52" t="n">
        <f aca="false">IF(AND(W433=1,Q433&gt;Basis_Analysis!$B$3,ISNUMBER(Y433)),1,0)</f>
        <v>1</v>
      </c>
      <c r="AA433" s="43" t="n">
        <f aca="false">IF(W433=1,IF(SUMIFS($L$2:$L$756,$B$2:$B$756,B433,$W$2:$W$756,2)&gt;0,SUMIFS($L$2:$L$756,$B$2:$B$756,B433,$W$2:$W$756,2),""),"")</f>
        <v>2361525</v>
      </c>
      <c r="AB433" s="54" t="n">
        <f aca="false">IF(AND(W433=1,ISNUMBER(AA433)),L433/(L433+AA433),"")</f>
        <v>0.863927086664535</v>
      </c>
    </row>
    <row r="434" customFormat="false" ht="15" hidden="false" customHeight="true" outlineLevel="0" collapsed="false">
      <c r="A434" s="1" t="s">
        <v>274</v>
      </c>
      <c r="B434" s="46" t="n">
        <v>45891</v>
      </c>
      <c r="C434" s="46" t="n">
        <v>45897</v>
      </c>
      <c r="D434" s="47" t="n">
        <v>25094</v>
      </c>
      <c r="E434" s="47" t="n">
        <v>25099</v>
      </c>
      <c r="F434" s="47" t="n">
        <v>24887.4</v>
      </c>
      <c r="G434" s="47" t="n">
        <v>24898.2</v>
      </c>
      <c r="H434" s="47" t="n">
        <v>24890</v>
      </c>
      <c r="I434" s="47" t="n">
        <v>24898.2</v>
      </c>
      <c r="J434" s="48" t="n">
        <v>71849</v>
      </c>
      <c r="K434" s="47" t="n">
        <v>1344824.35</v>
      </c>
      <c r="L434" s="48" t="n">
        <v>14147475</v>
      </c>
      <c r="M434" s="48" t="n">
        <v>-845850</v>
      </c>
      <c r="N434" s="47" t="n">
        <v>24870.1</v>
      </c>
      <c r="O434" s="47" t="n">
        <f aca="false">IF(AND(ISNUMBER(G434),ISNUMBER(N434)),G434-N434,"")</f>
        <v>28.1000000000022</v>
      </c>
      <c r="P434" s="49" t="n">
        <f aca="false">IF(ISNUMBER(O434),O434/N434,"")</f>
        <v>0.00112987080872221</v>
      </c>
      <c r="Q434" s="50" t="n">
        <f aca="false">C434-B434</f>
        <v>6</v>
      </c>
      <c r="R434" s="51" t="n">
        <f aca="false">IF(AND(C434=C433,ISNUMBER(G434),ISNUMBER(G433)),(G434/G433-1)*100,"")</f>
        <v>-0.892825156732013</v>
      </c>
      <c r="S434" s="51" t="n">
        <f aca="false">IF(AND(C434=C433,ISNUMBER(L434),ISNUMBER(L433)),(L434/L433-1)*100,"")</f>
        <v>-5.64151047216012</v>
      </c>
      <c r="T434" s="51" t="n">
        <f aca="false">IF(AND(C434=C433,ISNUMBER(G434),ISNUMBER(G433)),G434-G433,"")</f>
        <v>-224.299999999999</v>
      </c>
      <c r="U434" s="1" t="str">
        <f aca="false">IF(OR(NOT(ISNUMBER(R434)),NOT(ISNUMBER(S434))),"Not classified",IF(AND(R434&gt;0,S434&gt;0),"Long buildup (interpretation)",IF(AND(R434&lt;0,S434&gt;0),"Short buildup (interpretation)",IF(AND(R434&gt;0,S434&lt;0),"Short covering (interpretation)",IF(AND(R434&lt;0,S434&lt;0),"Long unwinding (interpretation)","Neutral")))))</f>
        <v>Long unwinding (interpretation)</v>
      </c>
      <c r="V434" s="52" t="str">
        <f aca="false">TEXT(B434,"yyyy-mm")</f>
        <v>2025-08</v>
      </c>
      <c r="W434" s="52" t="n">
        <f aca="false">1+COUNTIFS($B$2:$B$756,B434,$C$2:$C$756,"&lt;"&amp;C434)</f>
        <v>1</v>
      </c>
      <c r="X434" s="53" t="n">
        <f aca="false">IF(AND(ISNUMBER(P434),Q434&gt;0),P434*365/Q434,"")</f>
        <v>0.068733807530601</v>
      </c>
      <c r="Y434" s="42" t="n">
        <f aca="false">IF(AND(C435=C434,ISNUMBER(R435)),R435,"")</f>
        <v>0.367496445526183</v>
      </c>
      <c r="Z434" s="52" t="n">
        <f aca="false">IF(AND(W434=1,Q434&gt;Basis_Analysis!$B$3,ISNUMBER(Y434)),1,0)</f>
        <v>1</v>
      </c>
      <c r="AA434" s="43" t="n">
        <f aca="false">IF(W434=1,IF(SUMIFS($L$2:$L$756,$B$2:$B$756,B434,$W$2:$W$756,2)&gt;0,SUMIFS($L$2:$L$756,$B$2:$B$756,B434,$W$2:$W$756,2),""),"")</f>
        <v>3073125</v>
      </c>
      <c r="AB434" s="54" t="n">
        <f aca="false">IF(AND(W434=1,ISNUMBER(AA434)),L434/(L434+AA434),"")</f>
        <v>0.821543674436431</v>
      </c>
    </row>
    <row r="435" customFormat="false" ht="15" hidden="false" customHeight="true" outlineLevel="0" collapsed="false">
      <c r="A435" s="1" t="s">
        <v>274</v>
      </c>
      <c r="B435" s="46" t="n">
        <v>45894</v>
      </c>
      <c r="C435" s="46" t="n">
        <v>45897</v>
      </c>
      <c r="D435" s="47" t="n">
        <v>24950.1</v>
      </c>
      <c r="E435" s="47" t="n">
        <v>25030</v>
      </c>
      <c r="F435" s="47" t="n">
        <v>24914.1</v>
      </c>
      <c r="G435" s="47" t="n">
        <v>24989.7</v>
      </c>
      <c r="H435" s="47" t="n">
        <v>24992.2</v>
      </c>
      <c r="I435" s="47" t="n">
        <v>24989.7</v>
      </c>
      <c r="J435" s="48" t="n">
        <v>97029</v>
      </c>
      <c r="K435" s="47" t="n">
        <v>1818170.85</v>
      </c>
      <c r="L435" s="48" t="n">
        <v>11033400</v>
      </c>
      <c r="M435" s="48" t="n">
        <v>-3114075</v>
      </c>
      <c r="N435" s="47" t="n">
        <v>24967.75</v>
      </c>
      <c r="O435" s="47" t="n">
        <f aca="false">IF(AND(ISNUMBER(G435),ISNUMBER(N435)),G435-N435,"")</f>
        <v>21.9500000000007</v>
      </c>
      <c r="P435" s="49" t="n">
        <f aca="false">IF(ISNUMBER(O435),O435/N435,"")</f>
        <v>0.000879134082967057</v>
      </c>
      <c r="Q435" s="50" t="n">
        <f aca="false">C435-B435</f>
        <v>3</v>
      </c>
      <c r="R435" s="51" t="n">
        <f aca="false">IF(AND(C435=C434,ISNUMBER(G435),ISNUMBER(G434)),(G435/G434-1)*100,"")</f>
        <v>0.367496445526183</v>
      </c>
      <c r="S435" s="51" t="n">
        <f aca="false">IF(AND(C435=C434,ISNUMBER(L435),ISNUMBER(L434)),(L435/L434-1)*100,"")</f>
        <v>-22.0115250247836</v>
      </c>
      <c r="T435" s="51" t="n">
        <f aca="false">IF(AND(C435=C434,ISNUMBER(G435),ISNUMBER(G434)),G435-G434,"")</f>
        <v>91.5</v>
      </c>
      <c r="U435" s="1" t="str">
        <f aca="false">IF(OR(NOT(ISNUMBER(R435)),NOT(ISNUMBER(S435))),"Not classified",IF(AND(R435&gt;0,S435&gt;0),"Long buildup (interpretation)",IF(AND(R435&lt;0,S435&gt;0),"Short buildup (interpretation)",IF(AND(R435&gt;0,S435&lt;0),"Short covering (interpretation)",IF(AND(R435&lt;0,S435&lt;0),"Long unwinding (interpretation)","Neutral")))))</f>
        <v>Short covering (interpretation)</v>
      </c>
      <c r="V435" s="52" t="str">
        <f aca="false">TEXT(B435,"yyyy-mm")</f>
        <v>2025-08</v>
      </c>
      <c r="W435" s="52" t="n">
        <f aca="false">1+COUNTIFS($B$2:$B$756,B435,$C$2:$C$756,"&lt;"&amp;C435)</f>
        <v>1</v>
      </c>
      <c r="X435" s="53" t="n">
        <f aca="false">IF(AND(ISNUMBER(P435),Q435&gt;0),P435*365/Q435,"")</f>
        <v>0.106961313427659</v>
      </c>
      <c r="Y435" s="42" t="n">
        <f aca="false">IF(AND(C436=C435,ISNUMBER(R436)),R436,"")</f>
        <v>-1.03322568898386</v>
      </c>
      <c r="Z435" s="52" t="n">
        <f aca="false">IF(AND(W435=1,Q435&gt;Basis_Analysis!$B$3,ISNUMBER(Y435)),1,0)</f>
        <v>0</v>
      </c>
      <c r="AA435" s="43" t="n">
        <f aca="false">IF(W435=1,IF(SUMIFS($L$2:$L$756,$B$2:$B$756,B435,$W$2:$W$756,2)&gt;0,SUMIFS($L$2:$L$756,$B$2:$B$756,B435,$W$2:$W$756,2),""),"")</f>
        <v>6678675</v>
      </c>
      <c r="AB435" s="54" t="n">
        <f aca="false">IF(AND(W435=1,ISNUMBER(AA435)),L435/(L435+AA435),"")</f>
        <v>0.622930966586354</v>
      </c>
    </row>
    <row r="436" customFormat="false" ht="15" hidden="false" customHeight="true" outlineLevel="0" collapsed="false">
      <c r="A436" s="1" t="s">
        <v>274</v>
      </c>
      <c r="B436" s="46" t="n">
        <v>45895</v>
      </c>
      <c r="C436" s="46" t="n">
        <v>45897</v>
      </c>
      <c r="D436" s="47" t="n">
        <v>24903</v>
      </c>
      <c r="E436" s="47" t="n">
        <v>24940</v>
      </c>
      <c r="F436" s="47" t="n">
        <v>24710</v>
      </c>
      <c r="G436" s="47" t="n">
        <v>24731.5</v>
      </c>
      <c r="H436" s="47" t="n">
        <v>24724.1</v>
      </c>
      <c r="I436" s="47" t="n">
        <v>24731.5</v>
      </c>
      <c r="J436" s="48" t="n">
        <v>109864</v>
      </c>
      <c r="K436" s="47" t="n">
        <v>2042837.93</v>
      </c>
      <c r="L436" s="48" t="n">
        <v>6923325</v>
      </c>
      <c r="M436" s="48" t="n">
        <v>-4110075</v>
      </c>
      <c r="N436" s="47" t="n">
        <v>24712.05</v>
      </c>
      <c r="O436" s="47" t="n">
        <f aca="false">IF(AND(ISNUMBER(G436),ISNUMBER(N436)),G436-N436,"")</f>
        <v>19.4500000000007</v>
      </c>
      <c r="P436" s="49" t="n">
        <f aca="false">IF(ISNUMBER(O436),O436/N436,"")</f>
        <v>0.000787065419501851</v>
      </c>
      <c r="Q436" s="50" t="n">
        <f aca="false">C436-B436</f>
        <v>2</v>
      </c>
      <c r="R436" s="51" t="n">
        <f aca="false">IF(AND(C436=C435,ISNUMBER(G436),ISNUMBER(G435)),(G436/G435-1)*100,"")</f>
        <v>-1.03322568898386</v>
      </c>
      <c r="S436" s="51" t="n">
        <f aca="false">IF(AND(C436=C435,ISNUMBER(L436),ISNUMBER(L435)),(L436/L435-1)*100,"")</f>
        <v>-37.2512099624776</v>
      </c>
      <c r="T436" s="51" t="n">
        <f aca="false">IF(AND(C436=C435,ISNUMBER(G436),ISNUMBER(G435)),G436-G435,"")</f>
        <v>-258.200000000001</v>
      </c>
      <c r="U436" s="1" t="str">
        <f aca="false">IF(OR(NOT(ISNUMBER(R436)),NOT(ISNUMBER(S436))),"Not classified",IF(AND(R436&gt;0,S436&gt;0),"Long buildup (interpretation)",IF(AND(R436&lt;0,S436&gt;0),"Short buildup (interpretation)",IF(AND(R436&gt;0,S436&lt;0),"Short covering (interpretation)",IF(AND(R436&lt;0,S436&lt;0),"Long unwinding (interpretation)","Neutral")))))</f>
        <v>Long unwinding (interpretation)</v>
      </c>
      <c r="V436" s="52" t="str">
        <f aca="false">TEXT(B436,"yyyy-mm")</f>
        <v>2025-08</v>
      </c>
      <c r="W436" s="52" t="n">
        <f aca="false">1+COUNTIFS($B$2:$B$756,B436,$C$2:$C$756,"&lt;"&amp;C436)</f>
        <v>1</v>
      </c>
      <c r="X436" s="53" t="n">
        <f aca="false">IF(AND(ISNUMBER(P436),Q436&gt;0),P436*365/Q436,"")</f>
        <v>0.143639439059088</v>
      </c>
      <c r="Y436" s="42" t="n">
        <f aca="false">IF(AND(C437=C436,ISNUMBER(R437)),R437,"")</f>
        <v>-0.951013889169683</v>
      </c>
      <c r="Z436" s="52" t="n">
        <f aca="false">IF(AND(W436=1,Q436&gt;Basis_Analysis!$B$3,ISNUMBER(Y436)),1,0)</f>
        <v>0</v>
      </c>
      <c r="AA436" s="43" t="n">
        <f aca="false">IF(W436=1,IF(SUMIFS($L$2:$L$756,$B$2:$B$756,B436,$W$2:$W$756,2)&gt;0,SUMIFS($L$2:$L$756,$B$2:$B$756,B436,$W$2:$W$756,2),""),"")</f>
        <v>11407725</v>
      </c>
      <c r="AB436" s="54" t="n">
        <f aca="false">IF(AND(W436=1,ISNUMBER(AA436)),L436/(L436+AA436),"")</f>
        <v>0.377682947785315</v>
      </c>
    </row>
    <row r="437" customFormat="false" ht="15" hidden="false" customHeight="true" outlineLevel="0" collapsed="false">
      <c r="A437" s="1" t="s">
        <v>274</v>
      </c>
      <c r="B437" s="46" t="n">
        <v>45897</v>
      </c>
      <c r="C437" s="46" t="n">
        <v>45897</v>
      </c>
      <c r="D437" s="47" t="n">
        <v>24689.8</v>
      </c>
      <c r="E437" s="47" t="n">
        <v>24709.6</v>
      </c>
      <c r="F437" s="47" t="n">
        <v>24478</v>
      </c>
      <c r="G437" s="47" t="n">
        <v>24496.3</v>
      </c>
      <c r="H437" s="47" t="n">
        <v>24500</v>
      </c>
      <c r="I437" s="47" t="n">
        <v>24500.9</v>
      </c>
      <c r="J437" s="48" t="n">
        <v>93734</v>
      </c>
      <c r="K437" s="47" t="n">
        <v>1727950.7</v>
      </c>
      <c r="L437" s="48" t="n">
        <v>3311925</v>
      </c>
      <c r="M437" s="48" t="n">
        <v>-3611400</v>
      </c>
      <c r="N437" s="47" t="n">
        <v>24500.9</v>
      </c>
      <c r="O437" s="47" t="n">
        <f aca="false">IF(AND(ISNUMBER(G437),ISNUMBER(N437)),G437-N437,"")</f>
        <v>-4.60000000000218</v>
      </c>
      <c r="P437" s="49" t="n">
        <f aca="false">IF(ISNUMBER(O437),O437/N437,"")</f>
        <v>-0.000187748205168063</v>
      </c>
      <c r="Q437" s="50" t="n">
        <f aca="false">C437-B437</f>
        <v>0</v>
      </c>
      <c r="R437" s="51" t="n">
        <f aca="false">IF(AND(C437=C436,ISNUMBER(G437),ISNUMBER(G436)),(G437/G436-1)*100,"")</f>
        <v>-0.951013889169683</v>
      </c>
      <c r="S437" s="51" t="n">
        <f aca="false">IF(AND(C437=C436,ISNUMBER(L437),ISNUMBER(L436)),(L437/L436-1)*100,"")</f>
        <v>-52.1627974997563</v>
      </c>
      <c r="T437" s="51" t="n">
        <f aca="false">IF(AND(C437=C436,ISNUMBER(G437),ISNUMBER(G436)),G437-G436,"")</f>
        <v>-235.200000000001</v>
      </c>
      <c r="U437" s="1" t="str">
        <f aca="false">IF(OR(NOT(ISNUMBER(R437)),NOT(ISNUMBER(S437))),"Not classified",IF(AND(R437&gt;0,S437&gt;0),"Long buildup (interpretation)",IF(AND(R437&lt;0,S437&gt;0),"Short buildup (interpretation)",IF(AND(R437&gt;0,S437&lt;0),"Short covering (interpretation)",IF(AND(R437&lt;0,S437&lt;0),"Long unwinding (interpretation)","Neutral")))))</f>
        <v>Long unwinding (interpretation)</v>
      </c>
      <c r="V437" s="52" t="str">
        <f aca="false">TEXT(B437,"yyyy-mm")</f>
        <v>2025-08</v>
      </c>
      <c r="W437" s="52" t="n">
        <f aca="false">1+COUNTIFS($B$2:$B$756,B437,$C$2:$C$756,"&lt;"&amp;C437)</f>
        <v>1</v>
      </c>
      <c r="X437" s="53" t="str">
        <f aca="false">IF(AND(ISNUMBER(P437),Q437&gt;0),P437*365/Q437,"")</f>
        <v/>
      </c>
      <c r="Y437" s="42" t="str">
        <f aca="false">IF(AND(C438=C437,ISNUMBER(R438)),R438,"")</f>
        <v/>
      </c>
      <c r="Z437" s="52" t="n">
        <f aca="false">IF(AND(W437=1,Q437&gt;Basis_Analysis!$B$3,ISNUMBER(Y437)),1,0)</f>
        <v>0</v>
      </c>
      <c r="AA437" s="43" t="n">
        <f aca="false">IF(W437=1,IF(SUMIFS($L$2:$L$756,$B$2:$B$756,B437,$W$2:$W$756,2)&gt;0,SUMIFS($L$2:$L$756,$B$2:$B$756,B437,$W$2:$W$756,2),""),"")</f>
        <v>16027050</v>
      </c>
      <c r="AB437" s="54" t="n">
        <f aca="false">IF(AND(W437=1,ISNUMBER(AA437)),L437/(L437+AA437),"")</f>
        <v>0.171256491101519</v>
      </c>
    </row>
    <row r="438" customFormat="false" ht="15" hidden="false" customHeight="true" outlineLevel="0" collapsed="false">
      <c r="A438" s="1" t="s">
        <v>274</v>
      </c>
      <c r="B438" s="46" t="n">
        <v>45834</v>
      </c>
      <c r="C438" s="46" t="n">
        <v>45925</v>
      </c>
      <c r="D438" s="47"/>
      <c r="E438" s="47"/>
      <c r="F438" s="47"/>
      <c r="G438" s="47"/>
      <c r="H438" s="47"/>
      <c r="I438" s="47"/>
      <c r="J438" s="48"/>
      <c r="K438" s="47"/>
      <c r="L438" s="48"/>
      <c r="M438" s="48"/>
      <c r="N438" s="47"/>
      <c r="O438" s="47" t="str">
        <f aca="false">IF(AND(ISNUMBER(G438),ISNUMBER(N438)),G438-N438,"")</f>
        <v/>
      </c>
      <c r="P438" s="49" t="str">
        <f aca="false">IF(ISNUMBER(O438),O438/N438,"")</f>
        <v/>
      </c>
      <c r="Q438" s="50" t="n">
        <f aca="false">C438-B438</f>
        <v>91</v>
      </c>
      <c r="R438" s="51" t="str">
        <f aca="false">IF(AND(C438=C437,ISNUMBER(G438),ISNUMBER(G437)),(G438/G437-1)*100,"")</f>
        <v/>
      </c>
      <c r="S438" s="51" t="str">
        <f aca="false">IF(AND(C438=C437,ISNUMBER(L438),ISNUMBER(L437)),(L438/L437-1)*100,"")</f>
        <v/>
      </c>
      <c r="T438" s="51" t="str">
        <f aca="false">IF(AND(C438=C437,ISNUMBER(G438),ISNUMBER(G437)),G438-G437,"")</f>
        <v/>
      </c>
      <c r="U438" s="1" t="str">
        <f aca="false">IF(OR(NOT(ISNUMBER(R438)),NOT(ISNUMBER(S438))),"Not classified",IF(AND(R438&gt;0,S438&gt;0),"Long buildup (interpretation)",IF(AND(R438&lt;0,S438&gt;0),"Short buildup (interpretation)",IF(AND(R438&gt;0,S438&lt;0),"Short covering (interpretation)",IF(AND(R438&lt;0,S438&lt;0),"Long unwinding (interpretation)","Neutral")))))</f>
        <v>Not classified</v>
      </c>
      <c r="V438" s="52" t="str">
        <f aca="false">TEXT(B438,"yyyy-mm")</f>
        <v>2025-06</v>
      </c>
      <c r="W438" s="52" t="n">
        <f aca="false">1+COUNTIFS($B$2:$B$756,B438,$C$2:$C$756,"&lt;"&amp;C438)</f>
        <v>4</v>
      </c>
      <c r="X438" s="53" t="str">
        <f aca="false">IF(AND(ISNUMBER(P438),Q438&gt;0),P438*365/Q438,"")</f>
        <v/>
      </c>
      <c r="Y438" s="42" t="str">
        <f aca="false">IF(AND(C439=C438,ISNUMBER(R439)),R439,"")</f>
        <v/>
      </c>
      <c r="Z438" s="52" t="n">
        <f aca="false">IF(AND(W438=1,Q438&gt;Basis_Analysis!$B$3,ISNUMBER(Y438)),1,0)</f>
        <v>0</v>
      </c>
      <c r="AA438" s="43" t="str">
        <f aca="false">IF(W438=1,IF(SUMIFS($L$2:$L$756,$B$2:$B$756,B438,$W$2:$W$756,2)&gt;0,SUMIFS($L$2:$L$756,$B$2:$B$756,B438,$W$2:$W$756,2),""),"")</f>
        <v/>
      </c>
      <c r="AB438" s="54" t="str">
        <f aca="false">IF(AND(W438=1,ISNUMBER(AA438)),L438/(L438+AA438),"")</f>
        <v/>
      </c>
    </row>
    <row r="439" customFormat="false" ht="15" hidden="false" customHeight="true" outlineLevel="0" collapsed="false">
      <c r="A439" s="1" t="s">
        <v>274</v>
      </c>
      <c r="B439" s="46" t="n">
        <v>45835</v>
      </c>
      <c r="C439" s="46" t="n">
        <v>45925</v>
      </c>
      <c r="D439" s="47" t="n">
        <v>26000</v>
      </c>
      <c r="E439" s="47" t="n">
        <v>26025.9</v>
      </c>
      <c r="F439" s="47" t="n">
        <v>25890</v>
      </c>
      <c r="G439" s="47" t="n">
        <v>26008</v>
      </c>
      <c r="H439" s="47" t="n">
        <v>26019.9</v>
      </c>
      <c r="I439" s="47" t="n">
        <v>26008</v>
      </c>
      <c r="J439" s="48" t="n">
        <v>2050</v>
      </c>
      <c r="K439" s="47" t="n">
        <v>39932.63</v>
      </c>
      <c r="L439" s="48" t="n">
        <v>105225</v>
      </c>
      <c r="M439" s="48" t="n">
        <v>105225</v>
      </c>
      <c r="N439" s="47" t="n">
        <v>25637.8</v>
      </c>
      <c r="O439" s="47" t="n">
        <f aca="false">IF(AND(ISNUMBER(G439),ISNUMBER(N439)),G439-N439,"")</f>
        <v>370.200000000001</v>
      </c>
      <c r="P439" s="49" t="n">
        <f aca="false">IF(ISNUMBER(O439),O439/N439,"")</f>
        <v>0.0144396165037562</v>
      </c>
      <c r="Q439" s="50" t="n">
        <f aca="false">C439-B439</f>
        <v>90</v>
      </c>
      <c r="R439" s="51" t="str">
        <f aca="false">IF(AND(C439=C438,ISNUMBER(G439),ISNUMBER(G438)),(G439/G438-1)*100,"")</f>
        <v/>
      </c>
      <c r="S439" s="51" t="str">
        <f aca="false">IF(AND(C439=C438,ISNUMBER(L439),ISNUMBER(L438)),(L439/L438-1)*100,"")</f>
        <v/>
      </c>
      <c r="T439" s="51" t="str">
        <f aca="false">IF(AND(C439=C438,ISNUMBER(G439),ISNUMBER(G438)),G439-G438,"")</f>
        <v/>
      </c>
      <c r="U439" s="1" t="str">
        <f aca="false">IF(OR(NOT(ISNUMBER(R439)),NOT(ISNUMBER(S439))),"Not classified",IF(AND(R439&gt;0,S439&gt;0),"Long buildup (interpretation)",IF(AND(R439&lt;0,S439&gt;0),"Short buildup (interpretation)",IF(AND(R439&gt;0,S439&lt;0),"Short covering (interpretation)",IF(AND(R439&lt;0,S439&lt;0),"Long unwinding (interpretation)","Neutral")))))</f>
        <v>Not classified</v>
      </c>
      <c r="V439" s="52" t="str">
        <f aca="false">TEXT(B439,"yyyy-mm")</f>
        <v>2025-06</v>
      </c>
      <c r="W439" s="52" t="n">
        <f aca="false">1+COUNTIFS($B$2:$B$756,B439,$C$2:$C$756,"&lt;"&amp;C439)</f>
        <v>3</v>
      </c>
      <c r="X439" s="53" t="n">
        <f aca="false">IF(AND(ISNUMBER(P439),Q439&gt;0),P439*365/Q439,"")</f>
        <v>0.0585606669319002</v>
      </c>
      <c r="Y439" s="42" t="n">
        <f aca="false">IF(AND(C440=C439,ISNUMBER(R440)),R440,"")</f>
        <v>-0.490618271301135</v>
      </c>
      <c r="Z439" s="52" t="n">
        <f aca="false">IF(AND(W439=1,Q439&gt;Basis_Analysis!$B$3,ISNUMBER(Y439)),1,0)</f>
        <v>0</v>
      </c>
      <c r="AA439" s="43" t="str">
        <f aca="false">IF(W439=1,IF(SUMIFS($L$2:$L$756,$B$2:$B$756,B439,$W$2:$W$756,2)&gt;0,SUMIFS($L$2:$L$756,$B$2:$B$756,B439,$W$2:$W$756,2),""),"")</f>
        <v/>
      </c>
      <c r="AB439" s="54" t="str">
        <f aca="false">IF(AND(W439=1,ISNUMBER(AA439)),L439/(L439+AA439),"")</f>
        <v/>
      </c>
    </row>
    <row r="440" customFormat="false" ht="15" hidden="false" customHeight="true" outlineLevel="0" collapsed="false">
      <c r="A440" s="1" t="s">
        <v>274</v>
      </c>
      <c r="B440" s="46" t="n">
        <v>45838</v>
      </c>
      <c r="C440" s="46" t="n">
        <v>45925</v>
      </c>
      <c r="D440" s="47" t="n">
        <v>26000</v>
      </c>
      <c r="E440" s="47" t="n">
        <v>26049.9</v>
      </c>
      <c r="F440" s="47" t="n">
        <v>25844</v>
      </c>
      <c r="G440" s="47" t="n">
        <v>25880.4</v>
      </c>
      <c r="H440" s="47" t="n">
        <v>25885</v>
      </c>
      <c r="I440" s="47" t="n">
        <v>25880.4</v>
      </c>
      <c r="J440" s="48" t="n">
        <v>1689</v>
      </c>
      <c r="K440" s="47" t="n">
        <v>32847.72</v>
      </c>
      <c r="L440" s="48" t="n">
        <v>161925</v>
      </c>
      <c r="M440" s="48" t="n">
        <v>56700</v>
      </c>
      <c r="N440" s="47" t="n">
        <v>25517.05</v>
      </c>
      <c r="O440" s="47" t="n">
        <f aca="false">IF(AND(ISNUMBER(G440),ISNUMBER(N440)),G440-N440,"")</f>
        <v>363.350000000002</v>
      </c>
      <c r="P440" s="49" t="n">
        <f aca="false">IF(ISNUMBER(O440),O440/N440,"")</f>
        <v>0.0142394986881321</v>
      </c>
      <c r="Q440" s="50" t="n">
        <f aca="false">C440-B440</f>
        <v>87</v>
      </c>
      <c r="R440" s="51" t="n">
        <f aca="false">IF(AND(C440=C439,ISNUMBER(G440),ISNUMBER(G439)),(G440/G439-1)*100,"")</f>
        <v>-0.490618271301135</v>
      </c>
      <c r="S440" s="51" t="n">
        <f aca="false">IF(AND(C440=C439,ISNUMBER(L440),ISNUMBER(L439)),(L440/L439-1)*100,"")</f>
        <v>53.8845331432644</v>
      </c>
      <c r="T440" s="51" t="n">
        <f aca="false">IF(AND(C440=C439,ISNUMBER(G440),ISNUMBER(G439)),G440-G439,"")</f>
        <v>-127.599999999999</v>
      </c>
      <c r="U440" s="1" t="str">
        <f aca="false">IF(OR(NOT(ISNUMBER(R440)),NOT(ISNUMBER(S440))),"Not classified",IF(AND(R440&gt;0,S440&gt;0),"Long buildup (interpretation)",IF(AND(R440&lt;0,S440&gt;0),"Short buildup (interpretation)",IF(AND(R440&gt;0,S440&lt;0),"Short covering (interpretation)",IF(AND(R440&lt;0,S440&lt;0),"Long unwinding (interpretation)","Neutral")))))</f>
        <v>Short buildup (interpretation)</v>
      </c>
      <c r="V440" s="52" t="str">
        <f aca="false">TEXT(B440,"yyyy-mm")</f>
        <v>2025-06</v>
      </c>
      <c r="W440" s="52" t="n">
        <f aca="false">1+COUNTIFS($B$2:$B$756,B440,$C$2:$C$756,"&lt;"&amp;C440)</f>
        <v>3</v>
      </c>
      <c r="X440" s="53" t="n">
        <f aca="false">IF(AND(ISNUMBER(P440),Q440&gt;0),P440*365/Q440,"")</f>
        <v>0.0597404255306693</v>
      </c>
      <c r="Y440" s="42" t="n">
        <f aca="false">IF(AND(C441=C440,ISNUMBER(R441)),R441,"")</f>
        <v>0.114758659062453</v>
      </c>
      <c r="Z440" s="52" t="n">
        <f aca="false">IF(AND(W440=1,Q440&gt;Basis_Analysis!$B$3,ISNUMBER(Y440)),1,0)</f>
        <v>0</v>
      </c>
      <c r="AA440" s="43" t="str">
        <f aca="false">IF(W440=1,IF(SUMIFS($L$2:$L$756,$B$2:$B$756,B440,$W$2:$W$756,2)&gt;0,SUMIFS($L$2:$L$756,$B$2:$B$756,B440,$W$2:$W$756,2),""),"")</f>
        <v/>
      </c>
      <c r="AB440" s="54" t="str">
        <f aca="false">IF(AND(W440=1,ISNUMBER(AA440)),L440/(L440+AA440),"")</f>
        <v/>
      </c>
    </row>
    <row r="441" customFormat="false" ht="15" hidden="false" customHeight="true" outlineLevel="0" collapsed="false">
      <c r="A441" s="1" t="s">
        <v>274</v>
      </c>
      <c r="B441" s="46" t="n">
        <v>45839</v>
      </c>
      <c r="C441" s="46" t="n">
        <v>45925</v>
      </c>
      <c r="D441" s="47" t="n">
        <v>25919.7</v>
      </c>
      <c r="E441" s="47" t="n">
        <v>25948</v>
      </c>
      <c r="F441" s="47" t="n">
        <v>25870.7</v>
      </c>
      <c r="G441" s="47" t="n">
        <v>25910.1</v>
      </c>
      <c r="H441" s="47" t="n">
        <v>25907</v>
      </c>
      <c r="I441" s="47" t="n">
        <v>25910.1</v>
      </c>
      <c r="J441" s="48" t="n">
        <v>762</v>
      </c>
      <c r="K441" s="47" t="n">
        <v>14807.66</v>
      </c>
      <c r="L441" s="48" t="n">
        <v>179175</v>
      </c>
      <c r="M441" s="48" t="n">
        <v>17250</v>
      </c>
      <c r="N441" s="47" t="n">
        <v>25541.8</v>
      </c>
      <c r="O441" s="47" t="n">
        <f aca="false">IF(AND(ISNUMBER(G441),ISNUMBER(N441)),G441-N441,"")</f>
        <v>368.299999999999</v>
      </c>
      <c r="P441" s="49" t="n">
        <f aca="false">IF(ISNUMBER(O441),O441/N441,"")</f>
        <v>0.0144195005833575</v>
      </c>
      <c r="Q441" s="50" t="n">
        <f aca="false">C441-B441</f>
        <v>86</v>
      </c>
      <c r="R441" s="51" t="n">
        <f aca="false">IF(AND(C441=C440,ISNUMBER(G441),ISNUMBER(G440)),(G441/G440-1)*100,"")</f>
        <v>0.114758659062453</v>
      </c>
      <c r="S441" s="51" t="n">
        <f aca="false">IF(AND(C441=C440,ISNUMBER(L441),ISNUMBER(L440)),(L441/L440-1)*100,"")</f>
        <v>10.6530801296897</v>
      </c>
      <c r="T441" s="51" t="n">
        <f aca="false">IF(AND(C441=C440,ISNUMBER(G441),ISNUMBER(G440)),G441-G440,"")</f>
        <v>29.6999999999971</v>
      </c>
      <c r="U441" s="1" t="str">
        <f aca="false">IF(OR(NOT(ISNUMBER(R441)),NOT(ISNUMBER(S441))),"Not classified",IF(AND(R441&gt;0,S441&gt;0),"Long buildup (interpretation)",IF(AND(R441&lt;0,S441&gt;0),"Short buildup (interpretation)",IF(AND(R441&gt;0,S441&lt;0),"Short covering (interpretation)",IF(AND(R441&lt;0,S441&lt;0),"Long unwinding (interpretation)","Neutral")))))</f>
        <v>Long buildup (interpretation)</v>
      </c>
      <c r="V441" s="52" t="str">
        <f aca="false">TEXT(B441,"yyyy-mm")</f>
        <v>2025-07</v>
      </c>
      <c r="W441" s="52" t="n">
        <f aca="false">1+COUNTIFS($B$2:$B$756,B441,$C$2:$C$756,"&lt;"&amp;C441)</f>
        <v>3</v>
      </c>
      <c r="X441" s="53" t="n">
        <f aca="false">IF(AND(ISNUMBER(P441),Q441&gt;0),P441*365/Q441,"")</f>
        <v>0.061199043173552</v>
      </c>
      <c r="Y441" s="42" t="n">
        <f aca="false">IF(AND(C442=C441,ISNUMBER(R442)),R442,"")</f>
        <v>-0.393282928278926</v>
      </c>
      <c r="Z441" s="52" t="n">
        <f aca="false">IF(AND(W441=1,Q441&gt;Basis_Analysis!$B$3,ISNUMBER(Y441)),1,0)</f>
        <v>0</v>
      </c>
      <c r="AA441" s="43" t="str">
        <f aca="false">IF(W441=1,IF(SUMIFS($L$2:$L$756,$B$2:$B$756,B441,$W$2:$W$756,2)&gt;0,SUMIFS($L$2:$L$756,$B$2:$B$756,B441,$W$2:$W$756,2),""),"")</f>
        <v/>
      </c>
      <c r="AB441" s="54" t="str">
        <f aca="false">IF(AND(W441=1,ISNUMBER(AA441)),L441/(L441+AA441),"")</f>
        <v/>
      </c>
    </row>
    <row r="442" customFormat="false" ht="15" hidden="false" customHeight="true" outlineLevel="0" collapsed="false">
      <c r="A442" s="1" t="s">
        <v>274</v>
      </c>
      <c r="B442" s="46" t="n">
        <v>45840</v>
      </c>
      <c r="C442" s="46" t="n">
        <v>45925</v>
      </c>
      <c r="D442" s="47" t="n">
        <v>25925.8</v>
      </c>
      <c r="E442" s="47" t="n">
        <v>25955</v>
      </c>
      <c r="F442" s="47" t="n">
        <v>25750</v>
      </c>
      <c r="G442" s="47" t="n">
        <v>25808.2</v>
      </c>
      <c r="H442" s="47" t="n">
        <v>25797.1</v>
      </c>
      <c r="I442" s="47" t="n">
        <v>25808.2</v>
      </c>
      <c r="J442" s="48" t="n">
        <v>1250</v>
      </c>
      <c r="K442" s="47" t="n">
        <v>24215.61</v>
      </c>
      <c r="L442" s="48" t="n">
        <v>218475</v>
      </c>
      <c r="M442" s="48" t="n">
        <v>39300</v>
      </c>
      <c r="N442" s="47" t="n">
        <v>25453.4</v>
      </c>
      <c r="O442" s="47" t="n">
        <f aca="false">IF(AND(ISNUMBER(G442),ISNUMBER(N442)),G442-N442,"")</f>
        <v>354.799999999999</v>
      </c>
      <c r="P442" s="49" t="n">
        <f aca="false">IF(ISNUMBER(O442),O442/N442,"")</f>
        <v>0.0139391986925126</v>
      </c>
      <c r="Q442" s="50" t="n">
        <f aca="false">C442-B442</f>
        <v>85</v>
      </c>
      <c r="R442" s="51" t="n">
        <f aca="false">IF(AND(C442=C441,ISNUMBER(G442),ISNUMBER(G441)),(G442/G441-1)*100,"")</f>
        <v>-0.393282928278926</v>
      </c>
      <c r="S442" s="51" t="n">
        <f aca="false">IF(AND(C442=C441,ISNUMBER(L442),ISNUMBER(L441)),(L442/L441-1)*100,"")</f>
        <v>21.9338635412306</v>
      </c>
      <c r="T442" s="51" t="n">
        <f aca="false">IF(AND(C442=C441,ISNUMBER(G442),ISNUMBER(G441)),G442-G441,"")</f>
        <v>-101.899999999998</v>
      </c>
      <c r="U442" s="1" t="str">
        <f aca="false">IF(OR(NOT(ISNUMBER(R442)),NOT(ISNUMBER(S442))),"Not classified",IF(AND(R442&gt;0,S442&gt;0),"Long buildup (interpretation)",IF(AND(R442&lt;0,S442&gt;0),"Short buildup (interpretation)",IF(AND(R442&gt;0,S442&lt;0),"Short covering (interpretation)",IF(AND(R442&lt;0,S442&lt;0),"Long unwinding (interpretation)","Neutral")))))</f>
        <v>Short buildup (interpretation)</v>
      </c>
      <c r="V442" s="52" t="str">
        <f aca="false">TEXT(B442,"yyyy-mm")</f>
        <v>2025-07</v>
      </c>
      <c r="W442" s="52" t="n">
        <f aca="false">1+COUNTIFS($B$2:$B$756,B442,$C$2:$C$756,"&lt;"&amp;C442)</f>
        <v>3</v>
      </c>
      <c r="X442" s="53" t="n">
        <f aca="false">IF(AND(ISNUMBER(P442),Q442&gt;0),P442*365/Q442,"")</f>
        <v>0.0598565590913775</v>
      </c>
      <c r="Y442" s="42" t="n">
        <f aca="false">IF(AND(C443=C442,ISNUMBER(R443)),R443,"")</f>
        <v>-0.138328128269316</v>
      </c>
      <c r="Z442" s="52" t="n">
        <f aca="false">IF(AND(W442=1,Q442&gt;Basis_Analysis!$B$3,ISNUMBER(Y442)),1,0)</f>
        <v>0</v>
      </c>
      <c r="AA442" s="43" t="str">
        <f aca="false">IF(W442=1,IF(SUMIFS($L$2:$L$756,$B$2:$B$756,B442,$W$2:$W$756,2)&gt;0,SUMIFS($L$2:$L$756,$B$2:$B$756,B442,$W$2:$W$756,2),""),"")</f>
        <v/>
      </c>
      <c r="AB442" s="54" t="str">
        <f aca="false">IF(AND(W442=1,ISNUMBER(AA442)),L442/(L442+AA442),"")</f>
        <v/>
      </c>
    </row>
    <row r="443" customFormat="false" ht="15" hidden="false" customHeight="true" outlineLevel="0" collapsed="false">
      <c r="A443" s="1" t="s">
        <v>274</v>
      </c>
      <c r="B443" s="46" t="n">
        <v>45841</v>
      </c>
      <c r="C443" s="46" t="n">
        <v>45925</v>
      </c>
      <c r="D443" s="47" t="n">
        <v>25822.8</v>
      </c>
      <c r="E443" s="47" t="n">
        <v>25920.9</v>
      </c>
      <c r="F443" s="47" t="n">
        <v>25751</v>
      </c>
      <c r="G443" s="47" t="n">
        <v>25772.5</v>
      </c>
      <c r="H443" s="47" t="n">
        <v>25760</v>
      </c>
      <c r="I443" s="47" t="n">
        <v>25772.5</v>
      </c>
      <c r="J443" s="48" t="n">
        <v>1518</v>
      </c>
      <c r="K443" s="47" t="n">
        <v>29416.81</v>
      </c>
      <c r="L443" s="48" t="n">
        <v>232500</v>
      </c>
      <c r="M443" s="48" t="n">
        <v>14025</v>
      </c>
      <c r="N443" s="47" t="n">
        <v>25405.3</v>
      </c>
      <c r="O443" s="47" t="n">
        <f aca="false">IF(AND(ISNUMBER(G443),ISNUMBER(N443)),G443-N443,"")</f>
        <v>367.200000000001</v>
      </c>
      <c r="P443" s="49" t="n">
        <f aca="false">IF(ISNUMBER(O443),O443/N443,"")</f>
        <v>0.0144536769886599</v>
      </c>
      <c r="Q443" s="50" t="n">
        <f aca="false">C443-B443</f>
        <v>84</v>
      </c>
      <c r="R443" s="51" t="n">
        <f aca="false">IF(AND(C443=C442,ISNUMBER(G443),ISNUMBER(G442)),(G443/G442-1)*100,"")</f>
        <v>-0.138328128269316</v>
      </c>
      <c r="S443" s="51" t="n">
        <f aca="false">IF(AND(C443=C442,ISNUMBER(L443),ISNUMBER(L442)),(L443/L442-1)*100,"")</f>
        <v>6.41949879848953</v>
      </c>
      <c r="T443" s="51" t="n">
        <f aca="false">IF(AND(C443=C442,ISNUMBER(G443),ISNUMBER(G442)),G443-G442,"")</f>
        <v>-35.7000000000007</v>
      </c>
      <c r="U443" s="1" t="str">
        <f aca="false">IF(OR(NOT(ISNUMBER(R443)),NOT(ISNUMBER(S443))),"Not classified",IF(AND(R443&gt;0,S443&gt;0),"Long buildup (interpretation)",IF(AND(R443&lt;0,S443&gt;0),"Short buildup (interpretation)",IF(AND(R443&gt;0,S443&lt;0),"Short covering (interpretation)",IF(AND(R443&lt;0,S443&lt;0),"Long unwinding (interpretation)","Neutral")))))</f>
        <v>Short buildup (interpretation)</v>
      </c>
      <c r="V443" s="52" t="str">
        <f aca="false">TEXT(B443,"yyyy-mm")</f>
        <v>2025-07</v>
      </c>
      <c r="W443" s="52" t="n">
        <f aca="false">1+COUNTIFS($B$2:$B$756,B443,$C$2:$C$756,"&lt;"&amp;C443)</f>
        <v>3</v>
      </c>
      <c r="X443" s="53" t="n">
        <f aca="false">IF(AND(ISNUMBER(P443),Q443&gt;0),P443*365/Q443,"")</f>
        <v>0.0628046678673911</v>
      </c>
      <c r="Y443" s="42" t="n">
        <f aca="false">IF(AND(C444=C443,ISNUMBER(R444)),R444,"")</f>
        <v>0.105926860025218</v>
      </c>
      <c r="Z443" s="52" t="n">
        <f aca="false">IF(AND(W443=1,Q443&gt;Basis_Analysis!$B$3,ISNUMBER(Y443)),1,0)</f>
        <v>0</v>
      </c>
      <c r="AA443" s="43" t="str">
        <f aca="false">IF(W443=1,IF(SUMIFS($L$2:$L$756,$B$2:$B$756,B443,$W$2:$W$756,2)&gt;0,SUMIFS($L$2:$L$756,$B$2:$B$756,B443,$W$2:$W$756,2),""),"")</f>
        <v/>
      </c>
      <c r="AB443" s="54" t="str">
        <f aca="false">IF(AND(W443=1,ISNUMBER(AA443)),L443/(L443+AA443),"")</f>
        <v/>
      </c>
    </row>
    <row r="444" customFormat="false" ht="15" hidden="false" customHeight="true" outlineLevel="0" collapsed="false">
      <c r="A444" s="1" t="s">
        <v>274</v>
      </c>
      <c r="B444" s="46" t="n">
        <v>45842</v>
      </c>
      <c r="C444" s="46" t="n">
        <v>45925</v>
      </c>
      <c r="D444" s="47" t="n">
        <v>25782.7</v>
      </c>
      <c r="E444" s="47" t="n">
        <v>25812</v>
      </c>
      <c r="F444" s="47" t="n">
        <v>25675</v>
      </c>
      <c r="G444" s="47" t="n">
        <v>25799.8</v>
      </c>
      <c r="H444" s="47" t="n">
        <v>25810</v>
      </c>
      <c r="I444" s="47" t="n">
        <v>25799.8</v>
      </c>
      <c r="J444" s="48" t="n">
        <v>1156</v>
      </c>
      <c r="K444" s="47" t="n">
        <v>22321.45</v>
      </c>
      <c r="L444" s="48" t="n">
        <v>249750</v>
      </c>
      <c r="M444" s="48" t="n">
        <v>17250</v>
      </c>
      <c r="N444" s="47" t="n">
        <v>25461</v>
      </c>
      <c r="O444" s="47" t="n">
        <f aca="false">IF(AND(ISNUMBER(G444),ISNUMBER(N444)),G444-N444,"")</f>
        <v>338.799999999999</v>
      </c>
      <c r="P444" s="49" t="n">
        <f aca="false">IF(ISNUMBER(O444),O444/N444,"")</f>
        <v>0.0133066258198814</v>
      </c>
      <c r="Q444" s="50" t="n">
        <f aca="false">C444-B444</f>
        <v>83</v>
      </c>
      <c r="R444" s="51" t="n">
        <f aca="false">IF(AND(C444=C443,ISNUMBER(G444),ISNUMBER(G443)),(G444/G443-1)*100,"")</f>
        <v>0.105926860025218</v>
      </c>
      <c r="S444" s="51" t="n">
        <f aca="false">IF(AND(C444=C443,ISNUMBER(L444),ISNUMBER(L443)),(L444/L443-1)*100,"")</f>
        <v>7.41935483870968</v>
      </c>
      <c r="T444" s="51" t="n">
        <f aca="false">IF(AND(C444=C443,ISNUMBER(G444),ISNUMBER(G443)),G444-G443,"")</f>
        <v>27.2999999999993</v>
      </c>
      <c r="U444" s="1" t="str">
        <f aca="false">IF(OR(NOT(ISNUMBER(R444)),NOT(ISNUMBER(S444))),"Not classified",IF(AND(R444&gt;0,S444&gt;0),"Long buildup (interpretation)",IF(AND(R444&lt;0,S444&gt;0),"Short buildup (interpretation)",IF(AND(R444&gt;0,S444&lt;0),"Short covering (interpretation)",IF(AND(R444&lt;0,S444&lt;0),"Long unwinding (interpretation)","Neutral")))))</f>
        <v>Long buildup (interpretation)</v>
      </c>
      <c r="V444" s="52" t="str">
        <f aca="false">TEXT(B444,"yyyy-mm")</f>
        <v>2025-07</v>
      </c>
      <c r="W444" s="52" t="n">
        <f aca="false">1+COUNTIFS($B$2:$B$756,B444,$C$2:$C$756,"&lt;"&amp;C444)</f>
        <v>3</v>
      </c>
      <c r="X444" s="53" t="n">
        <f aca="false">IF(AND(ISNUMBER(P444),Q444&gt;0),P444*365/Q444,"")</f>
        <v>0.0585170894488759</v>
      </c>
      <c r="Y444" s="42" t="n">
        <f aca="false">IF(AND(C445=C444,ISNUMBER(R445)),R445,"")</f>
        <v>-0.00813959798137143</v>
      </c>
      <c r="Z444" s="52" t="n">
        <f aca="false">IF(AND(W444=1,Q444&gt;Basis_Analysis!$B$3,ISNUMBER(Y444)),1,0)</f>
        <v>0</v>
      </c>
      <c r="AA444" s="43" t="str">
        <f aca="false">IF(W444=1,IF(SUMIFS($L$2:$L$756,$B$2:$B$756,B444,$W$2:$W$756,2)&gt;0,SUMIFS($L$2:$L$756,$B$2:$B$756,B444,$W$2:$W$756,2),""),"")</f>
        <v/>
      </c>
      <c r="AB444" s="54" t="str">
        <f aca="false">IF(AND(W444=1,ISNUMBER(AA444)),L444/(L444+AA444),"")</f>
        <v/>
      </c>
    </row>
    <row r="445" customFormat="false" ht="15" hidden="false" customHeight="true" outlineLevel="0" collapsed="false">
      <c r="A445" s="1" t="s">
        <v>274</v>
      </c>
      <c r="B445" s="46" t="n">
        <v>45845</v>
      </c>
      <c r="C445" s="46" t="n">
        <v>45925</v>
      </c>
      <c r="D445" s="47" t="n">
        <v>25799.8</v>
      </c>
      <c r="E445" s="47" t="n">
        <v>25825</v>
      </c>
      <c r="F445" s="47" t="n">
        <v>25741</v>
      </c>
      <c r="G445" s="47" t="n">
        <v>25797.7</v>
      </c>
      <c r="H445" s="47" t="n">
        <v>25802.5</v>
      </c>
      <c r="I445" s="47" t="n">
        <v>25797.7</v>
      </c>
      <c r="J445" s="48" t="n">
        <v>584</v>
      </c>
      <c r="K445" s="47" t="n">
        <v>11296.67</v>
      </c>
      <c r="L445" s="48" t="n">
        <v>256725</v>
      </c>
      <c r="M445" s="48" t="n">
        <v>6975</v>
      </c>
      <c r="N445" s="47" t="n">
        <v>25461.3</v>
      </c>
      <c r="O445" s="47" t="n">
        <f aca="false">IF(AND(ISNUMBER(G445),ISNUMBER(N445)),G445-N445,"")</f>
        <v>336.400000000001</v>
      </c>
      <c r="P445" s="49" t="n">
        <f aca="false">IF(ISNUMBER(O445),O445/N445,"")</f>
        <v>0.0132122083318606</v>
      </c>
      <c r="Q445" s="50" t="n">
        <f aca="false">C445-B445</f>
        <v>80</v>
      </c>
      <c r="R445" s="51" t="n">
        <f aca="false">IF(AND(C445=C444,ISNUMBER(G445),ISNUMBER(G444)),(G445/G444-1)*100,"")</f>
        <v>-0.00813959798137143</v>
      </c>
      <c r="S445" s="51" t="n">
        <f aca="false">IF(AND(C445=C444,ISNUMBER(L445),ISNUMBER(L444)),(L445/L444-1)*100,"")</f>
        <v>2.79279279279279</v>
      </c>
      <c r="T445" s="51" t="n">
        <f aca="false">IF(AND(C445=C444,ISNUMBER(G445),ISNUMBER(G444)),G445-G444,"")</f>
        <v>-2.09999999999855</v>
      </c>
      <c r="U445" s="1" t="str">
        <f aca="false">IF(OR(NOT(ISNUMBER(R445)),NOT(ISNUMBER(S445))),"Not classified",IF(AND(R445&gt;0,S445&gt;0),"Long buildup (interpretation)",IF(AND(R445&lt;0,S445&gt;0),"Short buildup (interpretation)",IF(AND(R445&gt;0,S445&lt;0),"Short covering (interpretation)",IF(AND(R445&lt;0,S445&lt;0),"Long unwinding (interpretation)","Neutral")))))</f>
        <v>Short buildup (interpretation)</v>
      </c>
      <c r="V445" s="52" t="str">
        <f aca="false">TEXT(B445,"yyyy-mm")</f>
        <v>2025-07</v>
      </c>
      <c r="W445" s="52" t="n">
        <f aca="false">1+COUNTIFS($B$2:$B$756,B445,$C$2:$C$756,"&lt;"&amp;C445)</f>
        <v>3</v>
      </c>
      <c r="X445" s="53" t="n">
        <f aca="false">IF(AND(ISNUMBER(P445),Q445&gt;0),P445*365/Q445,"")</f>
        <v>0.0602807005141138</v>
      </c>
      <c r="Y445" s="42" t="n">
        <f aca="false">IF(AND(C446=C445,ISNUMBER(R446)),R446,"")</f>
        <v>0.279094647972489</v>
      </c>
      <c r="Z445" s="52" t="n">
        <f aca="false">IF(AND(W445=1,Q445&gt;Basis_Analysis!$B$3,ISNUMBER(Y445)),1,0)</f>
        <v>0</v>
      </c>
      <c r="AA445" s="43" t="str">
        <f aca="false">IF(W445=1,IF(SUMIFS($L$2:$L$756,$B$2:$B$756,B445,$W$2:$W$756,2)&gt;0,SUMIFS($L$2:$L$756,$B$2:$B$756,B445,$W$2:$W$756,2),""),"")</f>
        <v/>
      </c>
      <c r="AB445" s="54" t="str">
        <f aca="false">IF(AND(W445=1,ISNUMBER(AA445)),L445/(L445+AA445),"")</f>
        <v/>
      </c>
    </row>
    <row r="446" customFormat="false" ht="15" hidden="false" customHeight="true" outlineLevel="0" collapsed="false">
      <c r="A446" s="1" t="s">
        <v>274</v>
      </c>
      <c r="B446" s="46" t="n">
        <v>45846</v>
      </c>
      <c r="C446" s="46" t="n">
        <v>45925</v>
      </c>
      <c r="D446" s="47" t="n">
        <v>25781.1</v>
      </c>
      <c r="E446" s="47" t="n">
        <v>25884</v>
      </c>
      <c r="F446" s="47" t="n">
        <v>25770.6</v>
      </c>
      <c r="G446" s="47" t="n">
        <v>25869.7</v>
      </c>
      <c r="H446" s="47" t="n">
        <v>25878</v>
      </c>
      <c r="I446" s="47" t="n">
        <v>25869.7</v>
      </c>
      <c r="J446" s="48" t="n">
        <v>701</v>
      </c>
      <c r="K446" s="47" t="n">
        <v>13576.64</v>
      </c>
      <c r="L446" s="48" t="n">
        <v>258975</v>
      </c>
      <c r="M446" s="48" t="n">
        <v>2250</v>
      </c>
      <c r="N446" s="47" t="n">
        <v>25522.5</v>
      </c>
      <c r="O446" s="47" t="n">
        <f aca="false">IF(AND(ISNUMBER(G446),ISNUMBER(N446)),G446-N446,"")</f>
        <v>347.200000000001</v>
      </c>
      <c r="P446" s="49" t="n">
        <f aca="false">IF(ISNUMBER(O446),O446/N446,"")</f>
        <v>0.0136036830247821</v>
      </c>
      <c r="Q446" s="50" t="n">
        <f aca="false">C446-B446</f>
        <v>79</v>
      </c>
      <c r="R446" s="51" t="n">
        <f aca="false">IF(AND(C446=C445,ISNUMBER(G446),ISNUMBER(G445)),(G446/G445-1)*100,"")</f>
        <v>0.279094647972489</v>
      </c>
      <c r="S446" s="51" t="n">
        <f aca="false">IF(AND(C446=C445,ISNUMBER(L446),ISNUMBER(L445)),(L446/L445-1)*100,"")</f>
        <v>0.876424189307623</v>
      </c>
      <c r="T446" s="51" t="n">
        <f aca="false">IF(AND(C446=C445,ISNUMBER(G446),ISNUMBER(G445)),G446-G445,"")</f>
        <v>72</v>
      </c>
      <c r="U446" s="1" t="str">
        <f aca="false">IF(OR(NOT(ISNUMBER(R446)),NOT(ISNUMBER(S446))),"Not classified",IF(AND(R446&gt;0,S446&gt;0),"Long buildup (interpretation)",IF(AND(R446&lt;0,S446&gt;0),"Short buildup (interpretation)",IF(AND(R446&gt;0,S446&lt;0),"Short covering (interpretation)",IF(AND(R446&lt;0,S446&lt;0),"Long unwinding (interpretation)","Neutral")))))</f>
        <v>Long buildup (interpretation)</v>
      </c>
      <c r="V446" s="52" t="str">
        <f aca="false">TEXT(B446,"yyyy-mm")</f>
        <v>2025-07</v>
      </c>
      <c r="W446" s="52" t="n">
        <f aca="false">1+COUNTIFS($B$2:$B$756,B446,$C$2:$C$756,"&lt;"&amp;C446)</f>
        <v>3</v>
      </c>
      <c r="X446" s="53" t="n">
        <f aca="false">IF(AND(ISNUMBER(P446),Q446&gt;0),P446*365/Q446,"")</f>
        <v>0.0628524595448792</v>
      </c>
      <c r="Y446" s="42" t="n">
        <f aca="false">IF(AND(C447=C446,ISNUMBER(R447)),R447,"")</f>
        <v>-0.193276303938583</v>
      </c>
      <c r="Z446" s="52" t="n">
        <f aca="false">IF(AND(W446=1,Q446&gt;Basis_Analysis!$B$3,ISNUMBER(Y446)),1,0)</f>
        <v>0</v>
      </c>
      <c r="AA446" s="43" t="str">
        <f aca="false">IF(W446=1,IF(SUMIFS($L$2:$L$756,$B$2:$B$756,B446,$W$2:$W$756,2)&gt;0,SUMIFS($L$2:$L$756,$B$2:$B$756,B446,$W$2:$W$756,2),""),"")</f>
        <v/>
      </c>
      <c r="AB446" s="54" t="str">
        <f aca="false">IF(AND(W446=1,ISNUMBER(AA446)),L446/(L446+AA446),"")</f>
        <v/>
      </c>
    </row>
    <row r="447" customFormat="false" ht="15" hidden="false" customHeight="true" outlineLevel="0" collapsed="false">
      <c r="A447" s="1" t="s">
        <v>274</v>
      </c>
      <c r="B447" s="46" t="n">
        <v>45847</v>
      </c>
      <c r="C447" s="46" t="n">
        <v>45925</v>
      </c>
      <c r="D447" s="47" t="n">
        <v>25879.9</v>
      </c>
      <c r="E447" s="47" t="n">
        <v>25894.9</v>
      </c>
      <c r="F447" s="47" t="n">
        <v>25790</v>
      </c>
      <c r="G447" s="47" t="n">
        <v>25819.7</v>
      </c>
      <c r="H447" s="47" t="n">
        <v>25807</v>
      </c>
      <c r="I447" s="47" t="n">
        <v>25819.7</v>
      </c>
      <c r="J447" s="48" t="n">
        <v>853</v>
      </c>
      <c r="K447" s="47" t="n">
        <v>16539.29</v>
      </c>
      <c r="L447" s="48" t="n">
        <v>277500</v>
      </c>
      <c r="M447" s="48" t="n">
        <v>18525</v>
      </c>
      <c r="N447" s="47" t="n">
        <v>25476.1</v>
      </c>
      <c r="O447" s="47" t="n">
        <f aca="false">IF(AND(ISNUMBER(G447),ISNUMBER(N447)),G447-N447,"")</f>
        <v>343.600000000002</v>
      </c>
      <c r="P447" s="49" t="n">
        <f aca="false">IF(ISNUMBER(O447),O447/N447,"")</f>
        <v>0.0134871507020306</v>
      </c>
      <c r="Q447" s="50" t="n">
        <f aca="false">C447-B447</f>
        <v>78</v>
      </c>
      <c r="R447" s="51" t="n">
        <f aca="false">IF(AND(C447=C446,ISNUMBER(G447),ISNUMBER(G446)),(G447/G446-1)*100,"")</f>
        <v>-0.193276303938583</v>
      </c>
      <c r="S447" s="51" t="n">
        <f aca="false">IF(AND(C447=C446,ISNUMBER(L447),ISNUMBER(L446)),(L447/L446-1)*100,"")</f>
        <v>7.15320011584131</v>
      </c>
      <c r="T447" s="51" t="n">
        <f aca="false">IF(AND(C447=C446,ISNUMBER(G447),ISNUMBER(G446)),G447-G446,"")</f>
        <v>-50</v>
      </c>
      <c r="U447" s="1" t="str">
        <f aca="false">IF(OR(NOT(ISNUMBER(R447)),NOT(ISNUMBER(S447))),"Not classified",IF(AND(R447&gt;0,S447&gt;0),"Long buildup (interpretation)",IF(AND(R447&lt;0,S447&gt;0),"Short buildup (interpretation)",IF(AND(R447&gt;0,S447&lt;0),"Short covering (interpretation)",IF(AND(R447&lt;0,S447&lt;0),"Long unwinding (interpretation)","Neutral")))))</f>
        <v>Short buildup (interpretation)</v>
      </c>
      <c r="V447" s="52" t="str">
        <f aca="false">TEXT(B447,"yyyy-mm")</f>
        <v>2025-07</v>
      </c>
      <c r="W447" s="52" t="n">
        <f aca="false">1+COUNTIFS($B$2:$B$756,B447,$C$2:$C$756,"&lt;"&amp;C447)</f>
        <v>3</v>
      </c>
      <c r="X447" s="53" t="n">
        <f aca="false">IF(AND(ISNUMBER(P447),Q447&gt;0),P447*365/Q447,"")</f>
        <v>0.0631129487979638</v>
      </c>
      <c r="Y447" s="42" t="n">
        <f aca="false">IF(AND(C448=C447,ISNUMBER(R448)),R448,"")</f>
        <v>-0.510075639918362</v>
      </c>
      <c r="Z447" s="52" t="n">
        <f aca="false">IF(AND(W447=1,Q447&gt;Basis_Analysis!$B$3,ISNUMBER(Y447)),1,0)</f>
        <v>0</v>
      </c>
      <c r="AA447" s="43" t="str">
        <f aca="false">IF(W447=1,IF(SUMIFS($L$2:$L$756,$B$2:$B$756,B447,$W$2:$W$756,2)&gt;0,SUMIFS($L$2:$L$756,$B$2:$B$756,B447,$W$2:$W$756,2),""),"")</f>
        <v/>
      </c>
      <c r="AB447" s="54" t="str">
        <f aca="false">IF(AND(W447=1,ISNUMBER(AA447)),L447/(L447+AA447),"")</f>
        <v/>
      </c>
    </row>
    <row r="448" customFormat="false" ht="15" hidden="false" customHeight="true" outlineLevel="0" collapsed="false">
      <c r="A448" s="1" t="s">
        <v>274</v>
      </c>
      <c r="B448" s="46" t="n">
        <v>45848</v>
      </c>
      <c r="C448" s="46" t="n">
        <v>45925</v>
      </c>
      <c r="D448" s="47" t="n">
        <v>25802.2</v>
      </c>
      <c r="E448" s="47" t="n">
        <v>25815</v>
      </c>
      <c r="F448" s="47" t="n">
        <v>25680</v>
      </c>
      <c r="G448" s="47" t="n">
        <v>25688</v>
      </c>
      <c r="H448" s="47" t="n">
        <v>25684</v>
      </c>
      <c r="I448" s="47" t="n">
        <v>25688</v>
      </c>
      <c r="J448" s="48" t="n">
        <v>1091</v>
      </c>
      <c r="K448" s="47" t="n">
        <v>21050.46</v>
      </c>
      <c r="L448" s="48" t="n">
        <v>307875</v>
      </c>
      <c r="M448" s="48" t="n">
        <v>30375</v>
      </c>
      <c r="N448" s="47" t="n">
        <v>25355.25</v>
      </c>
      <c r="O448" s="47" t="n">
        <f aca="false">IF(AND(ISNUMBER(G448),ISNUMBER(N448)),G448-N448,"")</f>
        <v>332.75</v>
      </c>
      <c r="P448" s="49" t="n">
        <f aca="false">IF(ISNUMBER(O448),O448/N448,"")</f>
        <v>0.0131235148539257</v>
      </c>
      <c r="Q448" s="50" t="n">
        <f aca="false">C448-B448</f>
        <v>77</v>
      </c>
      <c r="R448" s="51" t="n">
        <f aca="false">IF(AND(C448=C447,ISNUMBER(G448),ISNUMBER(G447)),(G448/G447-1)*100,"")</f>
        <v>-0.510075639918362</v>
      </c>
      <c r="S448" s="51" t="n">
        <f aca="false">IF(AND(C448=C447,ISNUMBER(L448),ISNUMBER(L447)),(L448/L447-1)*100,"")</f>
        <v>10.945945945946</v>
      </c>
      <c r="T448" s="51" t="n">
        <f aca="false">IF(AND(C448=C447,ISNUMBER(G448),ISNUMBER(G447)),G448-G447,"")</f>
        <v>-131.700000000001</v>
      </c>
      <c r="U448" s="1" t="str">
        <f aca="false">IF(OR(NOT(ISNUMBER(R448)),NOT(ISNUMBER(S448))),"Not classified",IF(AND(R448&gt;0,S448&gt;0),"Long buildup (interpretation)",IF(AND(R448&lt;0,S448&gt;0),"Short buildup (interpretation)",IF(AND(R448&gt;0,S448&lt;0),"Short covering (interpretation)",IF(AND(R448&lt;0,S448&lt;0),"Long unwinding (interpretation)","Neutral")))))</f>
        <v>Short buildup (interpretation)</v>
      </c>
      <c r="V448" s="52" t="str">
        <f aca="false">TEXT(B448,"yyyy-mm")</f>
        <v>2025-07</v>
      </c>
      <c r="W448" s="52" t="n">
        <f aca="false">1+COUNTIFS($B$2:$B$756,B448,$C$2:$C$756,"&lt;"&amp;C448)</f>
        <v>3</v>
      </c>
      <c r="X448" s="53" t="n">
        <f aca="false">IF(AND(ISNUMBER(P448),Q448&gt;0),P448*365/Q448,"")</f>
        <v>0.0622088691127648</v>
      </c>
      <c r="Y448" s="42" t="n">
        <f aca="false">IF(AND(C449=C448,ISNUMBER(R449)),R449,"")</f>
        <v>-0.771566490189979</v>
      </c>
      <c r="Z448" s="52" t="n">
        <f aca="false">IF(AND(W448=1,Q448&gt;Basis_Analysis!$B$3,ISNUMBER(Y448)),1,0)</f>
        <v>0</v>
      </c>
      <c r="AA448" s="43" t="str">
        <f aca="false">IF(W448=1,IF(SUMIFS($L$2:$L$756,$B$2:$B$756,B448,$W$2:$W$756,2)&gt;0,SUMIFS($L$2:$L$756,$B$2:$B$756,B448,$W$2:$W$756,2),""),"")</f>
        <v/>
      </c>
      <c r="AB448" s="54" t="str">
        <f aca="false">IF(AND(W448=1,ISNUMBER(AA448)),L448/(L448+AA448),"")</f>
        <v/>
      </c>
    </row>
    <row r="449" customFormat="false" ht="15" hidden="false" customHeight="true" outlineLevel="0" collapsed="false">
      <c r="A449" s="1" t="s">
        <v>274</v>
      </c>
      <c r="B449" s="46" t="n">
        <v>45849</v>
      </c>
      <c r="C449" s="46" t="n">
        <v>45925</v>
      </c>
      <c r="D449" s="47" t="n">
        <v>25648</v>
      </c>
      <c r="E449" s="47" t="n">
        <v>25673.6</v>
      </c>
      <c r="F449" s="47" t="n">
        <v>25470</v>
      </c>
      <c r="G449" s="47" t="n">
        <v>25489.8</v>
      </c>
      <c r="H449" s="47" t="n">
        <v>25470</v>
      </c>
      <c r="I449" s="47" t="n">
        <v>25489.8</v>
      </c>
      <c r="J449" s="48" t="n">
        <v>1953</v>
      </c>
      <c r="K449" s="47" t="n">
        <v>37403.39</v>
      </c>
      <c r="L449" s="48" t="n">
        <v>368775</v>
      </c>
      <c r="M449" s="48" t="n">
        <v>60900</v>
      </c>
      <c r="N449" s="47" t="n">
        <v>25149.85</v>
      </c>
      <c r="O449" s="47" t="n">
        <f aca="false">IF(AND(ISNUMBER(G449),ISNUMBER(N449)),G449-N449,"")</f>
        <v>339.950000000001</v>
      </c>
      <c r="P449" s="49" t="n">
        <f aca="false">IF(ISNUMBER(O449),O449/N449,"")</f>
        <v>0.0135169792265163</v>
      </c>
      <c r="Q449" s="50" t="n">
        <f aca="false">C449-B449</f>
        <v>76</v>
      </c>
      <c r="R449" s="51" t="n">
        <f aca="false">IF(AND(C449=C448,ISNUMBER(G449),ISNUMBER(G448)),(G449/G448-1)*100,"")</f>
        <v>-0.771566490189979</v>
      </c>
      <c r="S449" s="51" t="n">
        <f aca="false">IF(AND(C449=C448,ISNUMBER(L449),ISNUMBER(L448)),(L449/L448-1)*100,"")</f>
        <v>19.7807551766139</v>
      </c>
      <c r="T449" s="51" t="n">
        <f aca="false">IF(AND(C449=C448,ISNUMBER(G449),ISNUMBER(G448)),G449-G448,"")</f>
        <v>-198.200000000001</v>
      </c>
      <c r="U449" s="1" t="str">
        <f aca="false">IF(OR(NOT(ISNUMBER(R449)),NOT(ISNUMBER(S449))),"Not classified",IF(AND(R449&gt;0,S449&gt;0),"Long buildup (interpretation)",IF(AND(R449&lt;0,S449&gt;0),"Short buildup (interpretation)",IF(AND(R449&gt;0,S449&lt;0),"Short covering (interpretation)",IF(AND(R449&lt;0,S449&lt;0),"Long unwinding (interpretation)","Neutral")))))</f>
        <v>Short buildup (interpretation)</v>
      </c>
      <c r="V449" s="52" t="str">
        <f aca="false">TEXT(B449,"yyyy-mm")</f>
        <v>2025-07</v>
      </c>
      <c r="W449" s="52" t="n">
        <f aca="false">1+COUNTIFS($B$2:$B$756,B449,$C$2:$C$756,"&lt;"&amp;C449)</f>
        <v>3</v>
      </c>
      <c r="X449" s="53" t="n">
        <f aca="false">IF(AND(ISNUMBER(P449),Q449&gt;0),P449*365/Q449,"")</f>
        <v>0.0649170712852427</v>
      </c>
      <c r="Y449" s="42" t="n">
        <f aca="false">IF(AND(C450=C449,ISNUMBER(R450)),R450,"")</f>
        <v>-0.220872662790605</v>
      </c>
      <c r="Z449" s="52" t="n">
        <f aca="false">IF(AND(W449=1,Q449&gt;Basis_Analysis!$B$3,ISNUMBER(Y449)),1,0)</f>
        <v>0</v>
      </c>
      <c r="AA449" s="43" t="str">
        <f aca="false">IF(W449=1,IF(SUMIFS($L$2:$L$756,$B$2:$B$756,B449,$W$2:$W$756,2)&gt;0,SUMIFS($L$2:$L$756,$B$2:$B$756,B449,$W$2:$W$756,2),""),"")</f>
        <v/>
      </c>
      <c r="AB449" s="54" t="str">
        <f aca="false">IF(AND(W449=1,ISNUMBER(AA449)),L449/(L449+AA449),"")</f>
        <v/>
      </c>
    </row>
    <row r="450" customFormat="false" ht="15" hidden="false" customHeight="true" outlineLevel="0" collapsed="false">
      <c r="A450" s="1" t="s">
        <v>274</v>
      </c>
      <c r="B450" s="46" t="n">
        <v>45852</v>
      </c>
      <c r="C450" s="46" t="n">
        <v>45925</v>
      </c>
      <c r="D450" s="47" t="n">
        <v>25465</v>
      </c>
      <c r="E450" s="47" t="n">
        <v>25470</v>
      </c>
      <c r="F450" s="47" t="n">
        <v>25348</v>
      </c>
      <c r="G450" s="47" t="n">
        <v>25433.5</v>
      </c>
      <c r="H450" s="47" t="n">
        <v>25431.4</v>
      </c>
      <c r="I450" s="47" t="n">
        <v>25433.5</v>
      </c>
      <c r="J450" s="48" t="n">
        <v>1572</v>
      </c>
      <c r="K450" s="47" t="n">
        <v>29952.92</v>
      </c>
      <c r="L450" s="48" t="n">
        <v>397950</v>
      </c>
      <c r="M450" s="48" t="n">
        <v>29175</v>
      </c>
      <c r="N450" s="47" t="n">
        <v>25082.3</v>
      </c>
      <c r="O450" s="47" t="n">
        <f aca="false">IF(AND(ISNUMBER(G450),ISNUMBER(N450)),G450-N450,"")</f>
        <v>351.200000000001</v>
      </c>
      <c r="P450" s="49" t="n">
        <f aca="false">IF(ISNUMBER(O450),O450/N450,"")</f>
        <v>0.0140019057263489</v>
      </c>
      <c r="Q450" s="50" t="n">
        <f aca="false">C450-B450</f>
        <v>73</v>
      </c>
      <c r="R450" s="51" t="n">
        <f aca="false">IF(AND(C450=C449,ISNUMBER(G450),ISNUMBER(G449)),(G450/G449-1)*100,"")</f>
        <v>-0.220872662790605</v>
      </c>
      <c r="S450" s="51" t="n">
        <f aca="false">IF(AND(C450=C449,ISNUMBER(L450),ISNUMBER(L449)),(L450/L449-1)*100,"")</f>
        <v>7.91132804555623</v>
      </c>
      <c r="T450" s="51" t="n">
        <f aca="false">IF(AND(C450=C449,ISNUMBER(G450),ISNUMBER(G449)),G450-G449,"")</f>
        <v>-56.2999999999993</v>
      </c>
      <c r="U450" s="1" t="str">
        <f aca="false">IF(OR(NOT(ISNUMBER(R450)),NOT(ISNUMBER(S450))),"Not classified",IF(AND(R450&gt;0,S450&gt;0),"Long buildup (interpretation)",IF(AND(R450&lt;0,S450&gt;0),"Short buildup (interpretation)",IF(AND(R450&gt;0,S450&lt;0),"Short covering (interpretation)",IF(AND(R450&lt;0,S450&lt;0),"Long unwinding (interpretation)","Neutral")))))</f>
        <v>Short buildup (interpretation)</v>
      </c>
      <c r="V450" s="52" t="str">
        <f aca="false">TEXT(B450,"yyyy-mm")</f>
        <v>2025-07</v>
      </c>
      <c r="W450" s="52" t="n">
        <f aca="false">1+COUNTIFS($B$2:$B$756,B450,$C$2:$C$756,"&lt;"&amp;C450)</f>
        <v>3</v>
      </c>
      <c r="X450" s="53" t="n">
        <f aca="false">IF(AND(ISNUMBER(P450),Q450&gt;0),P450*365/Q450,"")</f>
        <v>0.0700095286317445</v>
      </c>
      <c r="Y450" s="42" t="n">
        <f aca="false">IF(AND(C451=C450,ISNUMBER(R451)),R451,"")</f>
        <v>0.376668567047389</v>
      </c>
      <c r="Z450" s="52" t="n">
        <f aca="false">IF(AND(W450=1,Q450&gt;Basis_Analysis!$B$3,ISNUMBER(Y450)),1,0)</f>
        <v>0</v>
      </c>
      <c r="AA450" s="43" t="str">
        <f aca="false">IF(W450=1,IF(SUMIFS($L$2:$L$756,$B$2:$B$756,B450,$W$2:$W$756,2)&gt;0,SUMIFS($L$2:$L$756,$B$2:$B$756,B450,$W$2:$W$756,2),""),"")</f>
        <v/>
      </c>
      <c r="AB450" s="54" t="str">
        <f aca="false">IF(AND(W450=1,ISNUMBER(AA450)),L450/(L450+AA450),"")</f>
        <v/>
      </c>
    </row>
    <row r="451" customFormat="false" ht="15" hidden="false" customHeight="true" outlineLevel="0" collapsed="false">
      <c r="A451" s="1" t="s">
        <v>274</v>
      </c>
      <c r="B451" s="46" t="n">
        <v>45853</v>
      </c>
      <c r="C451" s="46" t="n">
        <v>45925</v>
      </c>
      <c r="D451" s="47" t="n">
        <v>25424.9</v>
      </c>
      <c r="E451" s="47" t="n">
        <v>25564</v>
      </c>
      <c r="F451" s="47" t="n">
        <v>25415.1</v>
      </c>
      <c r="G451" s="47" t="n">
        <v>25529.3</v>
      </c>
      <c r="H451" s="47" t="n">
        <v>25540.5</v>
      </c>
      <c r="I451" s="47" t="n">
        <v>25529.3</v>
      </c>
      <c r="J451" s="48" t="n">
        <v>1492</v>
      </c>
      <c r="K451" s="47" t="n">
        <v>28545.5</v>
      </c>
      <c r="L451" s="48" t="n">
        <v>397800</v>
      </c>
      <c r="M451" s="48" t="n">
        <v>-150</v>
      </c>
      <c r="N451" s="47" t="n">
        <v>25195.8</v>
      </c>
      <c r="O451" s="47" t="n">
        <f aca="false">IF(AND(ISNUMBER(G451),ISNUMBER(N451)),G451-N451,"")</f>
        <v>333.5</v>
      </c>
      <c r="P451" s="49" t="n">
        <f aca="false">IF(ISNUMBER(O451),O451/N451,"")</f>
        <v>0.0132363330396336</v>
      </c>
      <c r="Q451" s="50" t="n">
        <f aca="false">C451-B451</f>
        <v>72</v>
      </c>
      <c r="R451" s="51" t="n">
        <f aca="false">IF(AND(C451=C450,ISNUMBER(G451),ISNUMBER(G450)),(G451/G450-1)*100,"")</f>
        <v>0.376668567047389</v>
      </c>
      <c r="S451" s="51" t="n">
        <f aca="false">IF(AND(C451=C450,ISNUMBER(L451),ISNUMBER(L450)),(L451/L450-1)*100,"")</f>
        <v>-0.0376931775348699</v>
      </c>
      <c r="T451" s="51" t="n">
        <f aca="false">IF(AND(C451=C450,ISNUMBER(G451),ISNUMBER(G450)),G451-G450,"")</f>
        <v>95.7999999999993</v>
      </c>
      <c r="U451" s="1" t="str">
        <f aca="false">IF(OR(NOT(ISNUMBER(R451)),NOT(ISNUMBER(S451))),"Not classified",IF(AND(R451&gt;0,S451&gt;0),"Long buildup (interpretation)",IF(AND(R451&lt;0,S451&gt;0),"Short buildup (interpretation)",IF(AND(R451&gt;0,S451&lt;0),"Short covering (interpretation)",IF(AND(R451&lt;0,S451&lt;0),"Long unwinding (interpretation)","Neutral")))))</f>
        <v>Short covering (interpretation)</v>
      </c>
      <c r="V451" s="52" t="str">
        <f aca="false">TEXT(B451,"yyyy-mm")</f>
        <v>2025-07</v>
      </c>
      <c r="W451" s="52" t="n">
        <f aca="false">1+COUNTIFS($B$2:$B$756,B451,$C$2:$C$756,"&lt;"&amp;C451)</f>
        <v>3</v>
      </c>
      <c r="X451" s="53" t="n">
        <f aca="false">IF(AND(ISNUMBER(P451),Q451&gt;0),P451*365/Q451,"")</f>
        <v>0.0671008549925869</v>
      </c>
      <c r="Y451" s="42" t="n">
        <f aca="false">IF(AND(C452=C451,ISNUMBER(R452)),R452,"")</f>
        <v>-0.0822584246336522</v>
      </c>
      <c r="Z451" s="52" t="n">
        <f aca="false">IF(AND(W451=1,Q451&gt;Basis_Analysis!$B$3,ISNUMBER(Y451)),1,0)</f>
        <v>0</v>
      </c>
      <c r="AA451" s="43" t="str">
        <f aca="false">IF(W451=1,IF(SUMIFS($L$2:$L$756,$B$2:$B$756,B451,$W$2:$W$756,2)&gt;0,SUMIFS($L$2:$L$756,$B$2:$B$756,B451,$W$2:$W$756,2),""),"")</f>
        <v/>
      </c>
      <c r="AB451" s="54" t="str">
        <f aca="false">IF(AND(W451=1,ISNUMBER(AA451)),L451/(L451+AA451),"")</f>
        <v/>
      </c>
    </row>
    <row r="452" customFormat="false" ht="15" hidden="false" customHeight="true" outlineLevel="0" collapsed="false">
      <c r="A452" s="1" t="s">
        <v>274</v>
      </c>
      <c r="B452" s="46" t="n">
        <v>45854</v>
      </c>
      <c r="C452" s="46" t="n">
        <v>45925</v>
      </c>
      <c r="D452" s="47" t="n">
        <v>25486</v>
      </c>
      <c r="E452" s="47" t="n">
        <v>25549</v>
      </c>
      <c r="F452" s="47" t="n">
        <v>25425</v>
      </c>
      <c r="G452" s="47" t="n">
        <v>25508.3</v>
      </c>
      <c r="H452" s="47" t="n">
        <v>25507.1</v>
      </c>
      <c r="I452" s="47" t="n">
        <v>25508.3</v>
      </c>
      <c r="J452" s="48" t="n">
        <v>1174</v>
      </c>
      <c r="K452" s="47" t="n">
        <v>22439.79</v>
      </c>
      <c r="L452" s="48" t="n">
        <v>407625</v>
      </c>
      <c r="M452" s="48" t="n">
        <v>9825</v>
      </c>
      <c r="N452" s="47" t="n">
        <v>25212.05</v>
      </c>
      <c r="O452" s="47" t="n">
        <f aca="false">IF(AND(ISNUMBER(G452),ISNUMBER(N452)),G452-N452,"")</f>
        <v>296.25</v>
      </c>
      <c r="P452" s="49" t="n">
        <f aca="false">IF(ISNUMBER(O452),O452/N452,"")</f>
        <v>0.0117503336698127</v>
      </c>
      <c r="Q452" s="50" t="n">
        <f aca="false">C452-B452</f>
        <v>71</v>
      </c>
      <c r="R452" s="51" t="n">
        <f aca="false">IF(AND(C452=C451,ISNUMBER(G452),ISNUMBER(G451)),(G452/G451-1)*100,"")</f>
        <v>-0.0822584246336522</v>
      </c>
      <c r="S452" s="51" t="n">
        <f aca="false">IF(AND(C452=C451,ISNUMBER(L452),ISNUMBER(L451)),(L452/L451-1)*100,"")</f>
        <v>2.46983408748114</v>
      </c>
      <c r="T452" s="51" t="n">
        <f aca="false">IF(AND(C452=C451,ISNUMBER(G452),ISNUMBER(G451)),G452-G451,"")</f>
        <v>-21</v>
      </c>
      <c r="U452" s="1" t="str">
        <f aca="false">IF(OR(NOT(ISNUMBER(R452)),NOT(ISNUMBER(S452))),"Not classified",IF(AND(R452&gt;0,S452&gt;0),"Long buildup (interpretation)",IF(AND(R452&lt;0,S452&gt;0),"Short buildup (interpretation)",IF(AND(R452&gt;0,S452&lt;0),"Short covering (interpretation)",IF(AND(R452&lt;0,S452&lt;0),"Long unwinding (interpretation)","Neutral")))))</f>
        <v>Short buildup (interpretation)</v>
      </c>
      <c r="V452" s="52" t="str">
        <f aca="false">TEXT(B452,"yyyy-mm")</f>
        <v>2025-07</v>
      </c>
      <c r="W452" s="52" t="n">
        <f aca="false">1+COUNTIFS($B$2:$B$756,B452,$C$2:$C$756,"&lt;"&amp;C452)</f>
        <v>3</v>
      </c>
      <c r="X452" s="53" t="n">
        <f aca="false">IF(AND(ISNUMBER(P452),Q452&gt;0),P452*365/Q452,"")</f>
        <v>0.0604066449222763</v>
      </c>
      <c r="Y452" s="42" t="n">
        <f aca="false">IF(AND(C453=C452,ISNUMBER(R453)),R453,"")</f>
        <v>-0.28265309722717</v>
      </c>
      <c r="Z452" s="52" t="n">
        <f aca="false">IF(AND(W452=1,Q452&gt;Basis_Analysis!$B$3,ISNUMBER(Y452)),1,0)</f>
        <v>0</v>
      </c>
      <c r="AA452" s="43" t="str">
        <f aca="false">IF(W452=1,IF(SUMIFS($L$2:$L$756,$B$2:$B$756,B452,$W$2:$W$756,2)&gt;0,SUMIFS($L$2:$L$756,$B$2:$B$756,B452,$W$2:$W$756,2),""),"")</f>
        <v/>
      </c>
      <c r="AB452" s="54" t="str">
        <f aca="false">IF(AND(W452=1,ISNUMBER(AA452)),L452/(L452+AA452),"")</f>
        <v/>
      </c>
    </row>
    <row r="453" customFormat="false" ht="15" hidden="false" customHeight="true" outlineLevel="0" collapsed="false">
      <c r="A453" s="1" t="s">
        <v>274</v>
      </c>
      <c r="B453" s="46" t="n">
        <v>45855</v>
      </c>
      <c r="C453" s="46" t="n">
        <v>45925</v>
      </c>
      <c r="D453" s="47" t="n">
        <v>25525</v>
      </c>
      <c r="E453" s="47" t="n">
        <v>25528.6</v>
      </c>
      <c r="F453" s="47" t="n">
        <v>25425</v>
      </c>
      <c r="G453" s="47" t="n">
        <v>25436.2</v>
      </c>
      <c r="H453" s="47" t="n">
        <v>25430</v>
      </c>
      <c r="I453" s="47" t="n">
        <v>25436.2</v>
      </c>
      <c r="J453" s="48" t="n">
        <v>1083</v>
      </c>
      <c r="K453" s="47" t="n">
        <v>20687.72</v>
      </c>
      <c r="L453" s="48" t="n">
        <v>423900</v>
      </c>
      <c r="M453" s="48" t="n">
        <v>16275</v>
      </c>
      <c r="N453" s="47" t="n">
        <v>25111.45</v>
      </c>
      <c r="O453" s="47" t="n">
        <f aca="false">IF(AND(ISNUMBER(G453),ISNUMBER(N453)),G453-N453,"")</f>
        <v>324.75</v>
      </c>
      <c r="P453" s="49" t="n">
        <f aca="false">IF(ISNUMBER(O453),O453/N453,"")</f>
        <v>0.0129323475944241</v>
      </c>
      <c r="Q453" s="50" t="n">
        <f aca="false">C453-B453</f>
        <v>70</v>
      </c>
      <c r="R453" s="51" t="n">
        <f aca="false">IF(AND(C453=C452,ISNUMBER(G453),ISNUMBER(G452)),(G453/G452-1)*100,"")</f>
        <v>-0.28265309722717</v>
      </c>
      <c r="S453" s="51" t="n">
        <f aca="false">IF(AND(C453=C452,ISNUMBER(L453),ISNUMBER(L452)),(L453/L452-1)*100,"")</f>
        <v>3.99264029438822</v>
      </c>
      <c r="T453" s="51" t="n">
        <f aca="false">IF(AND(C453=C452,ISNUMBER(G453),ISNUMBER(G452)),G453-G452,"")</f>
        <v>-72.0999999999985</v>
      </c>
      <c r="U453" s="1" t="str">
        <f aca="false">IF(OR(NOT(ISNUMBER(R453)),NOT(ISNUMBER(S453))),"Not classified",IF(AND(R453&gt;0,S453&gt;0),"Long buildup (interpretation)",IF(AND(R453&lt;0,S453&gt;0),"Short buildup (interpretation)",IF(AND(R453&gt;0,S453&lt;0),"Short covering (interpretation)",IF(AND(R453&lt;0,S453&lt;0),"Long unwinding (interpretation)","Neutral")))))</f>
        <v>Short buildup (interpretation)</v>
      </c>
      <c r="V453" s="52" t="str">
        <f aca="false">TEXT(B453,"yyyy-mm")</f>
        <v>2025-07</v>
      </c>
      <c r="W453" s="52" t="n">
        <f aca="false">1+COUNTIFS($B$2:$B$756,B453,$C$2:$C$756,"&lt;"&amp;C453)</f>
        <v>3</v>
      </c>
      <c r="X453" s="53" t="n">
        <f aca="false">IF(AND(ISNUMBER(P453),Q453&gt;0),P453*365/Q453,"")</f>
        <v>0.0674329553137826</v>
      </c>
      <c r="Y453" s="42" t="n">
        <f aca="false">IF(AND(C454=C453,ISNUMBER(R454)),R454,"")</f>
        <v>-0.566515438626847</v>
      </c>
      <c r="Z453" s="52" t="n">
        <f aca="false">IF(AND(W453=1,Q453&gt;Basis_Analysis!$B$3,ISNUMBER(Y453)),1,0)</f>
        <v>0</v>
      </c>
      <c r="AA453" s="43" t="str">
        <f aca="false">IF(W453=1,IF(SUMIFS($L$2:$L$756,$B$2:$B$756,B453,$W$2:$W$756,2)&gt;0,SUMIFS($L$2:$L$756,$B$2:$B$756,B453,$W$2:$W$756,2),""),"")</f>
        <v/>
      </c>
      <c r="AB453" s="54" t="str">
        <f aca="false">IF(AND(W453=1,ISNUMBER(AA453)),L453/(L453+AA453),"")</f>
        <v/>
      </c>
    </row>
    <row r="454" customFormat="false" ht="15" hidden="false" customHeight="true" outlineLevel="0" collapsed="false">
      <c r="A454" s="1" t="s">
        <v>274</v>
      </c>
      <c r="B454" s="46" t="n">
        <v>45856</v>
      </c>
      <c r="C454" s="46" t="n">
        <v>45925</v>
      </c>
      <c r="D454" s="47" t="n">
        <v>25435.6</v>
      </c>
      <c r="E454" s="47" t="n">
        <v>25437.4</v>
      </c>
      <c r="F454" s="47" t="n">
        <v>25243.5</v>
      </c>
      <c r="G454" s="47" t="n">
        <v>25292.1</v>
      </c>
      <c r="H454" s="47" t="n">
        <v>25295</v>
      </c>
      <c r="I454" s="47" t="n">
        <v>25292.1</v>
      </c>
      <c r="J454" s="48" t="n">
        <v>2427</v>
      </c>
      <c r="K454" s="47" t="n">
        <v>46055.08</v>
      </c>
      <c r="L454" s="48" t="n">
        <v>454275</v>
      </c>
      <c r="M454" s="48" t="n">
        <v>30375</v>
      </c>
      <c r="N454" s="47" t="n">
        <v>24968.4</v>
      </c>
      <c r="O454" s="47" t="n">
        <f aca="false">IF(AND(ISNUMBER(G454),ISNUMBER(N454)),G454-N454,"")</f>
        <v>323.699999999997</v>
      </c>
      <c r="P454" s="49" t="n">
        <f aca="false">IF(ISNUMBER(O454),O454/N454,"")</f>
        <v>0.0129643869851491</v>
      </c>
      <c r="Q454" s="50" t="n">
        <f aca="false">C454-B454</f>
        <v>69</v>
      </c>
      <c r="R454" s="51" t="n">
        <f aca="false">IF(AND(C454=C453,ISNUMBER(G454),ISNUMBER(G453)),(G454/G453-1)*100,"")</f>
        <v>-0.566515438626847</v>
      </c>
      <c r="S454" s="51" t="n">
        <f aca="false">IF(AND(C454=C453,ISNUMBER(L454),ISNUMBER(L453)),(L454/L453-1)*100,"")</f>
        <v>7.16560509554141</v>
      </c>
      <c r="T454" s="51" t="n">
        <f aca="false">IF(AND(C454=C453,ISNUMBER(G454),ISNUMBER(G453)),G454-G453,"")</f>
        <v>-144.100000000002</v>
      </c>
      <c r="U454" s="1" t="str">
        <f aca="false">IF(OR(NOT(ISNUMBER(R454)),NOT(ISNUMBER(S454))),"Not classified",IF(AND(R454&gt;0,S454&gt;0),"Long buildup (interpretation)",IF(AND(R454&lt;0,S454&gt;0),"Short buildup (interpretation)",IF(AND(R454&gt;0,S454&lt;0),"Short covering (interpretation)",IF(AND(R454&lt;0,S454&lt;0),"Long unwinding (interpretation)","Neutral")))))</f>
        <v>Short buildup (interpretation)</v>
      </c>
      <c r="V454" s="52" t="str">
        <f aca="false">TEXT(B454,"yyyy-mm")</f>
        <v>2025-07</v>
      </c>
      <c r="W454" s="52" t="n">
        <f aca="false">1+COUNTIFS($B$2:$B$756,B454,$C$2:$C$756,"&lt;"&amp;C454)</f>
        <v>3</v>
      </c>
      <c r="X454" s="53" t="n">
        <f aca="false">IF(AND(ISNUMBER(P454),Q454&gt;0),P454*365/Q454,"")</f>
        <v>0.0685797282547743</v>
      </c>
      <c r="Y454" s="42" t="n">
        <f aca="false">IF(AND(C455=C454,ISNUMBER(R455)),R455,"")</f>
        <v>0.343190166099316</v>
      </c>
      <c r="Z454" s="52" t="n">
        <f aca="false">IF(AND(W454=1,Q454&gt;Basis_Analysis!$B$3,ISNUMBER(Y454)),1,0)</f>
        <v>0</v>
      </c>
      <c r="AA454" s="43" t="str">
        <f aca="false">IF(W454=1,IF(SUMIFS($L$2:$L$756,$B$2:$B$756,B454,$W$2:$W$756,2)&gt;0,SUMIFS($L$2:$L$756,$B$2:$B$756,B454,$W$2:$W$756,2),""),"")</f>
        <v/>
      </c>
      <c r="AB454" s="54" t="str">
        <f aca="false">IF(AND(W454=1,ISNUMBER(AA454)),L454/(L454+AA454),"")</f>
        <v/>
      </c>
    </row>
    <row r="455" customFormat="false" ht="15" hidden="false" customHeight="true" outlineLevel="0" collapsed="false">
      <c r="A455" s="1" t="s">
        <v>274</v>
      </c>
      <c r="B455" s="46" t="n">
        <v>45859</v>
      </c>
      <c r="C455" s="46" t="n">
        <v>45925</v>
      </c>
      <c r="D455" s="47" t="n">
        <v>25295</v>
      </c>
      <c r="E455" s="47" t="n">
        <v>25392</v>
      </c>
      <c r="F455" s="47" t="n">
        <v>25180.9</v>
      </c>
      <c r="G455" s="47" t="n">
        <v>25378.9</v>
      </c>
      <c r="H455" s="47" t="n">
        <v>25387</v>
      </c>
      <c r="I455" s="47" t="n">
        <v>25378.9</v>
      </c>
      <c r="J455" s="48" t="n">
        <v>2673</v>
      </c>
      <c r="K455" s="47" t="n">
        <v>50751.42</v>
      </c>
      <c r="L455" s="48" t="n">
        <v>486900</v>
      </c>
      <c r="M455" s="48" t="n">
        <v>32625</v>
      </c>
      <c r="N455" s="47" t="n">
        <v>25090.7</v>
      </c>
      <c r="O455" s="47" t="n">
        <f aca="false">IF(AND(ISNUMBER(G455),ISNUMBER(N455)),G455-N455,"")</f>
        <v>288.200000000001</v>
      </c>
      <c r="P455" s="49" t="n">
        <f aca="false">IF(ISNUMBER(O455),O455/N455,"")</f>
        <v>0.0114863276034547</v>
      </c>
      <c r="Q455" s="50" t="n">
        <f aca="false">C455-B455</f>
        <v>66</v>
      </c>
      <c r="R455" s="51" t="n">
        <f aca="false">IF(AND(C455=C454,ISNUMBER(G455),ISNUMBER(G454)),(G455/G454-1)*100,"")</f>
        <v>0.343190166099316</v>
      </c>
      <c r="S455" s="51" t="n">
        <f aca="false">IF(AND(C455=C454,ISNUMBER(L455),ISNUMBER(L454)),(L455/L454-1)*100,"")</f>
        <v>7.18177315502724</v>
      </c>
      <c r="T455" s="51" t="n">
        <f aca="false">IF(AND(C455=C454,ISNUMBER(G455),ISNUMBER(G454)),G455-G454,"")</f>
        <v>86.8000000000029</v>
      </c>
      <c r="U455" s="1" t="str">
        <f aca="false">IF(OR(NOT(ISNUMBER(R455)),NOT(ISNUMBER(S455))),"Not classified",IF(AND(R455&gt;0,S455&gt;0),"Long buildup (interpretation)",IF(AND(R455&lt;0,S455&gt;0),"Short buildup (interpretation)",IF(AND(R455&gt;0,S455&lt;0),"Short covering (interpretation)",IF(AND(R455&lt;0,S455&lt;0),"Long unwinding (interpretation)","Neutral")))))</f>
        <v>Long buildup (interpretation)</v>
      </c>
      <c r="V455" s="52" t="str">
        <f aca="false">TEXT(B455,"yyyy-mm")</f>
        <v>2025-07</v>
      </c>
      <c r="W455" s="52" t="n">
        <f aca="false">1+COUNTIFS($B$2:$B$756,B455,$C$2:$C$756,"&lt;"&amp;C455)</f>
        <v>3</v>
      </c>
      <c r="X455" s="53" t="n">
        <f aca="false">IF(AND(ISNUMBER(P455),Q455&gt;0),P455*365/Q455,"")</f>
        <v>0.0635228723524388</v>
      </c>
      <c r="Y455" s="42" t="n">
        <f aca="false">IF(AND(C456=C455,ISNUMBER(R456)),R456,"")</f>
        <v>-0.11978454542948</v>
      </c>
      <c r="Z455" s="52" t="n">
        <f aca="false">IF(AND(W455=1,Q455&gt;Basis_Analysis!$B$3,ISNUMBER(Y455)),1,0)</f>
        <v>0</v>
      </c>
      <c r="AA455" s="43" t="str">
        <f aca="false">IF(W455=1,IF(SUMIFS($L$2:$L$756,$B$2:$B$756,B455,$W$2:$W$756,2)&gt;0,SUMIFS($L$2:$L$756,$B$2:$B$756,B455,$W$2:$W$756,2),""),"")</f>
        <v/>
      </c>
      <c r="AB455" s="54" t="str">
        <f aca="false">IF(AND(W455=1,ISNUMBER(AA455)),L455/(L455+AA455),"")</f>
        <v/>
      </c>
    </row>
    <row r="456" customFormat="false" ht="15" hidden="false" customHeight="true" outlineLevel="0" collapsed="false">
      <c r="A456" s="1" t="s">
        <v>274</v>
      </c>
      <c r="B456" s="46" t="n">
        <v>45860</v>
      </c>
      <c r="C456" s="46" t="n">
        <v>45925</v>
      </c>
      <c r="D456" s="47" t="n">
        <v>25402.2</v>
      </c>
      <c r="E456" s="47" t="n">
        <v>25450</v>
      </c>
      <c r="F456" s="47" t="n">
        <v>25335</v>
      </c>
      <c r="G456" s="47" t="n">
        <v>25348.5</v>
      </c>
      <c r="H456" s="47" t="n">
        <v>25341.7</v>
      </c>
      <c r="I456" s="47" t="n">
        <v>25348.5</v>
      </c>
      <c r="J456" s="48" t="n">
        <v>886</v>
      </c>
      <c r="K456" s="47" t="n">
        <v>16865.66</v>
      </c>
      <c r="L456" s="48" t="n">
        <v>498375</v>
      </c>
      <c r="M456" s="48" t="n">
        <v>11475</v>
      </c>
      <c r="N456" s="47" t="n">
        <v>25060.9</v>
      </c>
      <c r="O456" s="47" t="n">
        <f aca="false">IF(AND(ISNUMBER(G456),ISNUMBER(N456)),G456-N456,"")</f>
        <v>287.599999999999</v>
      </c>
      <c r="P456" s="49" t="n">
        <f aca="false">IF(ISNUMBER(O456),O456/N456,"")</f>
        <v>0.0114760443559489</v>
      </c>
      <c r="Q456" s="50" t="n">
        <f aca="false">C456-B456</f>
        <v>65</v>
      </c>
      <c r="R456" s="51" t="n">
        <f aca="false">IF(AND(C456=C455,ISNUMBER(G456),ISNUMBER(G455)),(G456/G455-1)*100,"")</f>
        <v>-0.11978454542948</v>
      </c>
      <c r="S456" s="51" t="n">
        <f aca="false">IF(AND(C456=C455,ISNUMBER(L456),ISNUMBER(L455)),(L456/L455-1)*100,"")</f>
        <v>2.35674676524953</v>
      </c>
      <c r="T456" s="51" t="n">
        <f aca="false">IF(AND(C456=C455,ISNUMBER(G456),ISNUMBER(G455)),G456-G455,"")</f>
        <v>-30.4000000000015</v>
      </c>
      <c r="U456" s="1" t="str">
        <f aca="false">IF(OR(NOT(ISNUMBER(R456)),NOT(ISNUMBER(S456))),"Not classified",IF(AND(R456&gt;0,S456&gt;0),"Long buildup (interpretation)",IF(AND(R456&lt;0,S456&gt;0),"Short buildup (interpretation)",IF(AND(R456&gt;0,S456&lt;0),"Short covering (interpretation)",IF(AND(R456&lt;0,S456&lt;0),"Long unwinding (interpretation)","Neutral")))))</f>
        <v>Short buildup (interpretation)</v>
      </c>
      <c r="V456" s="52" t="str">
        <f aca="false">TEXT(B456,"yyyy-mm")</f>
        <v>2025-07</v>
      </c>
      <c r="W456" s="52" t="n">
        <f aca="false">1+COUNTIFS($B$2:$B$756,B456,$C$2:$C$756,"&lt;"&amp;C456)</f>
        <v>3</v>
      </c>
      <c r="X456" s="53" t="n">
        <f aca="false">IF(AND(ISNUMBER(P456),Q456&gt;0),P456*365/Q456,"")</f>
        <v>0.0644424029218666</v>
      </c>
      <c r="Y456" s="42" t="n">
        <f aca="false">IF(AND(C457=C456,ISNUMBER(R457)),R457,"")</f>
        <v>0.606742016292872</v>
      </c>
      <c r="Z456" s="52" t="n">
        <f aca="false">IF(AND(W456=1,Q456&gt;Basis_Analysis!$B$3,ISNUMBER(Y456)),1,0)</f>
        <v>0</v>
      </c>
      <c r="AA456" s="43" t="str">
        <f aca="false">IF(W456=1,IF(SUMIFS($L$2:$L$756,$B$2:$B$756,B456,$W$2:$W$756,2)&gt;0,SUMIFS($L$2:$L$756,$B$2:$B$756,B456,$W$2:$W$756,2),""),"")</f>
        <v/>
      </c>
      <c r="AB456" s="54" t="str">
        <f aca="false">IF(AND(W456=1,ISNUMBER(AA456)),L456/(L456+AA456),"")</f>
        <v/>
      </c>
    </row>
    <row r="457" customFormat="false" ht="15" hidden="false" customHeight="true" outlineLevel="0" collapsed="false">
      <c r="A457" s="1" t="s">
        <v>274</v>
      </c>
      <c r="B457" s="46" t="n">
        <v>45861</v>
      </c>
      <c r="C457" s="46" t="n">
        <v>45925</v>
      </c>
      <c r="D457" s="47" t="n">
        <v>25394.2</v>
      </c>
      <c r="E457" s="47" t="n">
        <v>25508</v>
      </c>
      <c r="F457" s="47" t="n">
        <v>25364.6</v>
      </c>
      <c r="G457" s="47" t="n">
        <v>25502.3</v>
      </c>
      <c r="H457" s="47" t="n">
        <v>25498.8</v>
      </c>
      <c r="I457" s="47" t="n">
        <v>25502.3</v>
      </c>
      <c r="J457" s="48" t="n">
        <v>1600</v>
      </c>
      <c r="K457" s="47" t="n">
        <v>30539.94</v>
      </c>
      <c r="L457" s="48" t="n">
        <v>497175</v>
      </c>
      <c r="M457" s="48" t="n">
        <v>-1200</v>
      </c>
      <c r="N457" s="47" t="n">
        <v>25219.9</v>
      </c>
      <c r="O457" s="47" t="n">
        <f aca="false">IF(AND(ISNUMBER(G457),ISNUMBER(N457)),G457-N457,"")</f>
        <v>282.399999999998</v>
      </c>
      <c r="P457" s="49" t="n">
        <f aca="false">IF(ISNUMBER(O457),O457/N457,"")</f>
        <v>0.0111975067307958</v>
      </c>
      <c r="Q457" s="50" t="n">
        <f aca="false">C457-B457</f>
        <v>64</v>
      </c>
      <c r="R457" s="51" t="n">
        <f aca="false">IF(AND(C457=C456,ISNUMBER(G457),ISNUMBER(G456)),(G457/G456-1)*100,"")</f>
        <v>0.606742016292872</v>
      </c>
      <c r="S457" s="51" t="n">
        <f aca="false">IF(AND(C457=C456,ISNUMBER(L457),ISNUMBER(L456)),(L457/L456-1)*100,"")</f>
        <v>-0.240782543265616</v>
      </c>
      <c r="T457" s="51" t="n">
        <f aca="false">IF(AND(C457=C456,ISNUMBER(G457),ISNUMBER(G456)),G457-G456,"")</f>
        <v>153.799999999999</v>
      </c>
      <c r="U457" s="1" t="str">
        <f aca="false">IF(OR(NOT(ISNUMBER(R457)),NOT(ISNUMBER(S457))),"Not classified",IF(AND(R457&gt;0,S457&gt;0),"Long buildup (interpretation)",IF(AND(R457&lt;0,S457&gt;0),"Short buildup (interpretation)",IF(AND(R457&gt;0,S457&lt;0),"Short covering (interpretation)",IF(AND(R457&lt;0,S457&lt;0),"Long unwinding (interpretation)","Neutral")))))</f>
        <v>Short covering (interpretation)</v>
      </c>
      <c r="V457" s="52" t="str">
        <f aca="false">TEXT(B457,"yyyy-mm")</f>
        <v>2025-07</v>
      </c>
      <c r="W457" s="52" t="n">
        <f aca="false">1+COUNTIFS($B$2:$B$756,B457,$C$2:$C$756,"&lt;"&amp;C457)</f>
        <v>3</v>
      </c>
      <c r="X457" s="53" t="n">
        <f aca="false">IF(AND(ISNUMBER(P457),Q457&gt;0),P457*365/Q457,"")</f>
        <v>0.06386078057407</v>
      </c>
      <c r="Y457" s="42" t="n">
        <f aca="false">IF(AND(C458=C457,ISNUMBER(R458)),R458,"")</f>
        <v>-0.608572560122034</v>
      </c>
      <c r="Z457" s="52" t="n">
        <f aca="false">IF(AND(W457=1,Q457&gt;Basis_Analysis!$B$3,ISNUMBER(Y457)),1,0)</f>
        <v>0</v>
      </c>
      <c r="AA457" s="43" t="str">
        <f aca="false">IF(W457=1,IF(SUMIFS($L$2:$L$756,$B$2:$B$756,B457,$W$2:$W$756,2)&gt;0,SUMIFS($L$2:$L$756,$B$2:$B$756,B457,$W$2:$W$756,2),""),"")</f>
        <v/>
      </c>
      <c r="AB457" s="54" t="str">
        <f aca="false">IF(AND(W457=1,ISNUMBER(AA457)),L457/(L457+AA457),"")</f>
        <v/>
      </c>
    </row>
    <row r="458" customFormat="false" ht="15" hidden="false" customHeight="true" outlineLevel="0" collapsed="false">
      <c r="A458" s="1" t="s">
        <v>274</v>
      </c>
      <c r="B458" s="46" t="n">
        <v>45862</v>
      </c>
      <c r="C458" s="46" t="n">
        <v>45925</v>
      </c>
      <c r="D458" s="47" t="n">
        <v>25452.3</v>
      </c>
      <c r="E458" s="47" t="n">
        <v>25526.9</v>
      </c>
      <c r="F458" s="47" t="n">
        <v>25310</v>
      </c>
      <c r="G458" s="47" t="n">
        <v>25347.1</v>
      </c>
      <c r="H458" s="47" t="n">
        <v>25343.8</v>
      </c>
      <c r="I458" s="47" t="n">
        <v>25347.1</v>
      </c>
      <c r="J458" s="48" t="n">
        <v>1629</v>
      </c>
      <c r="K458" s="47" t="n">
        <v>31015.46</v>
      </c>
      <c r="L458" s="48" t="n">
        <v>532050</v>
      </c>
      <c r="M458" s="48" t="n">
        <v>34875</v>
      </c>
      <c r="N458" s="47" t="n">
        <v>25062.1</v>
      </c>
      <c r="O458" s="47" t="n">
        <f aca="false">IF(AND(ISNUMBER(G458),ISNUMBER(N458)),G458-N458,"")</f>
        <v>285</v>
      </c>
      <c r="P458" s="49" t="n">
        <f aca="false">IF(ISNUMBER(O458),O458/N458,"")</f>
        <v>0.0113717525666245</v>
      </c>
      <c r="Q458" s="50" t="n">
        <f aca="false">C458-B458</f>
        <v>63</v>
      </c>
      <c r="R458" s="51" t="n">
        <f aca="false">IF(AND(C458=C457,ISNUMBER(G458),ISNUMBER(G457)),(G458/G457-1)*100,"")</f>
        <v>-0.608572560122034</v>
      </c>
      <c r="S458" s="51" t="n">
        <f aca="false">IF(AND(C458=C457,ISNUMBER(L458),ISNUMBER(L457)),(L458/L457-1)*100,"")</f>
        <v>7.01463267461155</v>
      </c>
      <c r="T458" s="51" t="n">
        <f aca="false">IF(AND(C458=C457,ISNUMBER(G458),ISNUMBER(G457)),G458-G457,"")</f>
        <v>-155.200000000001</v>
      </c>
      <c r="U458" s="1" t="str">
        <f aca="false">IF(OR(NOT(ISNUMBER(R458)),NOT(ISNUMBER(S458))),"Not classified",IF(AND(R458&gt;0,S458&gt;0),"Long buildup (interpretation)",IF(AND(R458&lt;0,S458&gt;0),"Short buildup (interpretation)",IF(AND(R458&gt;0,S458&lt;0),"Short covering (interpretation)",IF(AND(R458&lt;0,S458&lt;0),"Long unwinding (interpretation)","Neutral")))))</f>
        <v>Short buildup (interpretation)</v>
      </c>
      <c r="V458" s="52" t="str">
        <f aca="false">TEXT(B458,"yyyy-mm")</f>
        <v>2025-07</v>
      </c>
      <c r="W458" s="52" t="n">
        <f aca="false">1+COUNTIFS($B$2:$B$756,B458,$C$2:$C$756,"&lt;"&amp;C458)</f>
        <v>3</v>
      </c>
      <c r="X458" s="53" t="n">
        <f aca="false">IF(AND(ISNUMBER(P458),Q458&gt;0),P458*365/Q458,"")</f>
        <v>0.0658839632828245</v>
      </c>
      <c r="Y458" s="42" t="n">
        <f aca="false">IF(AND(C459=C458,ISNUMBER(R459)),R459,"")</f>
        <v>-0.962240256281777</v>
      </c>
      <c r="Z458" s="52" t="n">
        <f aca="false">IF(AND(W458=1,Q458&gt;Basis_Analysis!$B$3,ISNUMBER(Y458)),1,0)</f>
        <v>0</v>
      </c>
      <c r="AA458" s="43" t="str">
        <f aca="false">IF(W458=1,IF(SUMIFS($L$2:$L$756,$B$2:$B$756,B458,$W$2:$W$756,2)&gt;0,SUMIFS($L$2:$L$756,$B$2:$B$756,B458,$W$2:$W$756,2),""),"")</f>
        <v/>
      </c>
      <c r="AB458" s="54" t="str">
        <f aca="false">IF(AND(W458=1,ISNUMBER(AA458)),L458/(L458+AA458),"")</f>
        <v/>
      </c>
    </row>
    <row r="459" customFormat="false" ht="15" hidden="false" customHeight="true" outlineLevel="0" collapsed="false">
      <c r="A459" s="1" t="s">
        <v>274</v>
      </c>
      <c r="B459" s="46" t="n">
        <v>45863</v>
      </c>
      <c r="C459" s="46" t="n">
        <v>45925</v>
      </c>
      <c r="D459" s="47" t="n">
        <v>25276.7</v>
      </c>
      <c r="E459" s="47" t="n">
        <v>25278</v>
      </c>
      <c r="F459" s="47" t="n">
        <v>25090</v>
      </c>
      <c r="G459" s="47" t="n">
        <v>25103.2</v>
      </c>
      <c r="H459" s="47" t="n">
        <v>25096.2</v>
      </c>
      <c r="I459" s="47" t="n">
        <v>25103.2</v>
      </c>
      <c r="J459" s="48" t="n">
        <v>4553</v>
      </c>
      <c r="K459" s="47" t="n">
        <v>85890</v>
      </c>
      <c r="L459" s="48" t="n">
        <v>602475</v>
      </c>
      <c r="M459" s="48" t="n">
        <v>70425</v>
      </c>
      <c r="N459" s="47" t="n">
        <v>24837</v>
      </c>
      <c r="O459" s="47" t="n">
        <f aca="false">IF(AND(ISNUMBER(G459),ISNUMBER(N459)),G459-N459,"")</f>
        <v>266.200000000001</v>
      </c>
      <c r="P459" s="49" t="n">
        <f aca="false">IF(ISNUMBER(O459),O459/N459,"")</f>
        <v>0.0107178805813907</v>
      </c>
      <c r="Q459" s="50" t="n">
        <f aca="false">C459-B459</f>
        <v>62</v>
      </c>
      <c r="R459" s="51" t="n">
        <f aca="false">IF(AND(C459=C458,ISNUMBER(G459),ISNUMBER(G458)),(G459/G458-1)*100,"")</f>
        <v>-0.962240256281777</v>
      </c>
      <c r="S459" s="51" t="n">
        <f aca="false">IF(AND(C459=C458,ISNUMBER(L459),ISNUMBER(L458)),(L459/L458-1)*100,"")</f>
        <v>13.2365379193685</v>
      </c>
      <c r="T459" s="51" t="n">
        <f aca="false">IF(AND(C459=C458,ISNUMBER(G459),ISNUMBER(G458)),G459-G458,"")</f>
        <v>-243.899999999998</v>
      </c>
      <c r="U459" s="1" t="str">
        <f aca="false">IF(OR(NOT(ISNUMBER(R459)),NOT(ISNUMBER(S459))),"Not classified",IF(AND(R459&gt;0,S459&gt;0),"Long buildup (interpretation)",IF(AND(R459&lt;0,S459&gt;0),"Short buildup (interpretation)",IF(AND(R459&gt;0,S459&lt;0),"Short covering (interpretation)",IF(AND(R459&lt;0,S459&lt;0),"Long unwinding (interpretation)","Neutral")))))</f>
        <v>Short buildup (interpretation)</v>
      </c>
      <c r="V459" s="52" t="str">
        <f aca="false">TEXT(B459,"yyyy-mm")</f>
        <v>2025-07</v>
      </c>
      <c r="W459" s="52" t="n">
        <f aca="false">1+COUNTIFS($B$2:$B$756,B459,$C$2:$C$756,"&lt;"&amp;C459)</f>
        <v>3</v>
      </c>
      <c r="X459" s="53" t="n">
        <f aca="false">IF(AND(ISNUMBER(P459),Q459&gt;0),P459*365/Q459,"")</f>
        <v>0.0630972001968969</v>
      </c>
      <c r="Y459" s="42" t="n">
        <f aca="false">IF(AND(C460=C459,ISNUMBER(R460)),R460,"")</f>
        <v>-0.568851779852764</v>
      </c>
      <c r="Z459" s="52" t="n">
        <f aca="false">IF(AND(W459=1,Q459&gt;Basis_Analysis!$B$3,ISNUMBER(Y459)),1,0)</f>
        <v>0</v>
      </c>
      <c r="AA459" s="43" t="str">
        <f aca="false">IF(W459=1,IF(SUMIFS($L$2:$L$756,$B$2:$B$756,B459,$W$2:$W$756,2)&gt;0,SUMIFS($L$2:$L$756,$B$2:$B$756,B459,$W$2:$W$756,2),""),"")</f>
        <v/>
      </c>
      <c r="AB459" s="54" t="str">
        <f aca="false">IF(AND(W459=1,ISNUMBER(AA459)),L459/(L459+AA459),"")</f>
        <v/>
      </c>
    </row>
    <row r="460" customFormat="false" ht="15" hidden="false" customHeight="true" outlineLevel="0" collapsed="false">
      <c r="A460" s="1" t="s">
        <v>274</v>
      </c>
      <c r="B460" s="46" t="n">
        <v>45866</v>
      </c>
      <c r="C460" s="46" t="n">
        <v>45925</v>
      </c>
      <c r="D460" s="47" t="n">
        <v>25050</v>
      </c>
      <c r="E460" s="47" t="n">
        <v>25175</v>
      </c>
      <c r="F460" s="47" t="n">
        <v>24928.7</v>
      </c>
      <c r="G460" s="47" t="n">
        <v>24960.4</v>
      </c>
      <c r="H460" s="47" t="n">
        <v>24961.6</v>
      </c>
      <c r="I460" s="47" t="n">
        <v>24960.4</v>
      </c>
      <c r="J460" s="48" t="n">
        <v>3758</v>
      </c>
      <c r="K460" s="47" t="n">
        <v>70525.15</v>
      </c>
      <c r="L460" s="48" t="n">
        <v>667800</v>
      </c>
      <c r="M460" s="48" t="n">
        <v>65325</v>
      </c>
      <c r="N460" s="47" t="n">
        <v>24680.9</v>
      </c>
      <c r="O460" s="47" t="n">
        <f aca="false">IF(AND(ISNUMBER(G460),ISNUMBER(N460)),G460-N460,"")</f>
        <v>279.5</v>
      </c>
      <c r="P460" s="49" t="n">
        <f aca="false">IF(ISNUMBER(O460),O460/N460,"")</f>
        <v>0.011324546511675</v>
      </c>
      <c r="Q460" s="50" t="n">
        <f aca="false">C460-B460</f>
        <v>59</v>
      </c>
      <c r="R460" s="51" t="n">
        <f aca="false">IF(AND(C460=C459,ISNUMBER(G460),ISNUMBER(G459)),(G460/G459-1)*100,"")</f>
        <v>-0.568851779852764</v>
      </c>
      <c r="S460" s="51" t="n">
        <f aca="false">IF(AND(C460=C459,ISNUMBER(L460),ISNUMBER(L459)),(L460/L459-1)*100,"")</f>
        <v>10.8427735590688</v>
      </c>
      <c r="T460" s="51" t="n">
        <f aca="false">IF(AND(C460=C459,ISNUMBER(G460),ISNUMBER(G459)),G460-G459,"")</f>
        <v>-142.799999999999</v>
      </c>
      <c r="U460" s="1" t="str">
        <f aca="false">IF(OR(NOT(ISNUMBER(R460)),NOT(ISNUMBER(S460))),"Not classified",IF(AND(R460&gt;0,S460&gt;0),"Long buildup (interpretation)",IF(AND(R460&lt;0,S460&gt;0),"Short buildup (interpretation)",IF(AND(R460&gt;0,S460&lt;0),"Short covering (interpretation)",IF(AND(R460&lt;0,S460&lt;0),"Long unwinding (interpretation)","Neutral")))))</f>
        <v>Short buildup (interpretation)</v>
      </c>
      <c r="V460" s="52" t="str">
        <f aca="false">TEXT(B460,"yyyy-mm")</f>
        <v>2025-07</v>
      </c>
      <c r="W460" s="52" t="n">
        <f aca="false">1+COUNTIFS($B$2:$B$756,B460,$C$2:$C$756,"&lt;"&amp;C460)</f>
        <v>3</v>
      </c>
      <c r="X460" s="53" t="n">
        <f aca="false">IF(AND(ISNUMBER(P460),Q460&gt;0),P460*365/Q460,"")</f>
        <v>0.0700586351993455</v>
      </c>
      <c r="Y460" s="42" t="n">
        <f aca="false">IF(AND(C461=C460,ISNUMBER(R461)),R461,"")</f>
        <v>0.493581833624446</v>
      </c>
      <c r="Z460" s="52" t="n">
        <f aca="false">IF(AND(W460=1,Q460&gt;Basis_Analysis!$B$3,ISNUMBER(Y460)),1,0)</f>
        <v>0</v>
      </c>
      <c r="AA460" s="43" t="str">
        <f aca="false">IF(W460=1,IF(SUMIFS($L$2:$L$756,$B$2:$B$756,B460,$W$2:$W$756,2)&gt;0,SUMIFS($L$2:$L$756,$B$2:$B$756,B460,$W$2:$W$756,2),""),"")</f>
        <v/>
      </c>
      <c r="AB460" s="54" t="str">
        <f aca="false">IF(AND(W460=1,ISNUMBER(AA460)),L460/(L460+AA460),"")</f>
        <v/>
      </c>
    </row>
    <row r="461" customFormat="false" ht="15" hidden="false" customHeight="true" outlineLevel="0" collapsed="false">
      <c r="A461" s="1" t="s">
        <v>274</v>
      </c>
      <c r="B461" s="46" t="n">
        <v>45867</v>
      </c>
      <c r="C461" s="46" t="n">
        <v>45925</v>
      </c>
      <c r="D461" s="47" t="n">
        <v>24915.1</v>
      </c>
      <c r="E461" s="47" t="n">
        <v>25096.9</v>
      </c>
      <c r="F461" s="47" t="n">
        <v>24885.4</v>
      </c>
      <c r="G461" s="47" t="n">
        <v>25083.6</v>
      </c>
      <c r="H461" s="47" t="n">
        <v>25091</v>
      </c>
      <c r="I461" s="47" t="n">
        <v>25083.6</v>
      </c>
      <c r="J461" s="48" t="n">
        <v>3395</v>
      </c>
      <c r="K461" s="47" t="n">
        <v>63620.95</v>
      </c>
      <c r="L461" s="48" t="n">
        <v>723375</v>
      </c>
      <c r="M461" s="48" t="n">
        <v>55575</v>
      </c>
      <c r="N461" s="47" t="n">
        <v>24821.1</v>
      </c>
      <c r="O461" s="47" t="n">
        <f aca="false">IF(AND(ISNUMBER(G461),ISNUMBER(N461)),G461-N461,"")</f>
        <v>262.5</v>
      </c>
      <c r="P461" s="49" t="n">
        <f aca="false">IF(ISNUMBER(O461),O461/N461,"")</f>
        <v>0.0105756795629525</v>
      </c>
      <c r="Q461" s="50" t="n">
        <f aca="false">C461-B461</f>
        <v>58</v>
      </c>
      <c r="R461" s="51" t="n">
        <f aca="false">IF(AND(C461=C460,ISNUMBER(G461),ISNUMBER(G460)),(G461/G460-1)*100,"")</f>
        <v>0.493581833624446</v>
      </c>
      <c r="S461" s="51" t="n">
        <f aca="false">IF(AND(C461=C460,ISNUMBER(L461),ISNUMBER(L460)),(L461/L460-1)*100,"")</f>
        <v>8.32210242587601</v>
      </c>
      <c r="T461" s="51" t="n">
        <f aca="false">IF(AND(C461=C460,ISNUMBER(G461),ISNUMBER(G460)),G461-G460,"")</f>
        <v>123.199999999997</v>
      </c>
      <c r="U461" s="1" t="str">
        <f aca="false">IF(OR(NOT(ISNUMBER(R461)),NOT(ISNUMBER(S461))),"Not classified",IF(AND(R461&gt;0,S461&gt;0),"Long buildup (interpretation)",IF(AND(R461&lt;0,S461&gt;0),"Short buildup (interpretation)",IF(AND(R461&gt;0,S461&lt;0),"Short covering (interpretation)",IF(AND(R461&lt;0,S461&lt;0),"Long unwinding (interpretation)","Neutral")))))</f>
        <v>Long buildup (interpretation)</v>
      </c>
      <c r="V461" s="52" t="str">
        <f aca="false">TEXT(B461,"yyyy-mm")</f>
        <v>2025-07</v>
      </c>
      <c r="W461" s="52" t="n">
        <f aca="false">1+COUNTIFS($B$2:$B$756,B461,$C$2:$C$756,"&lt;"&amp;C461)</f>
        <v>3</v>
      </c>
      <c r="X461" s="53" t="n">
        <f aca="false">IF(AND(ISNUMBER(P461),Q461&gt;0),P461*365/Q461,"")</f>
        <v>0.0665538455254769</v>
      </c>
      <c r="Y461" s="42" t="n">
        <f aca="false">IF(AND(C462=C461,ISNUMBER(R462)),R462,"")</f>
        <v>0.0538200258336063</v>
      </c>
      <c r="Z461" s="52" t="n">
        <f aca="false">IF(AND(W461=1,Q461&gt;Basis_Analysis!$B$3,ISNUMBER(Y461)),1,0)</f>
        <v>0</v>
      </c>
      <c r="AA461" s="43" t="str">
        <f aca="false">IF(W461=1,IF(SUMIFS($L$2:$L$756,$B$2:$B$756,B461,$W$2:$W$756,2)&gt;0,SUMIFS($L$2:$L$756,$B$2:$B$756,B461,$W$2:$W$756,2),""),"")</f>
        <v/>
      </c>
      <c r="AB461" s="54" t="str">
        <f aca="false">IF(AND(W461=1,ISNUMBER(AA461)),L461/(L461+AA461),"")</f>
        <v/>
      </c>
    </row>
    <row r="462" customFormat="false" ht="15" hidden="false" customHeight="true" outlineLevel="0" collapsed="false">
      <c r="A462" s="1" t="s">
        <v>274</v>
      </c>
      <c r="B462" s="46" t="n">
        <v>45868</v>
      </c>
      <c r="C462" s="46" t="n">
        <v>45925</v>
      </c>
      <c r="D462" s="47" t="n">
        <v>25057.1</v>
      </c>
      <c r="E462" s="47" t="n">
        <v>25146.5</v>
      </c>
      <c r="F462" s="47" t="n">
        <v>25031</v>
      </c>
      <c r="G462" s="47" t="n">
        <v>25097.1</v>
      </c>
      <c r="H462" s="47" t="n">
        <v>25092</v>
      </c>
      <c r="I462" s="47" t="n">
        <v>25097.1</v>
      </c>
      <c r="J462" s="48" t="n">
        <v>3382</v>
      </c>
      <c r="K462" s="47" t="n">
        <v>63644.86</v>
      </c>
      <c r="L462" s="48" t="n">
        <v>788775</v>
      </c>
      <c r="M462" s="48" t="n">
        <v>65400</v>
      </c>
      <c r="N462" s="47" t="n">
        <v>24855.05</v>
      </c>
      <c r="O462" s="47" t="n">
        <f aca="false">IF(AND(ISNUMBER(G462),ISNUMBER(N462)),G462-N462,"")</f>
        <v>242.049999999999</v>
      </c>
      <c r="P462" s="49" t="n">
        <f aca="false">IF(ISNUMBER(O462),O462/N462,"")</f>
        <v>0.00973846361202248</v>
      </c>
      <c r="Q462" s="50" t="n">
        <f aca="false">C462-B462</f>
        <v>57</v>
      </c>
      <c r="R462" s="51" t="n">
        <f aca="false">IF(AND(C462=C461,ISNUMBER(G462),ISNUMBER(G461)),(G462/G461-1)*100,"")</f>
        <v>0.0538200258336063</v>
      </c>
      <c r="S462" s="51" t="n">
        <f aca="false">IF(AND(C462=C461,ISNUMBER(L462),ISNUMBER(L461)),(L462/L461-1)*100,"")</f>
        <v>9.04095386210473</v>
      </c>
      <c r="T462" s="51" t="n">
        <f aca="false">IF(AND(C462=C461,ISNUMBER(G462),ISNUMBER(G461)),G462-G461,"")</f>
        <v>13.5</v>
      </c>
      <c r="U462" s="1" t="str">
        <f aca="false">IF(OR(NOT(ISNUMBER(R462)),NOT(ISNUMBER(S462))),"Not classified",IF(AND(R462&gt;0,S462&gt;0),"Long buildup (interpretation)",IF(AND(R462&lt;0,S462&gt;0),"Short buildup (interpretation)",IF(AND(R462&gt;0,S462&lt;0),"Short covering (interpretation)",IF(AND(R462&lt;0,S462&lt;0),"Long unwinding (interpretation)","Neutral")))))</f>
        <v>Long buildup (interpretation)</v>
      </c>
      <c r="V462" s="52" t="str">
        <f aca="false">TEXT(B462,"yyyy-mm")</f>
        <v>2025-07</v>
      </c>
      <c r="W462" s="52" t="n">
        <f aca="false">1+COUNTIFS($B$2:$B$756,B462,$C$2:$C$756,"&lt;"&amp;C462)</f>
        <v>3</v>
      </c>
      <c r="X462" s="53" t="n">
        <f aca="false">IF(AND(ISNUMBER(P462),Q462&gt;0),P462*365/Q462,"")</f>
        <v>0.0623603371647053</v>
      </c>
      <c r="Y462" s="42" t="n">
        <f aca="false">IF(AND(C463=C462,ISNUMBER(R463)),R463,"")</f>
        <v>-0.328324786529111</v>
      </c>
      <c r="Z462" s="52" t="n">
        <f aca="false">IF(AND(W462=1,Q462&gt;Basis_Analysis!$B$3,ISNUMBER(Y462)),1,0)</f>
        <v>0</v>
      </c>
      <c r="AA462" s="43" t="str">
        <f aca="false">IF(W462=1,IF(SUMIFS($L$2:$L$756,$B$2:$B$756,B462,$W$2:$W$756,2)&gt;0,SUMIFS($L$2:$L$756,$B$2:$B$756,B462,$W$2:$W$756,2),""),"")</f>
        <v/>
      </c>
      <c r="AB462" s="54" t="str">
        <f aca="false">IF(AND(W462=1,ISNUMBER(AA462)),L462/(L462+AA462),"")</f>
        <v/>
      </c>
    </row>
    <row r="463" customFormat="false" ht="15" hidden="false" customHeight="true" outlineLevel="0" collapsed="false">
      <c r="A463" s="1" t="s">
        <v>274</v>
      </c>
      <c r="B463" s="46" t="n">
        <v>45869</v>
      </c>
      <c r="C463" s="46" t="n">
        <v>45925</v>
      </c>
      <c r="D463" s="47" t="n">
        <v>24993.3</v>
      </c>
      <c r="E463" s="47" t="n">
        <v>25186</v>
      </c>
      <c r="F463" s="47" t="n">
        <v>24871.1</v>
      </c>
      <c r="G463" s="47" t="n">
        <v>25014.7</v>
      </c>
      <c r="H463" s="47" t="n">
        <v>25011.1</v>
      </c>
      <c r="I463" s="47" t="n">
        <v>25014.7</v>
      </c>
      <c r="J463" s="48" t="n">
        <v>6462</v>
      </c>
      <c r="K463" s="47" t="n">
        <v>121238.98</v>
      </c>
      <c r="L463" s="48" t="n">
        <v>862425</v>
      </c>
      <c r="M463" s="48" t="n">
        <v>73650</v>
      </c>
      <c r="N463" s="47" t="n">
        <v>24768.35</v>
      </c>
      <c r="O463" s="47" t="n">
        <f aca="false">IF(AND(ISNUMBER(G463),ISNUMBER(N463)),G463-N463,"")</f>
        <v>246.350000000002</v>
      </c>
      <c r="P463" s="49" t="n">
        <f aca="false">IF(ISNUMBER(O463),O463/N463,"")</f>
        <v>0.0099461611290216</v>
      </c>
      <c r="Q463" s="50" t="n">
        <f aca="false">C463-B463</f>
        <v>56</v>
      </c>
      <c r="R463" s="51" t="n">
        <f aca="false">IF(AND(C463=C462,ISNUMBER(G463),ISNUMBER(G462)),(G463/G462-1)*100,"")</f>
        <v>-0.328324786529111</v>
      </c>
      <c r="S463" s="51" t="n">
        <f aca="false">IF(AND(C463=C462,ISNUMBER(L463),ISNUMBER(L462)),(L463/L462-1)*100,"")</f>
        <v>9.33726347817818</v>
      </c>
      <c r="T463" s="51" t="n">
        <f aca="false">IF(AND(C463=C462,ISNUMBER(G463),ISNUMBER(G462)),G463-G462,"")</f>
        <v>-82.3999999999978</v>
      </c>
      <c r="U463" s="1" t="str">
        <f aca="false">IF(OR(NOT(ISNUMBER(R463)),NOT(ISNUMBER(S463))),"Not classified",IF(AND(R463&gt;0,S463&gt;0),"Long buildup (interpretation)",IF(AND(R463&lt;0,S463&gt;0),"Short buildup (interpretation)",IF(AND(R463&gt;0,S463&lt;0),"Short covering (interpretation)",IF(AND(R463&lt;0,S463&lt;0),"Long unwinding (interpretation)","Neutral")))))</f>
        <v>Short buildup (interpretation)</v>
      </c>
      <c r="V463" s="52" t="str">
        <f aca="false">TEXT(B463,"yyyy-mm")</f>
        <v>2025-07</v>
      </c>
      <c r="W463" s="52" t="n">
        <f aca="false">1+COUNTIFS($B$2:$B$756,B463,$C$2:$C$756,"&lt;"&amp;C463)</f>
        <v>3</v>
      </c>
      <c r="X463" s="53" t="n">
        <f aca="false">IF(AND(ISNUMBER(P463),Q463&gt;0),P463*365/Q463,"")</f>
        <v>0.0648276573588015</v>
      </c>
      <c r="Y463" s="42" t="str">
        <f aca="false">IF(AND(C464=C463,ISNUMBER(R464)),R464,"")</f>
        <v/>
      </c>
      <c r="Z463" s="52" t="n">
        <f aca="false">IF(AND(W463=1,Q463&gt;Basis_Analysis!$B$3,ISNUMBER(Y463)),1,0)</f>
        <v>0</v>
      </c>
      <c r="AA463" s="43" t="str">
        <f aca="false">IF(W463=1,IF(SUMIFS($L$2:$L$756,$B$2:$B$756,B463,$W$2:$W$756,2)&gt;0,SUMIFS($L$2:$L$756,$B$2:$B$756,B463,$W$2:$W$756,2),""),"")</f>
        <v/>
      </c>
      <c r="AB463" s="54" t="str">
        <f aca="false">IF(AND(W463=1,ISNUMBER(AA463)),L463/(L463+AA463),"")</f>
        <v/>
      </c>
    </row>
    <row r="464" customFormat="false" ht="15" hidden="false" customHeight="true" outlineLevel="0" collapsed="false">
      <c r="A464" s="1" t="s">
        <v>274</v>
      </c>
      <c r="B464" s="46" t="n">
        <v>45869</v>
      </c>
      <c r="C464" s="46" t="n">
        <v>45930</v>
      </c>
      <c r="D464" s="47"/>
      <c r="E464" s="47"/>
      <c r="F464" s="47"/>
      <c r="G464" s="47"/>
      <c r="H464" s="47"/>
      <c r="I464" s="47"/>
      <c r="J464" s="48"/>
      <c r="K464" s="47"/>
      <c r="L464" s="48"/>
      <c r="M464" s="48"/>
      <c r="N464" s="47"/>
      <c r="O464" s="47" t="str">
        <f aca="false">IF(AND(ISNUMBER(G464),ISNUMBER(N464)),G464-N464,"")</f>
        <v/>
      </c>
      <c r="P464" s="49" t="str">
        <f aca="false">IF(ISNUMBER(O464),O464/N464,"")</f>
        <v/>
      </c>
      <c r="Q464" s="50" t="n">
        <f aca="false">C464-B464</f>
        <v>61</v>
      </c>
      <c r="R464" s="51" t="str">
        <f aca="false">IF(AND(C464=C463,ISNUMBER(G464),ISNUMBER(G463)),(G464/G463-1)*100,"")</f>
        <v/>
      </c>
      <c r="S464" s="51" t="str">
        <f aca="false">IF(AND(C464=C463,ISNUMBER(L464),ISNUMBER(L463)),(L464/L463-1)*100,"")</f>
        <v/>
      </c>
      <c r="T464" s="51" t="str">
        <f aca="false">IF(AND(C464=C463,ISNUMBER(G464),ISNUMBER(G463)),G464-G463,"")</f>
        <v/>
      </c>
      <c r="U464" s="1" t="str">
        <f aca="false">IF(OR(NOT(ISNUMBER(R464)),NOT(ISNUMBER(S464))),"Not classified",IF(AND(R464&gt;0,S464&gt;0),"Long buildup (interpretation)",IF(AND(R464&lt;0,S464&gt;0),"Short buildup (interpretation)",IF(AND(R464&gt;0,S464&lt;0),"Short covering (interpretation)",IF(AND(R464&lt;0,S464&lt;0),"Long unwinding (interpretation)","Neutral")))))</f>
        <v>Not classified</v>
      </c>
      <c r="V464" s="52" t="str">
        <f aca="false">TEXT(B464,"yyyy-mm")</f>
        <v>2025-07</v>
      </c>
      <c r="W464" s="52" t="n">
        <f aca="false">1+COUNTIFS($B$2:$B$756,B464,$C$2:$C$756,"&lt;"&amp;C464)</f>
        <v>4</v>
      </c>
      <c r="X464" s="53" t="str">
        <f aca="false">IF(AND(ISNUMBER(P464),Q464&gt;0),P464*365/Q464,"")</f>
        <v/>
      </c>
      <c r="Y464" s="42" t="str">
        <f aca="false">IF(AND(C465=C464,ISNUMBER(R465)),R465,"")</f>
        <v/>
      </c>
      <c r="Z464" s="52" t="n">
        <f aca="false">IF(AND(W464=1,Q464&gt;Basis_Analysis!$B$3,ISNUMBER(Y464)),1,0)</f>
        <v>0</v>
      </c>
      <c r="AA464" s="43" t="str">
        <f aca="false">IF(W464=1,IF(SUMIFS($L$2:$L$756,$B$2:$B$756,B464,$W$2:$W$756,2)&gt;0,SUMIFS($L$2:$L$756,$B$2:$B$756,B464,$W$2:$W$756,2),""),"")</f>
        <v/>
      </c>
      <c r="AB464" s="54" t="str">
        <f aca="false">IF(AND(W464=1,ISNUMBER(AA464)),L464/(L464+AA464),"")</f>
        <v/>
      </c>
    </row>
    <row r="465" customFormat="false" ht="15" hidden="false" customHeight="true" outlineLevel="0" collapsed="false">
      <c r="A465" s="1" t="s">
        <v>274</v>
      </c>
      <c r="B465" s="46" t="n">
        <v>45870</v>
      </c>
      <c r="C465" s="46" t="n">
        <v>45930</v>
      </c>
      <c r="D465" s="47" t="n">
        <v>24952</v>
      </c>
      <c r="E465" s="47" t="n">
        <v>24995</v>
      </c>
      <c r="F465" s="47" t="n">
        <v>24750</v>
      </c>
      <c r="G465" s="47" t="n">
        <v>24774.6</v>
      </c>
      <c r="H465" s="47" t="n">
        <v>24760</v>
      </c>
      <c r="I465" s="47" t="n">
        <v>24774.6</v>
      </c>
      <c r="J465" s="48" t="n">
        <v>5577</v>
      </c>
      <c r="K465" s="47" t="n">
        <v>104034.53</v>
      </c>
      <c r="L465" s="48" t="n">
        <v>913725</v>
      </c>
      <c r="M465" s="48" t="n">
        <v>913725</v>
      </c>
      <c r="N465" s="47" t="n">
        <v>24565.35</v>
      </c>
      <c r="O465" s="47" t="n">
        <f aca="false">IF(AND(ISNUMBER(G465),ISNUMBER(N465)),G465-N465,"")</f>
        <v>209.25</v>
      </c>
      <c r="P465" s="49" t="n">
        <f aca="false">IF(ISNUMBER(O465),O465/N465,"")</f>
        <v>0.00851809561028034</v>
      </c>
      <c r="Q465" s="50" t="n">
        <f aca="false">C465-B465</f>
        <v>60</v>
      </c>
      <c r="R465" s="51" t="str">
        <f aca="false">IF(AND(C465=C464,ISNUMBER(G465),ISNUMBER(G464)),(G465/G464-1)*100,"")</f>
        <v/>
      </c>
      <c r="S465" s="51" t="str">
        <f aca="false">IF(AND(C465=C464,ISNUMBER(L465),ISNUMBER(L464)),(L465/L464-1)*100,"")</f>
        <v/>
      </c>
      <c r="T465" s="51" t="str">
        <f aca="false">IF(AND(C465=C464,ISNUMBER(G465),ISNUMBER(G464)),G465-G464,"")</f>
        <v/>
      </c>
      <c r="U465" s="1" t="str">
        <f aca="false">IF(OR(NOT(ISNUMBER(R465)),NOT(ISNUMBER(S465))),"Not classified",IF(AND(R465&gt;0,S465&gt;0),"Long buildup (interpretation)",IF(AND(R465&lt;0,S465&gt;0),"Short buildup (interpretation)",IF(AND(R465&gt;0,S465&lt;0),"Short covering (interpretation)",IF(AND(R465&lt;0,S465&lt;0),"Long unwinding (interpretation)","Neutral")))))</f>
        <v>Not classified</v>
      </c>
      <c r="V465" s="52" t="str">
        <f aca="false">TEXT(B465,"yyyy-mm")</f>
        <v>2025-08</v>
      </c>
      <c r="W465" s="52" t="n">
        <f aca="false">1+COUNTIFS($B$2:$B$756,B465,$C$2:$C$756,"&lt;"&amp;C465)</f>
        <v>2</v>
      </c>
      <c r="X465" s="53" t="n">
        <f aca="false">IF(AND(ISNUMBER(P465),Q465&gt;0),P465*365/Q465,"")</f>
        <v>0.0518184149625387</v>
      </c>
      <c r="Y465" s="42" t="n">
        <f aca="false">IF(AND(C466=C465,ISNUMBER(R466)),R466,"")</f>
        <v>0.621604385136387</v>
      </c>
      <c r="Z465" s="52" t="n">
        <f aca="false">IF(AND(W465=1,Q465&gt;Basis_Analysis!$B$3,ISNUMBER(Y465)),1,0)</f>
        <v>0</v>
      </c>
      <c r="AA465" s="43" t="str">
        <f aca="false">IF(W465=1,IF(SUMIFS($L$2:$L$756,$B$2:$B$756,B465,$W$2:$W$756,2)&gt;0,SUMIFS($L$2:$L$756,$B$2:$B$756,B465,$W$2:$W$756,2),""),"")</f>
        <v/>
      </c>
      <c r="AB465" s="54" t="str">
        <f aca="false">IF(AND(W465=1,ISNUMBER(AA465)),L465/(L465+AA465),"")</f>
        <v/>
      </c>
    </row>
    <row r="466" customFormat="false" ht="15" hidden="false" customHeight="true" outlineLevel="0" collapsed="false">
      <c r="A466" s="1" t="s">
        <v>274</v>
      </c>
      <c r="B466" s="46" t="n">
        <v>45873</v>
      </c>
      <c r="C466" s="46" t="n">
        <v>45930</v>
      </c>
      <c r="D466" s="47" t="n">
        <v>24760</v>
      </c>
      <c r="E466" s="47" t="n">
        <v>24940</v>
      </c>
      <c r="F466" s="47" t="n">
        <v>24760</v>
      </c>
      <c r="G466" s="47" t="n">
        <v>24928.6</v>
      </c>
      <c r="H466" s="47" t="n">
        <v>24938.9</v>
      </c>
      <c r="I466" s="47" t="n">
        <v>24928.6</v>
      </c>
      <c r="J466" s="48" t="n">
        <v>3428</v>
      </c>
      <c r="K466" s="47" t="n">
        <v>63950.01</v>
      </c>
      <c r="L466" s="48" t="n">
        <v>905475</v>
      </c>
      <c r="M466" s="48" t="n">
        <v>-8250</v>
      </c>
      <c r="N466" s="47" t="n">
        <v>24722.75</v>
      </c>
      <c r="O466" s="47" t="n">
        <f aca="false">IF(AND(ISNUMBER(G466),ISNUMBER(N466)),G466-N466,"")</f>
        <v>205.849999999999</v>
      </c>
      <c r="P466" s="49" t="n">
        <f aca="false">IF(ISNUMBER(O466),O466/N466,"")</f>
        <v>0.00832633910062588</v>
      </c>
      <c r="Q466" s="50" t="n">
        <f aca="false">C466-B466</f>
        <v>57</v>
      </c>
      <c r="R466" s="51" t="n">
        <f aca="false">IF(AND(C466=C465,ISNUMBER(G466),ISNUMBER(G465)),(G466/G465-1)*100,"")</f>
        <v>0.621604385136387</v>
      </c>
      <c r="S466" s="51" t="n">
        <f aca="false">IF(AND(C466=C465,ISNUMBER(L466),ISNUMBER(L465)),(L466/L465-1)*100,"")</f>
        <v>-0.902897480095211</v>
      </c>
      <c r="T466" s="51" t="n">
        <f aca="false">IF(AND(C466=C465,ISNUMBER(G466),ISNUMBER(G465)),G466-G465,"")</f>
        <v>154</v>
      </c>
      <c r="U466" s="1" t="str">
        <f aca="false">IF(OR(NOT(ISNUMBER(R466)),NOT(ISNUMBER(S466))),"Not classified",IF(AND(R466&gt;0,S466&gt;0),"Long buildup (interpretation)",IF(AND(R466&lt;0,S466&gt;0),"Short buildup (interpretation)",IF(AND(R466&gt;0,S466&lt;0),"Short covering (interpretation)",IF(AND(R466&lt;0,S466&lt;0),"Long unwinding (interpretation)","Neutral")))))</f>
        <v>Short covering (interpretation)</v>
      </c>
      <c r="V466" s="52" t="str">
        <f aca="false">TEXT(B466,"yyyy-mm")</f>
        <v>2025-08</v>
      </c>
      <c r="W466" s="52" t="n">
        <f aca="false">1+COUNTIFS($B$2:$B$756,B466,$C$2:$C$756,"&lt;"&amp;C466)</f>
        <v>2</v>
      </c>
      <c r="X466" s="53" t="n">
        <f aca="false">IF(AND(ISNUMBER(P466),Q466&gt;0),P466*365/Q466,"")</f>
        <v>0.0533177854689201</v>
      </c>
      <c r="Y466" s="42" t="n">
        <f aca="false">IF(AND(C467=C466,ISNUMBER(R467)),R467,"")</f>
        <v>-0.330945179432463</v>
      </c>
      <c r="Z466" s="52" t="n">
        <f aca="false">IF(AND(W466=1,Q466&gt;Basis_Analysis!$B$3,ISNUMBER(Y466)),1,0)</f>
        <v>0</v>
      </c>
      <c r="AA466" s="43" t="str">
        <f aca="false">IF(W466=1,IF(SUMIFS($L$2:$L$756,$B$2:$B$756,B466,$W$2:$W$756,2)&gt;0,SUMIFS($L$2:$L$756,$B$2:$B$756,B466,$W$2:$W$756,2),""),"")</f>
        <v/>
      </c>
      <c r="AB466" s="54" t="str">
        <f aca="false">IF(AND(W466=1,ISNUMBER(AA466)),L466/(L466+AA466),"")</f>
        <v/>
      </c>
    </row>
    <row r="467" customFormat="false" ht="15" hidden="false" customHeight="true" outlineLevel="0" collapsed="false">
      <c r="A467" s="1" t="s">
        <v>274</v>
      </c>
      <c r="B467" s="46" t="n">
        <v>45874</v>
      </c>
      <c r="C467" s="46" t="n">
        <v>45930</v>
      </c>
      <c r="D467" s="47" t="n">
        <v>24899.6</v>
      </c>
      <c r="E467" s="47" t="n">
        <v>24914.6</v>
      </c>
      <c r="F467" s="47" t="n">
        <v>24792</v>
      </c>
      <c r="G467" s="47" t="n">
        <v>24846.1</v>
      </c>
      <c r="H467" s="47" t="n">
        <v>24854.5</v>
      </c>
      <c r="I467" s="47" t="n">
        <v>24846.1</v>
      </c>
      <c r="J467" s="48" t="n">
        <v>3094</v>
      </c>
      <c r="K467" s="47" t="n">
        <v>57631.6</v>
      </c>
      <c r="L467" s="48" t="n">
        <v>908925</v>
      </c>
      <c r="M467" s="48" t="n">
        <v>3450</v>
      </c>
      <c r="N467" s="47" t="n">
        <v>24649.55</v>
      </c>
      <c r="O467" s="47" t="n">
        <f aca="false">IF(AND(ISNUMBER(G467),ISNUMBER(N467)),G467-N467,"")</f>
        <v>196.549999999999</v>
      </c>
      <c r="P467" s="49" t="n">
        <f aca="false">IF(ISNUMBER(O467),O467/N467,"")</f>
        <v>0.0079737763975407</v>
      </c>
      <c r="Q467" s="50" t="n">
        <f aca="false">C467-B467</f>
        <v>56</v>
      </c>
      <c r="R467" s="51" t="n">
        <f aca="false">IF(AND(C467=C466,ISNUMBER(G467),ISNUMBER(G466)),(G467/G466-1)*100,"")</f>
        <v>-0.330945179432463</v>
      </c>
      <c r="S467" s="51" t="n">
        <f aca="false">IF(AND(C467=C466,ISNUMBER(L467),ISNUMBER(L466)),(L467/L466-1)*100,"")</f>
        <v>0.381015489107917</v>
      </c>
      <c r="T467" s="51" t="n">
        <f aca="false">IF(AND(C467=C466,ISNUMBER(G467),ISNUMBER(G466)),G467-G466,"")</f>
        <v>-82.5</v>
      </c>
      <c r="U467" s="1" t="str">
        <f aca="false">IF(OR(NOT(ISNUMBER(R467)),NOT(ISNUMBER(S467))),"Not classified",IF(AND(R467&gt;0,S467&gt;0),"Long buildup (interpretation)",IF(AND(R467&lt;0,S467&gt;0),"Short buildup (interpretation)",IF(AND(R467&gt;0,S467&lt;0),"Short covering (interpretation)",IF(AND(R467&lt;0,S467&lt;0),"Long unwinding (interpretation)","Neutral")))))</f>
        <v>Short buildup (interpretation)</v>
      </c>
      <c r="V467" s="52" t="str">
        <f aca="false">TEXT(B467,"yyyy-mm")</f>
        <v>2025-08</v>
      </c>
      <c r="W467" s="52" t="n">
        <f aca="false">1+COUNTIFS($B$2:$B$756,B467,$C$2:$C$756,"&lt;"&amp;C467)</f>
        <v>2</v>
      </c>
      <c r="X467" s="53" t="n">
        <f aca="false">IF(AND(ISNUMBER(P467),Q467&gt;0),P467*365/Q467,"")</f>
        <v>0.0519719354482563</v>
      </c>
      <c r="Y467" s="42" t="n">
        <f aca="false">IF(AND(C468=C467,ISNUMBER(R468)),R468,"")</f>
        <v>-0.307090448802827</v>
      </c>
      <c r="Z467" s="52" t="n">
        <f aca="false">IF(AND(W467=1,Q467&gt;Basis_Analysis!$B$3,ISNUMBER(Y467)),1,0)</f>
        <v>0</v>
      </c>
      <c r="AA467" s="43" t="str">
        <f aca="false">IF(W467=1,IF(SUMIFS($L$2:$L$756,$B$2:$B$756,B467,$W$2:$W$756,2)&gt;0,SUMIFS($L$2:$L$756,$B$2:$B$756,B467,$W$2:$W$756,2),""),"")</f>
        <v/>
      </c>
      <c r="AB467" s="54" t="str">
        <f aca="false">IF(AND(W467=1,ISNUMBER(AA467)),L467/(L467+AA467),"")</f>
        <v/>
      </c>
    </row>
    <row r="468" customFormat="false" ht="15" hidden="false" customHeight="true" outlineLevel="0" collapsed="false">
      <c r="A468" s="1" t="s">
        <v>274</v>
      </c>
      <c r="B468" s="46" t="n">
        <v>45875</v>
      </c>
      <c r="C468" s="46" t="n">
        <v>45930</v>
      </c>
      <c r="D468" s="47" t="n">
        <v>24800.8</v>
      </c>
      <c r="E468" s="47" t="n">
        <v>24873.9</v>
      </c>
      <c r="F468" s="47" t="n">
        <v>24755.1</v>
      </c>
      <c r="G468" s="47" t="n">
        <v>24769.8</v>
      </c>
      <c r="H468" s="47" t="n">
        <v>24762</v>
      </c>
      <c r="I468" s="47" t="n">
        <v>24769.8</v>
      </c>
      <c r="J468" s="48" t="n">
        <v>2960</v>
      </c>
      <c r="K468" s="47" t="n">
        <v>55058.16</v>
      </c>
      <c r="L468" s="48" t="n">
        <v>928350</v>
      </c>
      <c r="M468" s="48" t="n">
        <v>19425</v>
      </c>
      <c r="N468" s="47" t="n">
        <v>24574.2</v>
      </c>
      <c r="O468" s="47" t="n">
        <f aca="false">IF(AND(ISNUMBER(G468),ISNUMBER(N468)),G468-N468,"")</f>
        <v>195.599999999999</v>
      </c>
      <c r="P468" s="49" t="n">
        <f aca="false">IF(ISNUMBER(O468),O468/N468,"")</f>
        <v>0.00795956735112429</v>
      </c>
      <c r="Q468" s="50" t="n">
        <f aca="false">C468-B468</f>
        <v>55</v>
      </c>
      <c r="R468" s="51" t="n">
        <f aca="false">IF(AND(C468=C467,ISNUMBER(G468),ISNUMBER(G467)),(G468/G467-1)*100,"")</f>
        <v>-0.307090448802827</v>
      </c>
      <c r="S468" s="51" t="n">
        <f aca="false">IF(AND(C468=C467,ISNUMBER(L468),ISNUMBER(L467)),(L468/L467-1)*100,"")</f>
        <v>2.13714002805512</v>
      </c>
      <c r="T468" s="51" t="n">
        <f aca="false">IF(AND(C468=C467,ISNUMBER(G468),ISNUMBER(G467)),G468-G467,"")</f>
        <v>-76.2999999999993</v>
      </c>
      <c r="U468" s="1" t="str">
        <f aca="false">IF(OR(NOT(ISNUMBER(R468)),NOT(ISNUMBER(S468))),"Not classified",IF(AND(R468&gt;0,S468&gt;0),"Long buildup (interpretation)",IF(AND(R468&lt;0,S468&gt;0),"Short buildup (interpretation)",IF(AND(R468&gt;0,S468&lt;0),"Short covering (interpretation)",IF(AND(R468&lt;0,S468&lt;0),"Long unwinding (interpretation)","Neutral")))))</f>
        <v>Short buildup (interpretation)</v>
      </c>
      <c r="V468" s="52" t="str">
        <f aca="false">TEXT(B468,"yyyy-mm")</f>
        <v>2025-08</v>
      </c>
      <c r="W468" s="52" t="n">
        <f aca="false">1+COUNTIFS($B$2:$B$756,B468,$C$2:$C$756,"&lt;"&amp;C468)</f>
        <v>2</v>
      </c>
      <c r="X468" s="53" t="n">
        <f aca="false">IF(AND(ISNUMBER(P468),Q468&gt;0),P468*365/Q468,"")</f>
        <v>0.0528225833301885</v>
      </c>
      <c r="Y468" s="42" t="n">
        <f aca="false">IF(AND(C469=C468,ISNUMBER(R469)),R469,"")</f>
        <v>0.145741992264781</v>
      </c>
      <c r="Z468" s="52" t="n">
        <f aca="false">IF(AND(W468=1,Q468&gt;Basis_Analysis!$B$3,ISNUMBER(Y468)),1,0)</f>
        <v>0</v>
      </c>
      <c r="AA468" s="43" t="str">
        <f aca="false">IF(W468=1,IF(SUMIFS($L$2:$L$756,$B$2:$B$756,B468,$W$2:$W$756,2)&gt;0,SUMIFS($L$2:$L$756,$B$2:$B$756,B468,$W$2:$W$756,2),""),"")</f>
        <v/>
      </c>
      <c r="AB468" s="54" t="str">
        <f aca="false">IF(AND(W468=1,ISNUMBER(AA468)),L468/(L468+AA468),"")</f>
        <v/>
      </c>
    </row>
    <row r="469" customFormat="false" ht="15" hidden="false" customHeight="true" outlineLevel="0" collapsed="false">
      <c r="A469" s="1" t="s">
        <v>274</v>
      </c>
      <c r="B469" s="46" t="n">
        <v>45876</v>
      </c>
      <c r="C469" s="46" t="n">
        <v>45930</v>
      </c>
      <c r="D469" s="47" t="n">
        <v>24762</v>
      </c>
      <c r="E469" s="47" t="n">
        <v>24855</v>
      </c>
      <c r="F469" s="47" t="n">
        <v>24548</v>
      </c>
      <c r="G469" s="47" t="n">
        <v>24805.9</v>
      </c>
      <c r="H469" s="47" t="n">
        <v>24842</v>
      </c>
      <c r="I469" s="47" t="n">
        <v>24805.9</v>
      </c>
      <c r="J469" s="48" t="n">
        <v>6668</v>
      </c>
      <c r="K469" s="47" t="n">
        <v>123423.42</v>
      </c>
      <c r="L469" s="48" t="n">
        <v>965700</v>
      </c>
      <c r="M469" s="48" t="n">
        <v>37350</v>
      </c>
      <c r="N469" s="47" t="n">
        <v>24596.15</v>
      </c>
      <c r="O469" s="47" t="n">
        <f aca="false">IF(AND(ISNUMBER(G469),ISNUMBER(N469)),G469-N469,"")</f>
        <v>209.75</v>
      </c>
      <c r="P469" s="49" t="n">
        <f aca="false">IF(ISNUMBER(O469),O469/N469,"")</f>
        <v>0.00852775739292531</v>
      </c>
      <c r="Q469" s="50" t="n">
        <f aca="false">C469-B469</f>
        <v>54</v>
      </c>
      <c r="R469" s="51" t="n">
        <f aca="false">IF(AND(C469=C468,ISNUMBER(G469),ISNUMBER(G468)),(G469/G468-1)*100,"")</f>
        <v>0.145741992264781</v>
      </c>
      <c r="S469" s="51" t="n">
        <f aca="false">IF(AND(C469=C468,ISNUMBER(L469),ISNUMBER(L468)),(L469/L468-1)*100,"")</f>
        <v>4.02326708676684</v>
      </c>
      <c r="T469" s="51" t="n">
        <f aca="false">IF(AND(C469=C468,ISNUMBER(G469),ISNUMBER(G468)),G469-G468,"")</f>
        <v>36.1000000000022</v>
      </c>
      <c r="U469" s="1" t="str">
        <f aca="false">IF(OR(NOT(ISNUMBER(R469)),NOT(ISNUMBER(S469))),"Not classified",IF(AND(R469&gt;0,S469&gt;0),"Long buildup (interpretation)",IF(AND(R469&lt;0,S469&gt;0),"Short buildup (interpretation)",IF(AND(R469&gt;0,S469&lt;0),"Short covering (interpretation)",IF(AND(R469&lt;0,S469&lt;0),"Long unwinding (interpretation)","Neutral")))))</f>
        <v>Long buildup (interpretation)</v>
      </c>
      <c r="V469" s="52" t="str">
        <f aca="false">TEXT(B469,"yyyy-mm")</f>
        <v>2025-08</v>
      </c>
      <c r="W469" s="52" t="n">
        <f aca="false">1+COUNTIFS($B$2:$B$756,B469,$C$2:$C$756,"&lt;"&amp;C469)</f>
        <v>2</v>
      </c>
      <c r="X469" s="53" t="n">
        <f aca="false">IF(AND(ISNUMBER(P469),Q469&gt;0),P469*365/Q469,"")</f>
        <v>0.057641323118847</v>
      </c>
      <c r="Y469" s="42" t="n">
        <f aca="false">IF(AND(C470=C469,ISNUMBER(R470)),R470,"")</f>
        <v>-0.923570602155144</v>
      </c>
      <c r="Z469" s="52" t="n">
        <f aca="false">IF(AND(W469=1,Q469&gt;Basis_Analysis!$B$3,ISNUMBER(Y469)),1,0)</f>
        <v>0</v>
      </c>
      <c r="AA469" s="43" t="str">
        <f aca="false">IF(W469=1,IF(SUMIFS($L$2:$L$756,$B$2:$B$756,B469,$W$2:$W$756,2)&gt;0,SUMIFS($L$2:$L$756,$B$2:$B$756,B469,$W$2:$W$756,2),""),"")</f>
        <v/>
      </c>
      <c r="AB469" s="54" t="str">
        <f aca="false">IF(AND(W469=1,ISNUMBER(AA469)),L469/(L469+AA469),"")</f>
        <v/>
      </c>
    </row>
    <row r="470" customFormat="false" ht="15" hidden="false" customHeight="true" outlineLevel="0" collapsed="false">
      <c r="A470" s="1" t="s">
        <v>274</v>
      </c>
      <c r="B470" s="46" t="n">
        <v>45877</v>
      </c>
      <c r="C470" s="46" t="n">
        <v>45930</v>
      </c>
      <c r="D470" s="47" t="n">
        <v>24775</v>
      </c>
      <c r="E470" s="47" t="n">
        <v>24799.9</v>
      </c>
      <c r="F470" s="47" t="n">
        <v>24551.1</v>
      </c>
      <c r="G470" s="47" t="n">
        <v>24576.8</v>
      </c>
      <c r="H470" s="47" t="n">
        <v>24567</v>
      </c>
      <c r="I470" s="47" t="n">
        <v>24576.8</v>
      </c>
      <c r="J470" s="48" t="n">
        <v>4911</v>
      </c>
      <c r="K470" s="47" t="n">
        <v>90799.1</v>
      </c>
      <c r="L470" s="48" t="n">
        <v>1035675</v>
      </c>
      <c r="M470" s="48" t="n">
        <v>69975</v>
      </c>
      <c r="N470" s="47" t="n">
        <v>24363.3</v>
      </c>
      <c r="O470" s="47" t="n">
        <f aca="false">IF(AND(ISNUMBER(G470),ISNUMBER(N470)),G470-N470,"")</f>
        <v>213.5</v>
      </c>
      <c r="P470" s="49" t="n">
        <f aca="false">IF(ISNUMBER(O470),O470/N470,"")</f>
        <v>0.0087631806857035</v>
      </c>
      <c r="Q470" s="50" t="n">
        <f aca="false">C470-B470</f>
        <v>53</v>
      </c>
      <c r="R470" s="51" t="n">
        <f aca="false">IF(AND(C470=C469,ISNUMBER(G470),ISNUMBER(G469)),(G470/G469-1)*100,"")</f>
        <v>-0.923570602155144</v>
      </c>
      <c r="S470" s="51" t="n">
        <f aca="false">IF(AND(C470=C469,ISNUMBER(L470),ISNUMBER(L469)),(L470/L469-1)*100,"")</f>
        <v>7.24603914259088</v>
      </c>
      <c r="T470" s="51" t="n">
        <f aca="false">IF(AND(C470=C469,ISNUMBER(G470),ISNUMBER(G469)),G470-G469,"")</f>
        <v>-229.100000000002</v>
      </c>
      <c r="U470" s="1" t="str">
        <f aca="false">IF(OR(NOT(ISNUMBER(R470)),NOT(ISNUMBER(S470))),"Not classified",IF(AND(R470&gt;0,S470&gt;0),"Long buildup (interpretation)",IF(AND(R470&lt;0,S470&gt;0),"Short buildup (interpretation)",IF(AND(R470&gt;0,S470&lt;0),"Short covering (interpretation)",IF(AND(R470&lt;0,S470&lt;0),"Long unwinding (interpretation)","Neutral")))))</f>
        <v>Short buildup (interpretation)</v>
      </c>
      <c r="V470" s="52" t="str">
        <f aca="false">TEXT(B470,"yyyy-mm")</f>
        <v>2025-08</v>
      </c>
      <c r="W470" s="52" t="n">
        <f aca="false">1+COUNTIFS($B$2:$B$756,B470,$C$2:$C$756,"&lt;"&amp;C470)</f>
        <v>2</v>
      </c>
      <c r="X470" s="53" t="n">
        <f aca="false">IF(AND(ISNUMBER(P470),Q470&gt;0),P470*365/Q470,"")</f>
        <v>0.0603502066090901</v>
      </c>
      <c r="Y470" s="42" t="n">
        <f aca="false">IF(AND(C471=C470,ISNUMBER(R471)),R471,"")</f>
        <v>0.727108492562101</v>
      </c>
      <c r="Z470" s="52" t="n">
        <f aca="false">IF(AND(W470=1,Q470&gt;Basis_Analysis!$B$3,ISNUMBER(Y470)),1,0)</f>
        <v>0</v>
      </c>
      <c r="AA470" s="43" t="str">
        <f aca="false">IF(W470=1,IF(SUMIFS($L$2:$L$756,$B$2:$B$756,B470,$W$2:$W$756,2)&gt;0,SUMIFS($L$2:$L$756,$B$2:$B$756,B470,$W$2:$W$756,2),""),"")</f>
        <v/>
      </c>
      <c r="AB470" s="54" t="str">
        <f aca="false">IF(AND(W470=1,ISNUMBER(AA470)),L470/(L470+AA470),"")</f>
        <v/>
      </c>
    </row>
    <row r="471" customFormat="false" ht="15" hidden="false" customHeight="true" outlineLevel="0" collapsed="false">
      <c r="A471" s="1" t="s">
        <v>274</v>
      </c>
      <c r="B471" s="46" t="n">
        <v>45880</v>
      </c>
      <c r="C471" s="46" t="n">
        <v>45930</v>
      </c>
      <c r="D471" s="47" t="n">
        <v>24571.1</v>
      </c>
      <c r="E471" s="47" t="n">
        <v>24774.5</v>
      </c>
      <c r="F471" s="47" t="n">
        <v>24544.8</v>
      </c>
      <c r="G471" s="47" t="n">
        <v>24755.5</v>
      </c>
      <c r="H471" s="47" t="n">
        <v>24741.9</v>
      </c>
      <c r="I471" s="47" t="n">
        <v>24755.5</v>
      </c>
      <c r="J471" s="48" t="n">
        <v>4564</v>
      </c>
      <c r="K471" s="47" t="n">
        <v>84445.14</v>
      </c>
      <c r="L471" s="48" t="n">
        <v>1043925</v>
      </c>
      <c r="M471" s="48" t="n">
        <v>8250</v>
      </c>
      <c r="N471" s="47" t="n">
        <v>24585.05</v>
      </c>
      <c r="O471" s="47" t="n">
        <f aca="false">IF(AND(ISNUMBER(G471),ISNUMBER(N471)),G471-N471,"")</f>
        <v>170.450000000001</v>
      </c>
      <c r="P471" s="49" t="n">
        <f aca="false">IF(ISNUMBER(O471),O471/N471,"")</f>
        <v>0.00693307518186869</v>
      </c>
      <c r="Q471" s="50" t="n">
        <f aca="false">C471-B471</f>
        <v>50</v>
      </c>
      <c r="R471" s="51" t="n">
        <f aca="false">IF(AND(C471=C470,ISNUMBER(G471),ISNUMBER(G470)),(G471/G470-1)*100,"")</f>
        <v>0.727108492562101</v>
      </c>
      <c r="S471" s="51" t="n">
        <f aca="false">IF(AND(C471=C470,ISNUMBER(L471),ISNUMBER(L470)),(L471/L470-1)*100,"")</f>
        <v>0.796581939314933</v>
      </c>
      <c r="T471" s="51" t="n">
        <f aca="false">IF(AND(C471=C470,ISNUMBER(G471),ISNUMBER(G470)),G471-G470,"")</f>
        <v>178.700000000001</v>
      </c>
      <c r="U471" s="1" t="str">
        <f aca="false">IF(OR(NOT(ISNUMBER(R471)),NOT(ISNUMBER(S471))),"Not classified",IF(AND(R471&gt;0,S471&gt;0),"Long buildup (interpretation)",IF(AND(R471&lt;0,S471&gt;0),"Short buildup (interpretation)",IF(AND(R471&gt;0,S471&lt;0),"Short covering (interpretation)",IF(AND(R471&lt;0,S471&lt;0),"Long unwinding (interpretation)","Neutral")))))</f>
        <v>Long buildup (interpretation)</v>
      </c>
      <c r="V471" s="52" t="str">
        <f aca="false">TEXT(B471,"yyyy-mm")</f>
        <v>2025-08</v>
      </c>
      <c r="W471" s="52" t="n">
        <f aca="false">1+COUNTIFS($B$2:$B$756,B471,$C$2:$C$756,"&lt;"&amp;C471)</f>
        <v>2</v>
      </c>
      <c r="X471" s="53" t="n">
        <f aca="false">IF(AND(ISNUMBER(P471),Q471&gt;0),P471*365/Q471,"")</f>
        <v>0.0506114488276414</v>
      </c>
      <c r="Y471" s="42" t="n">
        <f aca="false">IF(AND(C472=C471,ISNUMBER(R472)),R472,"")</f>
        <v>-0.256912605279624</v>
      </c>
      <c r="Z471" s="52" t="n">
        <f aca="false">IF(AND(W471=1,Q471&gt;Basis_Analysis!$B$3,ISNUMBER(Y471)),1,0)</f>
        <v>0</v>
      </c>
      <c r="AA471" s="43" t="str">
        <f aca="false">IF(W471=1,IF(SUMIFS($L$2:$L$756,$B$2:$B$756,B471,$W$2:$W$756,2)&gt;0,SUMIFS($L$2:$L$756,$B$2:$B$756,B471,$W$2:$W$756,2),""),"")</f>
        <v/>
      </c>
      <c r="AB471" s="54" t="str">
        <f aca="false">IF(AND(W471=1,ISNUMBER(AA471)),L471/(L471+AA471),"")</f>
        <v/>
      </c>
    </row>
    <row r="472" customFormat="false" ht="15" hidden="false" customHeight="true" outlineLevel="0" collapsed="false">
      <c r="A472" s="1" t="s">
        <v>274</v>
      </c>
      <c r="B472" s="46" t="n">
        <v>45881</v>
      </c>
      <c r="C472" s="46" t="n">
        <v>45930</v>
      </c>
      <c r="D472" s="47" t="n">
        <v>24764.9</v>
      </c>
      <c r="E472" s="47" t="n">
        <v>24900</v>
      </c>
      <c r="F472" s="47" t="n">
        <v>24681</v>
      </c>
      <c r="G472" s="47" t="n">
        <v>24691.9</v>
      </c>
      <c r="H472" s="47" t="n">
        <v>24685</v>
      </c>
      <c r="I472" s="47" t="n">
        <v>24691.9</v>
      </c>
      <c r="J472" s="48" t="n">
        <v>5276</v>
      </c>
      <c r="K472" s="47" t="n">
        <v>98070.92</v>
      </c>
      <c r="L472" s="48" t="n">
        <v>1071375</v>
      </c>
      <c r="M472" s="48" t="n">
        <v>27450</v>
      </c>
      <c r="N472" s="47" t="n">
        <v>24487.4</v>
      </c>
      <c r="O472" s="47" t="n">
        <f aca="false">IF(AND(ISNUMBER(G472),ISNUMBER(N472)),G472-N472,"")</f>
        <v>204.5</v>
      </c>
      <c r="P472" s="49" t="n">
        <f aca="false">IF(ISNUMBER(O472),O472/N472,"")</f>
        <v>0.00835123369569656</v>
      </c>
      <c r="Q472" s="50" t="n">
        <f aca="false">C472-B472</f>
        <v>49</v>
      </c>
      <c r="R472" s="51" t="n">
        <f aca="false">IF(AND(C472=C471,ISNUMBER(G472),ISNUMBER(G471)),(G472/G471-1)*100,"")</f>
        <v>-0.256912605279624</v>
      </c>
      <c r="S472" s="51" t="n">
        <f aca="false">IF(AND(C472=C471,ISNUMBER(L472),ISNUMBER(L471)),(L472/L471-1)*100,"")</f>
        <v>2.62949924563547</v>
      </c>
      <c r="T472" s="51" t="n">
        <f aca="false">IF(AND(C472=C471,ISNUMBER(G472),ISNUMBER(G471)),G472-G471,"")</f>
        <v>-63.5999999999985</v>
      </c>
      <c r="U472" s="1" t="str">
        <f aca="false">IF(OR(NOT(ISNUMBER(R472)),NOT(ISNUMBER(S472))),"Not classified",IF(AND(R472&gt;0,S472&gt;0),"Long buildup (interpretation)",IF(AND(R472&lt;0,S472&gt;0),"Short buildup (interpretation)",IF(AND(R472&gt;0,S472&lt;0),"Short covering (interpretation)",IF(AND(R472&lt;0,S472&lt;0),"Long unwinding (interpretation)","Neutral")))))</f>
        <v>Short buildup (interpretation)</v>
      </c>
      <c r="V472" s="52" t="str">
        <f aca="false">TEXT(B472,"yyyy-mm")</f>
        <v>2025-08</v>
      </c>
      <c r="W472" s="52" t="n">
        <f aca="false">1+COUNTIFS($B$2:$B$756,B472,$C$2:$C$756,"&lt;"&amp;C472)</f>
        <v>2</v>
      </c>
      <c r="X472" s="53" t="n">
        <f aca="false">IF(AND(ISNUMBER(P472),Q472&gt;0),P472*365/Q472,"")</f>
        <v>0.062208169365903</v>
      </c>
      <c r="Y472" s="42" t="n">
        <f aca="false">IF(AND(C473=C472,ISNUMBER(R473)),R473,"")</f>
        <v>0.636241034509277</v>
      </c>
      <c r="Z472" s="52" t="n">
        <f aca="false">IF(AND(W472=1,Q472&gt;Basis_Analysis!$B$3,ISNUMBER(Y472)),1,0)</f>
        <v>0</v>
      </c>
      <c r="AA472" s="43" t="str">
        <f aca="false">IF(W472=1,IF(SUMIFS($L$2:$L$756,$B$2:$B$756,B472,$W$2:$W$756,2)&gt;0,SUMIFS($L$2:$L$756,$B$2:$B$756,B472,$W$2:$W$756,2),""),"")</f>
        <v/>
      </c>
      <c r="AB472" s="54" t="str">
        <f aca="false">IF(AND(W472=1,ISNUMBER(AA472)),L472/(L472+AA472),"")</f>
        <v/>
      </c>
    </row>
    <row r="473" customFormat="false" ht="15" hidden="false" customHeight="true" outlineLevel="0" collapsed="false">
      <c r="A473" s="1" t="s">
        <v>274</v>
      </c>
      <c r="B473" s="46" t="n">
        <v>45882</v>
      </c>
      <c r="C473" s="46" t="n">
        <v>45930</v>
      </c>
      <c r="D473" s="47" t="n">
        <v>24764</v>
      </c>
      <c r="E473" s="47" t="n">
        <v>24878.1</v>
      </c>
      <c r="F473" s="47" t="n">
        <v>24743</v>
      </c>
      <c r="G473" s="47" t="n">
        <v>24849</v>
      </c>
      <c r="H473" s="47" t="n">
        <v>24859.9</v>
      </c>
      <c r="I473" s="47" t="n">
        <v>24849</v>
      </c>
      <c r="J473" s="48" t="n">
        <v>4841</v>
      </c>
      <c r="K473" s="47" t="n">
        <v>90103.42</v>
      </c>
      <c r="L473" s="48" t="n">
        <v>1189575</v>
      </c>
      <c r="M473" s="48" t="n">
        <v>118200</v>
      </c>
      <c r="N473" s="47" t="n">
        <v>24619.35</v>
      </c>
      <c r="O473" s="47" t="n">
        <f aca="false">IF(AND(ISNUMBER(G473),ISNUMBER(N473)),G473-N473,"")</f>
        <v>229.650000000001</v>
      </c>
      <c r="P473" s="49" t="n">
        <f aca="false">IF(ISNUMBER(O473),O473/N473,"")</f>
        <v>0.00932802856289876</v>
      </c>
      <c r="Q473" s="50" t="n">
        <f aca="false">C473-B473</f>
        <v>48</v>
      </c>
      <c r="R473" s="51" t="n">
        <f aca="false">IF(AND(C473=C472,ISNUMBER(G473),ISNUMBER(G472)),(G473/G472-1)*100,"")</f>
        <v>0.636241034509277</v>
      </c>
      <c r="S473" s="51" t="n">
        <f aca="false">IF(AND(C473=C472,ISNUMBER(L473),ISNUMBER(L472)),(L473/L472-1)*100,"")</f>
        <v>11.0325516275814</v>
      </c>
      <c r="T473" s="51" t="n">
        <f aca="false">IF(AND(C473=C472,ISNUMBER(G473),ISNUMBER(G472)),G473-G472,"")</f>
        <v>157.099999999999</v>
      </c>
      <c r="U473" s="1" t="str">
        <f aca="false">IF(OR(NOT(ISNUMBER(R473)),NOT(ISNUMBER(S473))),"Not classified",IF(AND(R473&gt;0,S473&gt;0),"Long buildup (interpretation)",IF(AND(R473&lt;0,S473&gt;0),"Short buildup (interpretation)",IF(AND(R473&gt;0,S473&lt;0),"Short covering (interpretation)",IF(AND(R473&lt;0,S473&lt;0),"Long unwinding (interpretation)","Neutral")))))</f>
        <v>Long buildup (interpretation)</v>
      </c>
      <c r="V473" s="52" t="str">
        <f aca="false">TEXT(B473,"yyyy-mm")</f>
        <v>2025-08</v>
      </c>
      <c r="W473" s="52" t="n">
        <f aca="false">1+COUNTIFS($B$2:$B$756,B473,$C$2:$C$756,"&lt;"&amp;C473)</f>
        <v>2</v>
      </c>
      <c r="X473" s="53" t="n">
        <f aca="false">IF(AND(ISNUMBER(P473),Q473&gt;0),P473*365/Q473,"")</f>
        <v>0.0709318838637093</v>
      </c>
      <c r="Y473" s="42" t="n">
        <f aca="false">IF(AND(C474=C473,ISNUMBER(R474)),R474,"")</f>
        <v>-0.106644130548517</v>
      </c>
      <c r="Z473" s="52" t="n">
        <f aca="false">IF(AND(W473=1,Q473&gt;Basis_Analysis!$B$3,ISNUMBER(Y473)),1,0)</f>
        <v>0</v>
      </c>
      <c r="AA473" s="43" t="str">
        <f aca="false">IF(W473=1,IF(SUMIFS($L$2:$L$756,$B$2:$B$756,B473,$W$2:$W$756,2)&gt;0,SUMIFS($L$2:$L$756,$B$2:$B$756,B473,$W$2:$W$756,2),""),"")</f>
        <v/>
      </c>
      <c r="AB473" s="54" t="str">
        <f aca="false">IF(AND(W473=1,ISNUMBER(AA473)),L473/(L473+AA473),"")</f>
        <v/>
      </c>
    </row>
    <row r="474" customFormat="false" ht="15" hidden="false" customHeight="true" outlineLevel="0" collapsed="false">
      <c r="A474" s="1" t="s">
        <v>274</v>
      </c>
      <c r="B474" s="46" t="n">
        <v>45883</v>
      </c>
      <c r="C474" s="46" t="n">
        <v>45930</v>
      </c>
      <c r="D474" s="47" t="n">
        <v>24851.1</v>
      </c>
      <c r="E474" s="47" t="n">
        <v>24879.9</v>
      </c>
      <c r="F474" s="47" t="n">
        <v>24800</v>
      </c>
      <c r="G474" s="47" t="n">
        <v>24822.5</v>
      </c>
      <c r="H474" s="47" t="n">
        <v>24819.4</v>
      </c>
      <c r="I474" s="47" t="n">
        <v>24822.5</v>
      </c>
      <c r="J474" s="48" t="n">
        <v>2449</v>
      </c>
      <c r="K474" s="47" t="n">
        <v>45615.03</v>
      </c>
      <c r="L474" s="48" t="n">
        <v>1216350</v>
      </c>
      <c r="M474" s="48" t="n">
        <v>26775</v>
      </c>
      <c r="N474" s="47" t="n">
        <v>24631.3</v>
      </c>
      <c r="O474" s="47" t="n">
        <f aca="false">IF(AND(ISNUMBER(G474),ISNUMBER(N474)),G474-N474,"")</f>
        <v>191.200000000001</v>
      </c>
      <c r="P474" s="49" t="n">
        <f aca="false">IF(ISNUMBER(O474),O474/N474,"")</f>
        <v>0.00776248107083267</v>
      </c>
      <c r="Q474" s="50" t="n">
        <f aca="false">C474-B474</f>
        <v>47</v>
      </c>
      <c r="R474" s="51" t="n">
        <f aca="false">IF(AND(C474=C473,ISNUMBER(G474),ISNUMBER(G473)),(G474/G473-1)*100,"")</f>
        <v>-0.106644130548517</v>
      </c>
      <c r="S474" s="51" t="n">
        <f aca="false">IF(AND(C474=C473,ISNUMBER(L474),ISNUMBER(L473)),(L474/L473-1)*100,"")</f>
        <v>2.2508038585209</v>
      </c>
      <c r="T474" s="51" t="n">
        <f aca="false">IF(AND(C474=C473,ISNUMBER(G474),ISNUMBER(G473)),G474-G473,"")</f>
        <v>-26.5</v>
      </c>
      <c r="U474" s="1" t="str">
        <f aca="false">IF(OR(NOT(ISNUMBER(R474)),NOT(ISNUMBER(S474))),"Not classified",IF(AND(R474&gt;0,S474&gt;0),"Long buildup (interpretation)",IF(AND(R474&lt;0,S474&gt;0),"Short buildup (interpretation)",IF(AND(R474&gt;0,S474&lt;0),"Short covering (interpretation)",IF(AND(R474&lt;0,S474&lt;0),"Long unwinding (interpretation)","Neutral")))))</f>
        <v>Short buildup (interpretation)</v>
      </c>
      <c r="V474" s="52" t="str">
        <f aca="false">TEXT(B474,"yyyy-mm")</f>
        <v>2025-08</v>
      </c>
      <c r="W474" s="52" t="n">
        <f aca="false">1+COUNTIFS($B$2:$B$756,B474,$C$2:$C$756,"&lt;"&amp;C474)</f>
        <v>2</v>
      </c>
      <c r="X474" s="53" t="n">
        <f aca="false">IF(AND(ISNUMBER(P474),Q474&gt;0),P474*365/Q474,"")</f>
        <v>0.0602830976777431</v>
      </c>
      <c r="Y474" s="42" t="n">
        <f aca="false">IF(AND(C475=C474,ISNUMBER(R475)),R475,"")</f>
        <v>1.13405176754959</v>
      </c>
      <c r="Z474" s="52" t="n">
        <f aca="false">IF(AND(W474=1,Q474&gt;Basis_Analysis!$B$3,ISNUMBER(Y474)),1,0)</f>
        <v>0</v>
      </c>
      <c r="AA474" s="43" t="str">
        <f aca="false">IF(W474=1,IF(SUMIFS($L$2:$L$756,$B$2:$B$756,B474,$W$2:$W$756,2)&gt;0,SUMIFS($L$2:$L$756,$B$2:$B$756,B474,$W$2:$W$756,2),""),"")</f>
        <v/>
      </c>
      <c r="AB474" s="54" t="str">
        <f aca="false">IF(AND(W474=1,ISNUMBER(AA474)),L474/(L474+AA474),"")</f>
        <v/>
      </c>
    </row>
    <row r="475" customFormat="false" ht="15" hidden="false" customHeight="true" outlineLevel="0" collapsed="false">
      <c r="A475" s="1" t="s">
        <v>274</v>
      </c>
      <c r="B475" s="46" t="n">
        <v>45887</v>
      </c>
      <c r="C475" s="46" t="n">
        <v>45930</v>
      </c>
      <c r="D475" s="47" t="n">
        <v>25051</v>
      </c>
      <c r="E475" s="47" t="n">
        <v>25215.7</v>
      </c>
      <c r="F475" s="47" t="n">
        <v>25045</v>
      </c>
      <c r="G475" s="47" t="n">
        <v>25104</v>
      </c>
      <c r="H475" s="47" t="n">
        <v>25115.6</v>
      </c>
      <c r="I475" s="47" t="n">
        <v>25104</v>
      </c>
      <c r="J475" s="48" t="n">
        <v>12567</v>
      </c>
      <c r="K475" s="47" t="n">
        <v>236944.64</v>
      </c>
      <c r="L475" s="48" t="n">
        <v>1403475</v>
      </c>
      <c r="M475" s="48" t="n">
        <v>187125</v>
      </c>
      <c r="N475" s="47" t="n">
        <v>24876.95</v>
      </c>
      <c r="O475" s="47" t="n">
        <f aca="false">IF(AND(ISNUMBER(G475),ISNUMBER(N475)),G475-N475,"")</f>
        <v>227.049999999999</v>
      </c>
      <c r="P475" s="49" t="n">
        <f aca="false">IF(ISNUMBER(O475),O475/N475,"")</f>
        <v>0.00912692271359629</v>
      </c>
      <c r="Q475" s="50" t="n">
        <f aca="false">C475-B475</f>
        <v>43</v>
      </c>
      <c r="R475" s="51" t="n">
        <f aca="false">IF(AND(C475=C474,ISNUMBER(G475),ISNUMBER(G474)),(G475/G474-1)*100,"")</f>
        <v>1.13405176754959</v>
      </c>
      <c r="S475" s="51" t="n">
        <f aca="false">IF(AND(C475=C474,ISNUMBER(L475),ISNUMBER(L474)),(L475/L474-1)*100,"")</f>
        <v>15.3841410778148</v>
      </c>
      <c r="T475" s="51" t="n">
        <f aca="false">IF(AND(C475=C474,ISNUMBER(G475),ISNUMBER(G474)),G475-G474,"")</f>
        <v>281.5</v>
      </c>
      <c r="U475" s="1" t="str">
        <f aca="false">IF(OR(NOT(ISNUMBER(R475)),NOT(ISNUMBER(S475))),"Not classified",IF(AND(R475&gt;0,S475&gt;0),"Long buildup (interpretation)",IF(AND(R475&lt;0,S475&gt;0),"Short buildup (interpretation)",IF(AND(R475&gt;0,S475&lt;0),"Short covering (interpretation)",IF(AND(R475&lt;0,S475&lt;0),"Long unwinding (interpretation)","Neutral")))))</f>
        <v>Long buildup (interpretation)</v>
      </c>
      <c r="V475" s="52" t="str">
        <f aca="false">TEXT(B475,"yyyy-mm")</f>
        <v>2025-08</v>
      </c>
      <c r="W475" s="52" t="n">
        <f aca="false">1+COUNTIFS($B$2:$B$756,B475,$C$2:$C$756,"&lt;"&amp;C475)</f>
        <v>2</v>
      </c>
      <c r="X475" s="53" t="n">
        <f aca="false">IF(AND(ISNUMBER(P475),Q475&gt;0),P475*365/Q475,"")</f>
        <v>0.0774727160572709</v>
      </c>
      <c r="Y475" s="42" t="n">
        <f aca="false">IF(AND(C476=C475,ISNUMBER(R476)),R476,"")</f>
        <v>0.281230082855322</v>
      </c>
      <c r="Z475" s="52" t="n">
        <f aca="false">IF(AND(W475=1,Q475&gt;Basis_Analysis!$B$3,ISNUMBER(Y475)),1,0)</f>
        <v>0</v>
      </c>
      <c r="AA475" s="43" t="str">
        <f aca="false">IF(W475=1,IF(SUMIFS($L$2:$L$756,$B$2:$B$756,B475,$W$2:$W$756,2)&gt;0,SUMIFS($L$2:$L$756,$B$2:$B$756,B475,$W$2:$W$756,2),""),"")</f>
        <v/>
      </c>
      <c r="AB475" s="54" t="str">
        <f aca="false">IF(AND(W475=1,ISNUMBER(AA475)),L475/(L475+AA475),"")</f>
        <v/>
      </c>
    </row>
    <row r="476" customFormat="false" ht="15" hidden="false" customHeight="true" outlineLevel="0" collapsed="false">
      <c r="A476" s="1" t="s">
        <v>274</v>
      </c>
      <c r="B476" s="46" t="n">
        <v>45888</v>
      </c>
      <c r="C476" s="46" t="n">
        <v>45930</v>
      </c>
      <c r="D476" s="47" t="n">
        <v>25100.1</v>
      </c>
      <c r="E476" s="47" t="n">
        <v>25199</v>
      </c>
      <c r="F476" s="47" t="n">
        <v>25064</v>
      </c>
      <c r="G476" s="47" t="n">
        <v>25174.6</v>
      </c>
      <c r="H476" s="47" t="n">
        <v>25175</v>
      </c>
      <c r="I476" s="47" t="n">
        <v>25174.6</v>
      </c>
      <c r="J476" s="48" t="n">
        <v>5845</v>
      </c>
      <c r="K476" s="47" t="n">
        <v>110222.94</v>
      </c>
      <c r="L476" s="48" t="n">
        <v>1504725</v>
      </c>
      <c r="M476" s="48" t="n">
        <v>101250</v>
      </c>
      <c r="N476" s="47" t="n">
        <v>24980.65</v>
      </c>
      <c r="O476" s="47" t="n">
        <f aca="false">IF(AND(ISNUMBER(G476),ISNUMBER(N476)),G476-N476,"")</f>
        <v>193.949999999997</v>
      </c>
      <c r="P476" s="49" t="n">
        <f aca="false">IF(ISNUMBER(O476),O476/N476,"")</f>
        <v>0.00776400934323154</v>
      </c>
      <c r="Q476" s="50" t="n">
        <f aca="false">C476-B476</f>
        <v>42</v>
      </c>
      <c r="R476" s="51" t="n">
        <f aca="false">IF(AND(C476=C475,ISNUMBER(G476),ISNUMBER(G475)),(G476/G475-1)*100,"")</f>
        <v>0.281230082855322</v>
      </c>
      <c r="S476" s="51" t="n">
        <f aca="false">IF(AND(C476=C475,ISNUMBER(L476),ISNUMBER(L475)),(L476/L475-1)*100,"")</f>
        <v>7.21423609255598</v>
      </c>
      <c r="T476" s="51" t="n">
        <f aca="false">IF(AND(C476=C475,ISNUMBER(G476),ISNUMBER(G475)),G476-G475,"")</f>
        <v>70.5999999999985</v>
      </c>
      <c r="U476" s="1" t="str">
        <f aca="false">IF(OR(NOT(ISNUMBER(R476)),NOT(ISNUMBER(S476))),"Not classified",IF(AND(R476&gt;0,S476&gt;0),"Long buildup (interpretation)",IF(AND(R476&lt;0,S476&gt;0),"Short buildup (interpretation)",IF(AND(R476&gt;0,S476&lt;0),"Short covering (interpretation)",IF(AND(R476&lt;0,S476&lt;0),"Long unwinding (interpretation)","Neutral")))))</f>
        <v>Long buildup (interpretation)</v>
      </c>
      <c r="V476" s="52" t="str">
        <f aca="false">TEXT(B476,"yyyy-mm")</f>
        <v>2025-08</v>
      </c>
      <c r="W476" s="52" t="n">
        <f aca="false">1+COUNTIFS($B$2:$B$756,B476,$C$2:$C$756,"&lt;"&amp;C476)</f>
        <v>2</v>
      </c>
      <c r="X476" s="53" t="n">
        <f aca="false">IF(AND(ISNUMBER(P476),Q476&gt;0),P476*365/Q476,"")</f>
        <v>0.0674729383399884</v>
      </c>
      <c r="Y476" s="42" t="n">
        <f aca="false">IF(AND(C477=C476,ISNUMBER(R477)),R477,"")</f>
        <v>0.206557403096763</v>
      </c>
      <c r="Z476" s="52" t="n">
        <f aca="false">IF(AND(W476=1,Q476&gt;Basis_Analysis!$B$3,ISNUMBER(Y476)),1,0)</f>
        <v>0</v>
      </c>
      <c r="AA476" s="43" t="str">
        <f aca="false">IF(W476=1,IF(SUMIFS($L$2:$L$756,$B$2:$B$756,B476,$W$2:$W$756,2)&gt;0,SUMIFS($L$2:$L$756,$B$2:$B$756,B476,$W$2:$W$756,2),""),"")</f>
        <v/>
      </c>
      <c r="AB476" s="54" t="str">
        <f aca="false">IF(AND(W476=1,ISNUMBER(AA476)),L476/(L476+AA476),"")</f>
        <v/>
      </c>
    </row>
    <row r="477" customFormat="false" ht="15" hidden="false" customHeight="true" outlineLevel="0" collapsed="false">
      <c r="A477" s="1" t="s">
        <v>274</v>
      </c>
      <c r="B477" s="46" t="n">
        <v>45889</v>
      </c>
      <c r="C477" s="46" t="n">
        <v>45930</v>
      </c>
      <c r="D477" s="47" t="n">
        <v>25145</v>
      </c>
      <c r="E477" s="47" t="n">
        <v>25245</v>
      </c>
      <c r="F477" s="47" t="n">
        <v>25100.3</v>
      </c>
      <c r="G477" s="47" t="n">
        <v>25226.6</v>
      </c>
      <c r="H477" s="47" t="n">
        <v>25222.1</v>
      </c>
      <c r="I477" s="47" t="n">
        <v>25226.6</v>
      </c>
      <c r="J477" s="48" t="n">
        <v>9726</v>
      </c>
      <c r="K477" s="47" t="n">
        <v>183756.96</v>
      </c>
      <c r="L477" s="48" t="n">
        <v>1781775</v>
      </c>
      <c r="M477" s="48" t="n">
        <v>277050</v>
      </c>
      <c r="N477" s="47" t="n">
        <v>25050.55</v>
      </c>
      <c r="O477" s="47" t="n">
        <f aca="false">IF(AND(ISNUMBER(G477),ISNUMBER(N477)),G477-N477,"")</f>
        <v>176.049999999999</v>
      </c>
      <c r="P477" s="49" t="n">
        <f aca="false">IF(ISNUMBER(O477),O477/N477,"")</f>
        <v>0.00702778980900616</v>
      </c>
      <c r="Q477" s="50" t="n">
        <f aca="false">C477-B477</f>
        <v>41</v>
      </c>
      <c r="R477" s="51" t="n">
        <f aca="false">IF(AND(C477=C476,ISNUMBER(G477),ISNUMBER(G476)),(G477/G476-1)*100,"")</f>
        <v>0.206557403096763</v>
      </c>
      <c r="S477" s="51" t="n">
        <f aca="false">IF(AND(C477=C476,ISNUMBER(L477),ISNUMBER(L476)),(L477/L476-1)*100,"")</f>
        <v>18.4120021930918</v>
      </c>
      <c r="T477" s="51" t="n">
        <f aca="false">IF(AND(C477=C476,ISNUMBER(G477),ISNUMBER(G476)),G477-G476,"")</f>
        <v>52</v>
      </c>
      <c r="U477" s="1" t="str">
        <f aca="false">IF(OR(NOT(ISNUMBER(R477)),NOT(ISNUMBER(S477))),"Not classified",IF(AND(R477&gt;0,S477&gt;0),"Long buildup (interpretation)",IF(AND(R477&lt;0,S477&gt;0),"Short buildup (interpretation)",IF(AND(R477&gt;0,S477&lt;0),"Short covering (interpretation)",IF(AND(R477&lt;0,S477&lt;0),"Long unwinding (interpretation)","Neutral")))))</f>
        <v>Long buildup (interpretation)</v>
      </c>
      <c r="V477" s="52" t="str">
        <f aca="false">TEXT(B477,"yyyy-mm")</f>
        <v>2025-08</v>
      </c>
      <c r="W477" s="52" t="n">
        <f aca="false">1+COUNTIFS($B$2:$B$756,B477,$C$2:$C$756,"&lt;"&amp;C477)</f>
        <v>2</v>
      </c>
      <c r="X477" s="53" t="n">
        <f aca="false">IF(AND(ISNUMBER(P477),Q477&gt;0),P477*365/Q477,"")</f>
        <v>0.0625644702509085</v>
      </c>
      <c r="Y477" s="42" t="n">
        <f aca="false">IF(AND(C478=C477,ISNUMBER(R478)),R478,"")</f>
        <v>0.133589147962865</v>
      </c>
      <c r="Z477" s="52" t="n">
        <f aca="false">IF(AND(W477=1,Q477&gt;Basis_Analysis!$B$3,ISNUMBER(Y477)),1,0)</f>
        <v>0</v>
      </c>
      <c r="AA477" s="43" t="str">
        <f aca="false">IF(W477=1,IF(SUMIFS($L$2:$L$756,$B$2:$B$756,B477,$W$2:$W$756,2)&gt;0,SUMIFS($L$2:$L$756,$B$2:$B$756,B477,$W$2:$W$756,2),""),"")</f>
        <v/>
      </c>
      <c r="AB477" s="54" t="str">
        <f aca="false">IF(AND(W477=1,ISNUMBER(AA477)),L477/(L477+AA477),"")</f>
        <v/>
      </c>
    </row>
    <row r="478" customFormat="false" ht="15" hidden="false" customHeight="true" outlineLevel="0" collapsed="false">
      <c r="A478" s="1" t="s">
        <v>274</v>
      </c>
      <c r="B478" s="46" t="n">
        <v>45890</v>
      </c>
      <c r="C478" s="46" t="n">
        <v>45930</v>
      </c>
      <c r="D478" s="47" t="n">
        <v>25258.9</v>
      </c>
      <c r="E478" s="47" t="n">
        <v>25310.9</v>
      </c>
      <c r="F478" s="47" t="n">
        <v>25225.9</v>
      </c>
      <c r="G478" s="47" t="n">
        <v>25260.3</v>
      </c>
      <c r="H478" s="47" t="n">
        <v>25255</v>
      </c>
      <c r="I478" s="47" t="n">
        <v>25260.3</v>
      </c>
      <c r="J478" s="48" t="n">
        <v>14851</v>
      </c>
      <c r="K478" s="47" t="n">
        <v>281528.65</v>
      </c>
      <c r="L478" s="48" t="n">
        <v>2361525</v>
      </c>
      <c r="M478" s="48" t="n">
        <v>579750</v>
      </c>
      <c r="N478" s="47" t="n">
        <v>25083.75</v>
      </c>
      <c r="O478" s="47" t="n">
        <f aca="false">IF(AND(ISNUMBER(G478),ISNUMBER(N478)),G478-N478,"")</f>
        <v>176.549999999999</v>
      </c>
      <c r="P478" s="49" t="n">
        <f aca="false">IF(ISNUMBER(O478),O478/N478,"")</f>
        <v>0.00703842128868288</v>
      </c>
      <c r="Q478" s="50" t="n">
        <f aca="false">C478-B478</f>
        <v>40</v>
      </c>
      <c r="R478" s="51" t="n">
        <f aca="false">IF(AND(C478=C477,ISNUMBER(G478),ISNUMBER(G477)),(G478/G477-1)*100,"")</f>
        <v>0.133589147962865</v>
      </c>
      <c r="S478" s="51" t="n">
        <f aca="false">IF(AND(C478=C477,ISNUMBER(L478),ISNUMBER(L477)),(L478/L477-1)*100,"")</f>
        <v>32.5377783390159</v>
      </c>
      <c r="T478" s="51" t="n">
        <f aca="false">IF(AND(C478=C477,ISNUMBER(G478),ISNUMBER(G477)),G478-G477,"")</f>
        <v>33.7000000000007</v>
      </c>
      <c r="U478" s="1" t="str">
        <f aca="false">IF(OR(NOT(ISNUMBER(R478)),NOT(ISNUMBER(S478))),"Not classified",IF(AND(R478&gt;0,S478&gt;0),"Long buildup (interpretation)",IF(AND(R478&lt;0,S478&gt;0),"Short buildup (interpretation)",IF(AND(R478&gt;0,S478&lt;0),"Short covering (interpretation)",IF(AND(R478&lt;0,S478&lt;0),"Long unwinding (interpretation)","Neutral")))))</f>
        <v>Long buildup (interpretation)</v>
      </c>
      <c r="V478" s="52" t="str">
        <f aca="false">TEXT(B478,"yyyy-mm")</f>
        <v>2025-08</v>
      </c>
      <c r="W478" s="52" t="n">
        <f aca="false">1+COUNTIFS($B$2:$B$756,B478,$C$2:$C$756,"&lt;"&amp;C478)</f>
        <v>2</v>
      </c>
      <c r="X478" s="53" t="n">
        <f aca="false">IF(AND(ISNUMBER(P478),Q478&gt;0),P478*365/Q478,"")</f>
        <v>0.0642255942592313</v>
      </c>
      <c r="Y478" s="42" t="n">
        <f aca="false">IF(AND(C479=C478,ISNUMBER(R479)),R479,"")</f>
        <v>-0.87528651678721</v>
      </c>
      <c r="Z478" s="52" t="n">
        <f aca="false">IF(AND(W478=1,Q478&gt;Basis_Analysis!$B$3,ISNUMBER(Y478)),1,0)</f>
        <v>0</v>
      </c>
      <c r="AA478" s="43" t="str">
        <f aca="false">IF(W478=1,IF(SUMIFS($L$2:$L$756,$B$2:$B$756,B478,$W$2:$W$756,2)&gt;0,SUMIFS($L$2:$L$756,$B$2:$B$756,B478,$W$2:$W$756,2),""),"")</f>
        <v/>
      </c>
      <c r="AB478" s="54" t="str">
        <f aca="false">IF(AND(W478=1,ISNUMBER(AA478)),L478/(L478+AA478),"")</f>
        <v/>
      </c>
    </row>
    <row r="479" customFormat="false" ht="15" hidden="false" customHeight="true" outlineLevel="0" collapsed="false">
      <c r="A479" s="1" t="s">
        <v>274</v>
      </c>
      <c r="B479" s="46" t="n">
        <v>45891</v>
      </c>
      <c r="C479" s="46" t="n">
        <v>45930</v>
      </c>
      <c r="D479" s="47" t="n">
        <v>25234.9</v>
      </c>
      <c r="E479" s="47" t="n">
        <v>25234.9</v>
      </c>
      <c r="F479" s="47" t="n">
        <v>25032.6</v>
      </c>
      <c r="G479" s="47" t="n">
        <v>25039.2</v>
      </c>
      <c r="H479" s="47" t="n">
        <v>25037</v>
      </c>
      <c r="I479" s="47" t="n">
        <v>25039.2</v>
      </c>
      <c r="J479" s="48" t="n">
        <v>20529</v>
      </c>
      <c r="K479" s="47" t="n">
        <v>386453.77</v>
      </c>
      <c r="L479" s="48" t="n">
        <v>3073125</v>
      </c>
      <c r="M479" s="48" t="n">
        <v>711600</v>
      </c>
      <c r="N479" s="47" t="n">
        <v>24870.1</v>
      </c>
      <c r="O479" s="47" t="n">
        <f aca="false">IF(AND(ISNUMBER(G479),ISNUMBER(N479)),G479-N479,"")</f>
        <v>169.100000000002</v>
      </c>
      <c r="P479" s="49" t="n">
        <f aca="false">IF(ISNUMBER(O479),O479/N479,"")</f>
        <v>0.00679932931512146</v>
      </c>
      <c r="Q479" s="50" t="n">
        <f aca="false">C479-B479</f>
        <v>39</v>
      </c>
      <c r="R479" s="51" t="n">
        <f aca="false">IF(AND(C479=C478,ISNUMBER(G479),ISNUMBER(G478)),(G479/G478-1)*100,"")</f>
        <v>-0.87528651678721</v>
      </c>
      <c r="S479" s="51" t="n">
        <f aca="false">IF(AND(C479=C478,ISNUMBER(L479),ISNUMBER(L478)),(L479/L478-1)*100,"")</f>
        <v>30.1330707911202</v>
      </c>
      <c r="T479" s="51" t="n">
        <f aca="false">IF(AND(C479=C478,ISNUMBER(G479),ISNUMBER(G478)),G479-G478,"")</f>
        <v>-221.099999999999</v>
      </c>
      <c r="U479" s="1" t="str">
        <f aca="false">IF(OR(NOT(ISNUMBER(R479)),NOT(ISNUMBER(S479))),"Not classified",IF(AND(R479&gt;0,S479&gt;0),"Long buildup (interpretation)",IF(AND(R479&lt;0,S479&gt;0),"Short buildup (interpretation)",IF(AND(R479&gt;0,S479&lt;0),"Short covering (interpretation)",IF(AND(R479&lt;0,S479&lt;0),"Long unwinding (interpretation)","Neutral")))))</f>
        <v>Short buildup (interpretation)</v>
      </c>
      <c r="V479" s="52" t="str">
        <f aca="false">TEXT(B479,"yyyy-mm")</f>
        <v>2025-08</v>
      </c>
      <c r="W479" s="52" t="n">
        <f aca="false">1+COUNTIFS($B$2:$B$756,B479,$C$2:$C$756,"&lt;"&amp;C479)</f>
        <v>2</v>
      </c>
      <c r="X479" s="53" t="n">
        <f aca="false">IF(AND(ISNUMBER(P479),Q479&gt;0),P479*365/Q479,"")</f>
        <v>0.0636347487184444</v>
      </c>
      <c r="Y479" s="42" t="n">
        <f aca="false">IF(AND(C480=C479,ISNUMBER(R480)),R480,"")</f>
        <v>0.333876481676731</v>
      </c>
      <c r="Z479" s="52" t="n">
        <f aca="false">IF(AND(W479=1,Q479&gt;Basis_Analysis!$B$3,ISNUMBER(Y479)),1,0)</f>
        <v>0</v>
      </c>
      <c r="AA479" s="43" t="str">
        <f aca="false">IF(W479=1,IF(SUMIFS($L$2:$L$756,$B$2:$B$756,B479,$W$2:$W$756,2)&gt;0,SUMIFS($L$2:$L$756,$B$2:$B$756,B479,$W$2:$W$756,2),""),"")</f>
        <v/>
      </c>
      <c r="AB479" s="54" t="str">
        <f aca="false">IF(AND(W479=1,ISNUMBER(AA479)),L479/(L479+AA479),"")</f>
        <v/>
      </c>
    </row>
    <row r="480" customFormat="false" ht="15" hidden="false" customHeight="true" outlineLevel="0" collapsed="false">
      <c r="A480" s="1" t="s">
        <v>274</v>
      </c>
      <c r="B480" s="46" t="n">
        <v>45894</v>
      </c>
      <c r="C480" s="46" t="n">
        <v>45930</v>
      </c>
      <c r="D480" s="47" t="n">
        <v>25078.9</v>
      </c>
      <c r="E480" s="47" t="n">
        <v>25162.9</v>
      </c>
      <c r="F480" s="47" t="n">
        <v>25050</v>
      </c>
      <c r="G480" s="47" t="n">
        <v>25122.8</v>
      </c>
      <c r="H480" s="47" t="n">
        <v>25128.2</v>
      </c>
      <c r="I480" s="47" t="n">
        <v>25122.8</v>
      </c>
      <c r="J480" s="48" t="n">
        <v>61127</v>
      </c>
      <c r="K480" s="47" t="n">
        <v>1151667.27</v>
      </c>
      <c r="L480" s="48" t="n">
        <v>6678675</v>
      </c>
      <c r="M480" s="48" t="n">
        <v>3605550</v>
      </c>
      <c r="N480" s="47" t="n">
        <v>24967.75</v>
      </c>
      <c r="O480" s="47" t="n">
        <f aca="false">IF(AND(ISNUMBER(G480),ISNUMBER(N480)),G480-N480,"")</f>
        <v>155.049999999999</v>
      </c>
      <c r="P480" s="49" t="n">
        <f aca="false">IF(ISNUMBER(O480),O480/N480,"")</f>
        <v>0.00621001091407913</v>
      </c>
      <c r="Q480" s="50" t="n">
        <f aca="false">C480-B480</f>
        <v>36</v>
      </c>
      <c r="R480" s="51" t="n">
        <f aca="false">IF(AND(C480=C479,ISNUMBER(G480),ISNUMBER(G479)),(G480/G479-1)*100,"")</f>
        <v>0.333876481676731</v>
      </c>
      <c r="S480" s="51" t="n">
        <f aca="false">IF(AND(C480=C479,ISNUMBER(L480),ISNUMBER(L479)),(L480/L479-1)*100,"")</f>
        <v>117.325198291641</v>
      </c>
      <c r="T480" s="51" t="n">
        <f aca="false">IF(AND(C480=C479,ISNUMBER(G480),ISNUMBER(G479)),G480-G479,"")</f>
        <v>83.5999999999985</v>
      </c>
      <c r="U480" s="1" t="str">
        <f aca="false">IF(OR(NOT(ISNUMBER(R480)),NOT(ISNUMBER(S480))),"Not classified",IF(AND(R480&gt;0,S480&gt;0),"Long buildup (interpretation)",IF(AND(R480&lt;0,S480&gt;0),"Short buildup (interpretation)",IF(AND(R480&gt;0,S480&lt;0),"Short covering (interpretation)",IF(AND(R480&lt;0,S480&lt;0),"Long unwinding (interpretation)","Neutral")))))</f>
        <v>Long buildup (interpretation)</v>
      </c>
      <c r="V480" s="52" t="str">
        <f aca="false">TEXT(B480,"yyyy-mm")</f>
        <v>2025-08</v>
      </c>
      <c r="W480" s="52" t="n">
        <f aca="false">1+COUNTIFS($B$2:$B$756,B480,$C$2:$C$756,"&lt;"&amp;C480)</f>
        <v>2</v>
      </c>
      <c r="X480" s="53" t="n">
        <f aca="false">IF(AND(ISNUMBER(P480),Q480&gt;0),P480*365/Q480,"")</f>
        <v>0.0629626106566357</v>
      </c>
      <c r="Y480" s="42" t="n">
        <f aca="false">IF(AND(C481=C480,ISNUMBER(R481)),R481,"")</f>
        <v>-1.05601286480806</v>
      </c>
      <c r="Z480" s="52" t="n">
        <f aca="false">IF(AND(W480=1,Q480&gt;Basis_Analysis!$B$3,ISNUMBER(Y480)),1,0)</f>
        <v>0</v>
      </c>
      <c r="AA480" s="43" t="str">
        <f aca="false">IF(W480=1,IF(SUMIFS($L$2:$L$756,$B$2:$B$756,B480,$W$2:$W$756,2)&gt;0,SUMIFS($L$2:$L$756,$B$2:$B$756,B480,$W$2:$W$756,2),""),"")</f>
        <v/>
      </c>
      <c r="AB480" s="54" t="str">
        <f aca="false">IF(AND(W480=1,ISNUMBER(AA480)),L480/(L480+AA480),"")</f>
        <v/>
      </c>
    </row>
    <row r="481" customFormat="false" ht="15" hidden="false" customHeight="true" outlineLevel="0" collapsed="false">
      <c r="A481" s="1" t="s">
        <v>274</v>
      </c>
      <c r="B481" s="46" t="n">
        <v>45895</v>
      </c>
      <c r="C481" s="46" t="n">
        <v>45930</v>
      </c>
      <c r="D481" s="47" t="n">
        <v>25050</v>
      </c>
      <c r="E481" s="47" t="n">
        <v>25075</v>
      </c>
      <c r="F481" s="47" t="n">
        <v>24837.1</v>
      </c>
      <c r="G481" s="47" t="n">
        <v>24857.5</v>
      </c>
      <c r="H481" s="47" t="n">
        <v>24856.3</v>
      </c>
      <c r="I481" s="47" t="n">
        <v>24857.5</v>
      </c>
      <c r="J481" s="48" t="n">
        <v>105485</v>
      </c>
      <c r="K481" s="47" t="n">
        <v>1971273.44</v>
      </c>
      <c r="L481" s="48" t="n">
        <v>11407725</v>
      </c>
      <c r="M481" s="48" t="n">
        <v>4729050</v>
      </c>
      <c r="N481" s="47" t="n">
        <v>24712.05</v>
      </c>
      <c r="O481" s="47" t="n">
        <f aca="false">IF(AND(ISNUMBER(G481),ISNUMBER(N481)),G481-N481,"")</f>
        <v>145.450000000001</v>
      </c>
      <c r="P481" s="49" t="n">
        <f aca="false">IF(ISNUMBER(O481),O481/N481,"")</f>
        <v>0.00588579255869103</v>
      </c>
      <c r="Q481" s="50" t="n">
        <f aca="false">C481-B481</f>
        <v>35</v>
      </c>
      <c r="R481" s="51" t="n">
        <f aca="false">IF(AND(C481=C480,ISNUMBER(G481),ISNUMBER(G480)),(G481/G480-1)*100,"")</f>
        <v>-1.05601286480806</v>
      </c>
      <c r="S481" s="51" t="n">
        <f aca="false">IF(AND(C481=C480,ISNUMBER(L481),ISNUMBER(L480)),(L481/L480-1)*100,"")</f>
        <v>70.8082067176498</v>
      </c>
      <c r="T481" s="51" t="n">
        <f aca="false">IF(AND(C481=C480,ISNUMBER(G481),ISNUMBER(G480)),G481-G480,"")</f>
        <v>-265.299999999999</v>
      </c>
      <c r="U481" s="1" t="str">
        <f aca="false">IF(OR(NOT(ISNUMBER(R481)),NOT(ISNUMBER(S481))),"Not classified",IF(AND(R481&gt;0,S481&gt;0),"Long buildup (interpretation)",IF(AND(R481&lt;0,S481&gt;0),"Short buildup (interpretation)",IF(AND(R481&gt;0,S481&lt;0),"Short covering (interpretation)",IF(AND(R481&lt;0,S481&lt;0),"Long unwinding (interpretation)","Neutral")))))</f>
        <v>Short buildup (interpretation)</v>
      </c>
      <c r="V481" s="52" t="str">
        <f aca="false">TEXT(B481,"yyyy-mm")</f>
        <v>2025-08</v>
      </c>
      <c r="W481" s="52" t="n">
        <f aca="false">1+COUNTIFS($B$2:$B$756,B481,$C$2:$C$756,"&lt;"&amp;C481)</f>
        <v>2</v>
      </c>
      <c r="X481" s="53" t="n">
        <f aca="false">IF(AND(ISNUMBER(P481),Q481&gt;0),P481*365/Q481,"")</f>
        <v>0.0613804081120636</v>
      </c>
      <c r="Y481" s="42" t="n">
        <f aca="false">IF(AND(C482=C481,ISNUMBER(R482)),R482,"")</f>
        <v>-0.827919139092825</v>
      </c>
      <c r="Z481" s="52" t="n">
        <f aca="false">IF(AND(W481=1,Q481&gt;Basis_Analysis!$B$3,ISNUMBER(Y481)),1,0)</f>
        <v>0</v>
      </c>
      <c r="AA481" s="43" t="str">
        <f aca="false">IF(W481=1,IF(SUMIFS($L$2:$L$756,$B$2:$B$756,B481,$W$2:$W$756,2)&gt;0,SUMIFS($L$2:$L$756,$B$2:$B$756,B481,$W$2:$W$756,2),""),"")</f>
        <v/>
      </c>
      <c r="AB481" s="54" t="str">
        <f aca="false">IF(AND(W481=1,ISNUMBER(AA481)),L481/(L481+AA481),"")</f>
        <v/>
      </c>
    </row>
    <row r="482" customFormat="false" ht="15" hidden="false" customHeight="true" outlineLevel="0" collapsed="false">
      <c r="A482" s="1" t="s">
        <v>274</v>
      </c>
      <c r="B482" s="46" t="n">
        <v>45897</v>
      </c>
      <c r="C482" s="46" t="n">
        <v>45930</v>
      </c>
      <c r="D482" s="47" t="n">
        <v>24751.8</v>
      </c>
      <c r="E482" s="47" t="n">
        <v>24836</v>
      </c>
      <c r="F482" s="47" t="n">
        <v>24627.3</v>
      </c>
      <c r="G482" s="47" t="n">
        <v>24651.7</v>
      </c>
      <c r="H482" s="47" t="n">
        <v>24668.4</v>
      </c>
      <c r="I482" s="47" t="n">
        <v>24651.7</v>
      </c>
      <c r="J482" s="48" t="n">
        <v>120553</v>
      </c>
      <c r="K482" s="47" t="n">
        <v>2233353.55</v>
      </c>
      <c r="L482" s="48" t="n">
        <v>16027050</v>
      </c>
      <c r="M482" s="48" t="n">
        <v>4619325</v>
      </c>
      <c r="N482" s="47" t="n">
        <v>24500.9</v>
      </c>
      <c r="O482" s="47" t="n">
        <f aca="false">IF(AND(ISNUMBER(G482),ISNUMBER(N482)),G482-N482,"")</f>
        <v>150.799999999999</v>
      </c>
      <c r="P482" s="49" t="n">
        <f aca="false">IF(ISNUMBER(O482),O482/N482,"")</f>
        <v>0.00615487594333266</v>
      </c>
      <c r="Q482" s="50" t="n">
        <f aca="false">C482-B482</f>
        <v>33</v>
      </c>
      <c r="R482" s="51" t="n">
        <f aca="false">IF(AND(C482=C481,ISNUMBER(G482),ISNUMBER(G481)),(G482/G481-1)*100,"")</f>
        <v>-0.827919139092825</v>
      </c>
      <c r="S482" s="51" t="n">
        <f aca="false">IF(AND(C482=C481,ISNUMBER(L482),ISNUMBER(L481)),(L482/L481-1)*100,"")</f>
        <v>40.4929554315168</v>
      </c>
      <c r="T482" s="51" t="n">
        <f aca="false">IF(AND(C482=C481,ISNUMBER(G482),ISNUMBER(G481)),G482-G481,"")</f>
        <v>-205.799999999999</v>
      </c>
      <c r="U482" s="1" t="str">
        <f aca="false">IF(OR(NOT(ISNUMBER(R482)),NOT(ISNUMBER(S482))),"Not classified",IF(AND(R482&gt;0,S482&gt;0),"Long buildup (interpretation)",IF(AND(R482&lt;0,S482&gt;0),"Short buildup (interpretation)",IF(AND(R482&gt;0,S482&lt;0),"Short covering (interpretation)",IF(AND(R482&lt;0,S482&lt;0),"Long unwinding (interpretation)","Neutral")))))</f>
        <v>Short buildup (interpretation)</v>
      </c>
      <c r="V482" s="52" t="str">
        <f aca="false">TEXT(B482,"yyyy-mm")</f>
        <v>2025-08</v>
      </c>
      <c r="W482" s="52" t="n">
        <f aca="false">1+COUNTIFS($B$2:$B$756,B482,$C$2:$C$756,"&lt;"&amp;C482)</f>
        <v>2</v>
      </c>
      <c r="X482" s="53" t="n">
        <f aca="false">IF(AND(ISNUMBER(P482),Q482&gt;0),P482*365/Q482,"")</f>
        <v>0.0680766581611037</v>
      </c>
      <c r="Y482" s="42" t="n">
        <f aca="false">IF(AND(C483=C482,ISNUMBER(R483)),R483,"")</f>
        <v>-0.337502078964136</v>
      </c>
      <c r="Z482" s="52" t="n">
        <f aca="false">IF(AND(W482=1,Q482&gt;Basis_Analysis!$B$3,ISNUMBER(Y482)),1,0)</f>
        <v>0</v>
      </c>
      <c r="AA482" s="43" t="str">
        <f aca="false">IF(W482=1,IF(SUMIFS($L$2:$L$756,$B$2:$B$756,B482,$W$2:$W$756,2)&gt;0,SUMIFS($L$2:$L$756,$B$2:$B$756,B482,$W$2:$W$756,2),""),"")</f>
        <v/>
      </c>
      <c r="AB482" s="54" t="str">
        <f aca="false">IF(AND(W482=1,ISNUMBER(AA482)),L482/(L482+AA482),"")</f>
        <v/>
      </c>
    </row>
    <row r="483" customFormat="false" ht="15" hidden="false" customHeight="true" outlineLevel="0" collapsed="false">
      <c r="A483" s="1" t="s">
        <v>274</v>
      </c>
      <c r="B483" s="46" t="n">
        <v>45898</v>
      </c>
      <c r="C483" s="46" t="n">
        <v>45930</v>
      </c>
      <c r="D483" s="47" t="n">
        <v>24650</v>
      </c>
      <c r="E483" s="47" t="n">
        <v>24710</v>
      </c>
      <c r="F483" s="47" t="n">
        <v>24546</v>
      </c>
      <c r="G483" s="47" t="n">
        <v>24568.5</v>
      </c>
      <c r="H483" s="47" t="n">
        <v>24577.3</v>
      </c>
      <c r="I483" s="47" t="n">
        <v>24568.5</v>
      </c>
      <c r="J483" s="48" t="n">
        <v>68731</v>
      </c>
      <c r="K483" s="47" t="n">
        <v>1270133.09</v>
      </c>
      <c r="L483" s="48" t="n">
        <v>16610100</v>
      </c>
      <c r="M483" s="48" t="n">
        <v>583050</v>
      </c>
      <c r="N483" s="47" t="n">
        <v>24426.85</v>
      </c>
      <c r="O483" s="47" t="n">
        <f aca="false">IF(AND(ISNUMBER(G483),ISNUMBER(N483)),G483-N483,"")</f>
        <v>141.650000000001</v>
      </c>
      <c r="P483" s="49" t="n">
        <f aca="false">IF(ISNUMBER(O483),O483/N483,"")</f>
        <v>0.00579894665091903</v>
      </c>
      <c r="Q483" s="50" t="n">
        <f aca="false">C483-B483</f>
        <v>32</v>
      </c>
      <c r="R483" s="51" t="n">
        <f aca="false">IF(AND(C483=C482,ISNUMBER(G483),ISNUMBER(G482)),(G483/G482-1)*100,"")</f>
        <v>-0.337502078964136</v>
      </c>
      <c r="S483" s="51" t="n">
        <f aca="false">IF(AND(C483=C482,ISNUMBER(L483),ISNUMBER(L482)),(L483/L482-1)*100,"")</f>
        <v>3.63791215476335</v>
      </c>
      <c r="T483" s="51" t="n">
        <f aca="false">IF(AND(C483=C482,ISNUMBER(G483),ISNUMBER(G482)),G483-G482,"")</f>
        <v>-83.2000000000007</v>
      </c>
      <c r="U483" s="1" t="str">
        <f aca="false">IF(OR(NOT(ISNUMBER(R483)),NOT(ISNUMBER(S483))),"Not classified",IF(AND(R483&gt;0,S483&gt;0),"Long buildup (interpretation)",IF(AND(R483&lt;0,S483&gt;0),"Short buildup (interpretation)",IF(AND(R483&gt;0,S483&lt;0),"Short covering (interpretation)",IF(AND(R483&lt;0,S483&lt;0),"Long unwinding (interpretation)","Neutral")))))</f>
        <v>Short buildup (interpretation)</v>
      </c>
      <c r="V483" s="52" t="str">
        <f aca="false">TEXT(B483,"yyyy-mm")</f>
        <v>2025-08</v>
      </c>
      <c r="W483" s="52" t="n">
        <f aca="false">1+COUNTIFS($B$2:$B$756,B483,$C$2:$C$756,"&lt;"&amp;C483)</f>
        <v>1</v>
      </c>
      <c r="X483" s="53" t="n">
        <f aca="false">IF(AND(ISNUMBER(P483),Q483&gt;0),P483*365/Q483,"")</f>
        <v>0.0661442352370452</v>
      </c>
      <c r="Y483" s="42" t="n">
        <f aca="false">IF(AND(C484=C483,ISNUMBER(R484)),R484,"")</f>
        <v>0.730610334371251</v>
      </c>
      <c r="Z483" s="52" t="n">
        <f aca="false">IF(AND(W483=1,Q483&gt;Basis_Analysis!$B$3,ISNUMBER(Y483)),1,0)</f>
        <v>1</v>
      </c>
      <c r="AA483" s="43" t="n">
        <f aca="false">IF(W483=1,IF(SUMIFS($L$2:$L$756,$B$2:$B$756,B483,$W$2:$W$756,2)&gt;0,SUMIFS($L$2:$L$756,$B$2:$B$756,B483,$W$2:$W$756,2),""),"")</f>
        <v>972525</v>
      </c>
      <c r="AB483" s="54" t="n">
        <f aca="false">IF(AND(W483=1,ISNUMBER(AA483)),L483/(L483+AA483),"")</f>
        <v>0.944688293130292</v>
      </c>
    </row>
    <row r="484" customFormat="false" ht="15" hidden="false" customHeight="true" outlineLevel="0" collapsed="false">
      <c r="A484" s="1" t="s">
        <v>274</v>
      </c>
      <c r="B484" s="46" t="n">
        <v>45901</v>
      </c>
      <c r="C484" s="46" t="n">
        <v>45930</v>
      </c>
      <c r="D484" s="47" t="n">
        <v>24581.1</v>
      </c>
      <c r="E484" s="47" t="n">
        <v>24760</v>
      </c>
      <c r="F484" s="47" t="n">
        <v>24581</v>
      </c>
      <c r="G484" s="47" t="n">
        <v>24748</v>
      </c>
      <c r="H484" s="47" t="n">
        <v>24759</v>
      </c>
      <c r="I484" s="47" t="n">
        <v>24748</v>
      </c>
      <c r="J484" s="48" t="n">
        <v>52140</v>
      </c>
      <c r="K484" s="47" t="n">
        <v>965806.74</v>
      </c>
      <c r="L484" s="48" t="n">
        <v>16621050</v>
      </c>
      <c r="M484" s="48" t="n">
        <v>10950</v>
      </c>
      <c r="N484" s="47" t="n">
        <v>24625.05</v>
      </c>
      <c r="O484" s="47" t="n">
        <f aca="false">IF(AND(ISNUMBER(G484),ISNUMBER(N484)),G484-N484,"")</f>
        <v>122.950000000001</v>
      </c>
      <c r="P484" s="49" t="n">
        <f aca="false">IF(ISNUMBER(O484),O484/N484,"")</f>
        <v>0.00499288326318122</v>
      </c>
      <c r="Q484" s="50" t="n">
        <f aca="false">C484-B484</f>
        <v>29</v>
      </c>
      <c r="R484" s="51" t="n">
        <f aca="false">IF(AND(C484=C483,ISNUMBER(G484),ISNUMBER(G483)),(G484/G483-1)*100,"")</f>
        <v>0.730610334371251</v>
      </c>
      <c r="S484" s="51" t="n">
        <f aca="false">IF(AND(C484=C483,ISNUMBER(L484),ISNUMBER(L483)),(L484/L483-1)*100,"")</f>
        <v>0.0659237451911876</v>
      </c>
      <c r="T484" s="51" t="n">
        <f aca="false">IF(AND(C484=C483,ISNUMBER(G484),ISNUMBER(G483)),G484-G483,"")</f>
        <v>179.5</v>
      </c>
      <c r="U484" s="1" t="str">
        <f aca="false">IF(OR(NOT(ISNUMBER(R484)),NOT(ISNUMBER(S484))),"Not classified",IF(AND(R484&gt;0,S484&gt;0),"Long buildup (interpretation)",IF(AND(R484&lt;0,S484&gt;0),"Short buildup (interpretation)",IF(AND(R484&gt;0,S484&lt;0),"Short covering (interpretation)",IF(AND(R484&lt;0,S484&lt;0),"Long unwinding (interpretation)","Neutral")))))</f>
        <v>Long buildup (interpretation)</v>
      </c>
      <c r="V484" s="52" t="str">
        <f aca="false">TEXT(B484,"yyyy-mm")</f>
        <v>2025-09</v>
      </c>
      <c r="W484" s="52" t="n">
        <f aca="false">1+COUNTIFS($B$2:$B$756,B484,$C$2:$C$756,"&lt;"&amp;C484)</f>
        <v>1</v>
      </c>
      <c r="X484" s="53" t="n">
        <f aca="false">IF(AND(ISNUMBER(P484),Q484&gt;0),P484*365/Q484,"")</f>
        <v>0.0628414617607292</v>
      </c>
      <c r="Y484" s="42" t="n">
        <f aca="false">IF(AND(C485=C484,ISNUMBER(R485)),R485,"")</f>
        <v>-0.227089057701635</v>
      </c>
      <c r="Z484" s="52" t="n">
        <f aca="false">IF(AND(W484=1,Q484&gt;Basis_Analysis!$B$3,ISNUMBER(Y484)),1,0)</f>
        <v>1</v>
      </c>
      <c r="AA484" s="43" t="n">
        <f aca="false">IF(W484=1,IF(SUMIFS($L$2:$L$756,$B$2:$B$756,B484,$W$2:$W$756,2)&gt;0,SUMIFS($L$2:$L$756,$B$2:$B$756,B484,$W$2:$W$756,2),""),"")</f>
        <v>987375</v>
      </c>
      <c r="AB484" s="54" t="n">
        <f aca="false">IF(AND(W484=1,ISNUMBER(AA484)),L484/(L484+AA484),"")</f>
        <v>0.94392598997355</v>
      </c>
    </row>
    <row r="485" customFormat="false" ht="15" hidden="false" customHeight="true" outlineLevel="0" collapsed="false">
      <c r="A485" s="1" t="s">
        <v>274</v>
      </c>
      <c r="B485" s="46" t="n">
        <v>45902</v>
      </c>
      <c r="C485" s="46" t="n">
        <v>45930</v>
      </c>
      <c r="D485" s="47" t="n">
        <v>24750</v>
      </c>
      <c r="E485" s="47" t="n">
        <v>24874.7</v>
      </c>
      <c r="F485" s="47" t="n">
        <v>24651.9</v>
      </c>
      <c r="G485" s="47" t="n">
        <v>24691.8</v>
      </c>
      <c r="H485" s="47" t="n">
        <v>24682.2</v>
      </c>
      <c r="I485" s="47" t="n">
        <v>24691.8</v>
      </c>
      <c r="J485" s="48" t="n">
        <v>74911</v>
      </c>
      <c r="K485" s="47" t="n">
        <v>1392010.42</v>
      </c>
      <c r="L485" s="48" t="n">
        <v>16496325</v>
      </c>
      <c r="M485" s="48" t="n">
        <v>-124725</v>
      </c>
      <c r="N485" s="47" t="n">
        <v>24579.6</v>
      </c>
      <c r="O485" s="47" t="n">
        <f aca="false">IF(AND(ISNUMBER(G485),ISNUMBER(N485)),G485-N485,"")</f>
        <v>112.200000000001</v>
      </c>
      <c r="P485" s="49" t="n">
        <f aca="false">IF(ISNUMBER(O485),O485/N485,"")</f>
        <v>0.0045647610213348</v>
      </c>
      <c r="Q485" s="50" t="n">
        <f aca="false">C485-B485</f>
        <v>28</v>
      </c>
      <c r="R485" s="51" t="n">
        <f aca="false">IF(AND(C485=C484,ISNUMBER(G485),ISNUMBER(G484)),(G485/G484-1)*100,"")</f>
        <v>-0.227089057701635</v>
      </c>
      <c r="S485" s="51" t="n">
        <f aca="false">IF(AND(C485=C484,ISNUMBER(L485),ISNUMBER(L484)),(L485/L484-1)*100,"")</f>
        <v>-0.7504038553521</v>
      </c>
      <c r="T485" s="51" t="n">
        <f aca="false">IF(AND(C485=C484,ISNUMBER(G485),ISNUMBER(G484)),G485-G484,"")</f>
        <v>-56.2000000000007</v>
      </c>
      <c r="U485" s="1" t="str">
        <f aca="false">IF(OR(NOT(ISNUMBER(R485)),NOT(ISNUMBER(S485))),"Not classified",IF(AND(R485&gt;0,S485&gt;0),"Long buildup (interpretation)",IF(AND(R485&lt;0,S485&gt;0),"Short buildup (interpretation)",IF(AND(R485&gt;0,S485&lt;0),"Short covering (interpretation)",IF(AND(R485&lt;0,S485&lt;0),"Long unwinding (interpretation)","Neutral")))))</f>
        <v>Long unwinding (interpretation)</v>
      </c>
      <c r="V485" s="52" t="str">
        <f aca="false">TEXT(B485,"yyyy-mm")</f>
        <v>2025-09</v>
      </c>
      <c r="W485" s="52" t="n">
        <f aca="false">1+COUNTIFS($B$2:$B$756,B485,$C$2:$C$756,"&lt;"&amp;C485)</f>
        <v>1</v>
      </c>
      <c r="X485" s="53" t="n">
        <f aca="false">IF(AND(ISNUMBER(P485),Q485&gt;0),P485*365/Q485,"")</f>
        <v>0.0595049204566857</v>
      </c>
      <c r="Y485" s="42" t="n">
        <f aca="false">IF(AND(C486=C485,ISNUMBER(R486)),R486,"")</f>
        <v>0.49125620651389</v>
      </c>
      <c r="Z485" s="52" t="n">
        <f aca="false">IF(AND(W485=1,Q485&gt;Basis_Analysis!$B$3,ISNUMBER(Y485)),1,0)</f>
        <v>1</v>
      </c>
      <c r="AA485" s="43" t="n">
        <f aca="false">IF(W485=1,IF(SUMIFS($L$2:$L$756,$B$2:$B$756,B485,$W$2:$W$756,2)&gt;0,SUMIFS($L$2:$L$756,$B$2:$B$756,B485,$W$2:$W$756,2),""),"")</f>
        <v>1030350</v>
      </c>
      <c r="AB485" s="54" t="n">
        <f aca="false">IF(AND(W485=1,ISNUMBER(AA485)),L485/(L485+AA485),"")</f>
        <v>0.941212466140897</v>
      </c>
    </row>
    <row r="486" customFormat="false" ht="15" hidden="false" customHeight="true" outlineLevel="0" collapsed="false">
      <c r="A486" s="1" t="s">
        <v>274</v>
      </c>
      <c r="B486" s="46" t="n">
        <v>45903</v>
      </c>
      <c r="C486" s="46" t="n">
        <v>45930</v>
      </c>
      <c r="D486" s="47" t="n">
        <v>24680</v>
      </c>
      <c r="E486" s="47" t="n">
        <v>24837</v>
      </c>
      <c r="F486" s="47" t="n">
        <v>24638.5</v>
      </c>
      <c r="G486" s="47" t="n">
        <v>24813.1</v>
      </c>
      <c r="H486" s="47" t="n">
        <v>24820</v>
      </c>
      <c r="I486" s="47" t="n">
        <v>24813.1</v>
      </c>
      <c r="J486" s="48" t="n">
        <v>56469</v>
      </c>
      <c r="K486" s="47" t="n">
        <v>1047832.93</v>
      </c>
      <c r="L486" s="48" t="n">
        <v>16501875</v>
      </c>
      <c r="M486" s="48" t="n">
        <v>5550</v>
      </c>
      <c r="N486" s="47" t="n">
        <v>24715.05</v>
      </c>
      <c r="O486" s="47" t="n">
        <f aca="false">IF(AND(ISNUMBER(G486),ISNUMBER(N486)),G486-N486,"")</f>
        <v>98.0499999999993</v>
      </c>
      <c r="P486" s="49" t="n">
        <f aca="false">IF(ISNUMBER(O486),O486/N486,"")</f>
        <v>0.00396721835480807</v>
      </c>
      <c r="Q486" s="50" t="n">
        <f aca="false">C486-B486</f>
        <v>27</v>
      </c>
      <c r="R486" s="51" t="n">
        <f aca="false">IF(AND(C486=C485,ISNUMBER(G486),ISNUMBER(G485)),(G486/G485-1)*100,"")</f>
        <v>0.49125620651389</v>
      </c>
      <c r="S486" s="51" t="n">
        <f aca="false">IF(AND(C486=C485,ISNUMBER(L486),ISNUMBER(L485)),(L486/L485-1)*100,"")</f>
        <v>0.033643857040877</v>
      </c>
      <c r="T486" s="51" t="n">
        <f aca="false">IF(AND(C486=C485,ISNUMBER(G486),ISNUMBER(G485)),G486-G485,"")</f>
        <v>121.299999999999</v>
      </c>
      <c r="U486" s="1" t="str">
        <f aca="false">IF(OR(NOT(ISNUMBER(R486)),NOT(ISNUMBER(S486))),"Not classified",IF(AND(R486&gt;0,S486&gt;0),"Long buildup (interpretation)",IF(AND(R486&lt;0,S486&gt;0),"Short buildup (interpretation)",IF(AND(R486&gt;0,S486&lt;0),"Short covering (interpretation)",IF(AND(R486&lt;0,S486&lt;0),"Long unwinding (interpretation)","Neutral")))))</f>
        <v>Long buildup (interpretation)</v>
      </c>
      <c r="V486" s="52" t="str">
        <f aca="false">TEXT(B486,"yyyy-mm")</f>
        <v>2025-09</v>
      </c>
      <c r="W486" s="52" t="n">
        <f aca="false">1+COUNTIFS($B$2:$B$756,B486,$C$2:$C$756,"&lt;"&amp;C486)</f>
        <v>1</v>
      </c>
      <c r="X486" s="53" t="n">
        <f aca="false">IF(AND(ISNUMBER(P486),Q486&gt;0),P486*365/Q486,"")</f>
        <v>0.0536309147964795</v>
      </c>
      <c r="Y486" s="42" t="n">
        <f aca="false">IF(AND(C487=C486,ISNUMBER(R487)),R487,"")</f>
        <v>0.0580338611459341</v>
      </c>
      <c r="Z486" s="52" t="n">
        <f aca="false">IF(AND(W486=1,Q486&gt;Basis_Analysis!$B$3,ISNUMBER(Y486)),1,0)</f>
        <v>1</v>
      </c>
      <c r="AA486" s="43" t="n">
        <f aca="false">IF(W486=1,IF(SUMIFS($L$2:$L$756,$B$2:$B$756,B486,$W$2:$W$756,2)&gt;0,SUMIFS($L$2:$L$756,$B$2:$B$756,B486,$W$2:$W$756,2),""),"")</f>
        <v>1076850</v>
      </c>
      <c r="AB486" s="54" t="n">
        <f aca="false">IF(AND(W486=1,ISNUMBER(AA486)),L486/(L486+AA486),"")</f>
        <v>0.938741290963935</v>
      </c>
    </row>
    <row r="487" customFormat="false" ht="15" hidden="false" customHeight="true" outlineLevel="0" collapsed="false">
      <c r="A487" s="1" t="s">
        <v>274</v>
      </c>
      <c r="B487" s="46" t="n">
        <v>45904</v>
      </c>
      <c r="C487" s="46" t="n">
        <v>45930</v>
      </c>
      <c r="D487" s="47" t="n">
        <v>24926.3</v>
      </c>
      <c r="E487" s="47" t="n">
        <v>25048.5</v>
      </c>
      <c r="F487" s="47" t="n">
        <v>24809.7</v>
      </c>
      <c r="G487" s="47" t="n">
        <v>24827.5</v>
      </c>
      <c r="H487" s="47" t="n">
        <v>24836</v>
      </c>
      <c r="I487" s="47" t="n">
        <v>24827.5</v>
      </c>
      <c r="J487" s="48" t="n">
        <v>82951</v>
      </c>
      <c r="K487" s="47" t="n">
        <v>1550518.69</v>
      </c>
      <c r="L487" s="48" t="n">
        <v>16957875</v>
      </c>
      <c r="M487" s="48" t="n">
        <v>456000</v>
      </c>
      <c r="N487" s="47" t="n">
        <v>24734.3</v>
      </c>
      <c r="O487" s="47" t="n">
        <f aca="false">IF(AND(ISNUMBER(G487),ISNUMBER(N487)),G487-N487,"")</f>
        <v>93.2000000000007</v>
      </c>
      <c r="P487" s="49" t="n">
        <f aca="false">IF(ISNUMBER(O487),O487/N487,"")</f>
        <v>0.00376804680140537</v>
      </c>
      <c r="Q487" s="50" t="n">
        <f aca="false">C487-B487</f>
        <v>26</v>
      </c>
      <c r="R487" s="51" t="n">
        <f aca="false">IF(AND(C487=C486,ISNUMBER(G487),ISNUMBER(G486)),(G487/G486-1)*100,"")</f>
        <v>0.0580338611459341</v>
      </c>
      <c r="S487" s="51" t="n">
        <f aca="false">IF(AND(C487=C486,ISNUMBER(L487),ISNUMBER(L486)),(L487/L486-1)*100,"")</f>
        <v>2.76332234973298</v>
      </c>
      <c r="T487" s="51" t="n">
        <f aca="false">IF(AND(C487=C486,ISNUMBER(G487),ISNUMBER(G486)),G487-G486,"")</f>
        <v>14.4000000000015</v>
      </c>
      <c r="U487" s="1" t="str">
        <f aca="false">IF(OR(NOT(ISNUMBER(R487)),NOT(ISNUMBER(S487))),"Not classified",IF(AND(R487&gt;0,S487&gt;0),"Long buildup (interpretation)",IF(AND(R487&lt;0,S487&gt;0),"Short buildup (interpretation)",IF(AND(R487&gt;0,S487&lt;0),"Short covering (interpretation)",IF(AND(R487&lt;0,S487&lt;0),"Long unwinding (interpretation)","Neutral")))))</f>
        <v>Long buildup (interpretation)</v>
      </c>
      <c r="V487" s="52" t="str">
        <f aca="false">TEXT(B487,"yyyy-mm")</f>
        <v>2025-09</v>
      </c>
      <c r="W487" s="52" t="n">
        <f aca="false">1+COUNTIFS($B$2:$B$756,B487,$C$2:$C$756,"&lt;"&amp;C487)</f>
        <v>1</v>
      </c>
      <c r="X487" s="53" t="n">
        <f aca="false">IF(AND(ISNUMBER(P487),Q487&gt;0),P487*365/Q487,"")</f>
        <v>0.0528975800966522</v>
      </c>
      <c r="Y487" s="42" t="n">
        <f aca="false">IF(AND(C488=C487,ISNUMBER(R488)),R488,"")</f>
        <v>0.0813613936159641</v>
      </c>
      <c r="Z487" s="52" t="n">
        <f aca="false">IF(AND(W487=1,Q487&gt;Basis_Analysis!$B$3,ISNUMBER(Y487)),1,0)</f>
        <v>1</v>
      </c>
      <c r="AA487" s="43" t="n">
        <f aca="false">IF(W487=1,IF(SUMIFS($L$2:$L$756,$B$2:$B$756,B487,$W$2:$W$756,2)&gt;0,SUMIFS($L$2:$L$756,$B$2:$B$756,B487,$W$2:$W$756,2),""),"")</f>
        <v>1133550</v>
      </c>
      <c r="AB487" s="54" t="n">
        <f aca="false">IF(AND(W487=1,ISNUMBER(AA487)),L487/(L487+AA487),"")</f>
        <v>0.937343244105978</v>
      </c>
    </row>
    <row r="488" customFormat="false" ht="15" hidden="false" customHeight="true" outlineLevel="0" collapsed="false">
      <c r="A488" s="1" t="s">
        <v>274</v>
      </c>
      <c r="B488" s="46" t="n">
        <v>45905</v>
      </c>
      <c r="C488" s="46" t="n">
        <v>45930</v>
      </c>
      <c r="D488" s="47" t="n">
        <v>24855.3</v>
      </c>
      <c r="E488" s="47" t="n">
        <v>24927</v>
      </c>
      <c r="F488" s="47" t="n">
        <v>24720.4</v>
      </c>
      <c r="G488" s="47" t="n">
        <v>24847.7</v>
      </c>
      <c r="H488" s="47" t="n">
        <v>24849.6</v>
      </c>
      <c r="I488" s="47" t="n">
        <v>24847.7</v>
      </c>
      <c r="J488" s="48" t="n">
        <v>73802</v>
      </c>
      <c r="K488" s="47" t="n">
        <v>1373816.59</v>
      </c>
      <c r="L488" s="48" t="n">
        <v>17097750</v>
      </c>
      <c r="M488" s="48" t="n">
        <v>139875</v>
      </c>
      <c r="N488" s="47" t="n">
        <v>24741</v>
      </c>
      <c r="O488" s="47" t="n">
        <f aca="false">IF(AND(ISNUMBER(G488),ISNUMBER(N488)),G488-N488,"")</f>
        <v>106.700000000001</v>
      </c>
      <c r="P488" s="49" t="n">
        <f aca="false">IF(ISNUMBER(O488),O488/N488,"")</f>
        <v>0.00431267935815047</v>
      </c>
      <c r="Q488" s="50" t="n">
        <f aca="false">C488-B488</f>
        <v>25</v>
      </c>
      <c r="R488" s="51" t="n">
        <f aca="false">IF(AND(C488=C487,ISNUMBER(G488),ISNUMBER(G487)),(G488/G487-1)*100,"")</f>
        <v>0.0813613936159641</v>
      </c>
      <c r="S488" s="51" t="n">
        <f aca="false">IF(AND(C488=C487,ISNUMBER(L488),ISNUMBER(L487)),(L488/L487-1)*100,"")</f>
        <v>0.824838017735119</v>
      </c>
      <c r="T488" s="51" t="n">
        <f aca="false">IF(AND(C488=C487,ISNUMBER(G488),ISNUMBER(G487)),G488-G487,"")</f>
        <v>20.2000000000007</v>
      </c>
      <c r="U488" s="1" t="str">
        <f aca="false">IF(OR(NOT(ISNUMBER(R488)),NOT(ISNUMBER(S488))),"Not classified",IF(AND(R488&gt;0,S488&gt;0),"Long buildup (interpretation)",IF(AND(R488&lt;0,S488&gt;0),"Short buildup (interpretation)",IF(AND(R488&gt;0,S488&lt;0),"Short covering (interpretation)",IF(AND(R488&lt;0,S488&lt;0),"Long unwinding (interpretation)","Neutral")))))</f>
        <v>Long buildup (interpretation)</v>
      </c>
      <c r="V488" s="52" t="str">
        <f aca="false">TEXT(B488,"yyyy-mm")</f>
        <v>2025-09</v>
      </c>
      <c r="W488" s="52" t="n">
        <f aca="false">1+COUNTIFS($B$2:$B$756,B488,$C$2:$C$756,"&lt;"&amp;C488)</f>
        <v>1</v>
      </c>
      <c r="X488" s="53" t="n">
        <f aca="false">IF(AND(ISNUMBER(P488),Q488&gt;0),P488*365/Q488,"")</f>
        <v>0.0629651186289968</v>
      </c>
      <c r="Y488" s="42" t="n">
        <f aca="false">IF(AND(C489=C488,ISNUMBER(R489)),R489,"")</f>
        <v>0.18110328118901</v>
      </c>
      <c r="Z488" s="52" t="n">
        <f aca="false">IF(AND(W488=1,Q488&gt;Basis_Analysis!$B$3,ISNUMBER(Y488)),1,0)</f>
        <v>1</v>
      </c>
      <c r="AA488" s="43" t="n">
        <f aca="false">IF(W488=1,IF(SUMIFS($L$2:$L$756,$B$2:$B$756,B488,$W$2:$W$756,2)&gt;0,SUMIFS($L$2:$L$756,$B$2:$B$756,B488,$W$2:$W$756,2),""),"")</f>
        <v>1218375</v>
      </c>
      <c r="AB488" s="54" t="n">
        <f aca="false">IF(AND(W488=1,ISNUMBER(AA488)),L488/(L488+AA488),"")</f>
        <v>0.933480744426018</v>
      </c>
    </row>
    <row r="489" customFormat="false" ht="15" hidden="false" customHeight="true" outlineLevel="0" collapsed="false">
      <c r="A489" s="1" t="s">
        <v>274</v>
      </c>
      <c r="B489" s="46" t="n">
        <v>45908</v>
      </c>
      <c r="C489" s="46" t="n">
        <v>45930</v>
      </c>
      <c r="D489" s="47" t="n">
        <v>24888.5</v>
      </c>
      <c r="E489" s="47" t="n">
        <v>24979</v>
      </c>
      <c r="F489" s="47" t="n">
        <v>24862.2</v>
      </c>
      <c r="G489" s="47" t="n">
        <v>24892.7</v>
      </c>
      <c r="H489" s="47" t="n">
        <v>24900.8</v>
      </c>
      <c r="I489" s="47" t="n">
        <v>24892.7</v>
      </c>
      <c r="J489" s="48" t="n">
        <v>59664</v>
      </c>
      <c r="K489" s="47" t="n">
        <v>1115060.64</v>
      </c>
      <c r="L489" s="48" t="n">
        <v>16973250</v>
      </c>
      <c r="M489" s="48" t="n">
        <v>-124500</v>
      </c>
      <c r="N489" s="47" t="n">
        <v>24773.15</v>
      </c>
      <c r="O489" s="47" t="n">
        <f aca="false">IF(AND(ISNUMBER(G489),ISNUMBER(N489)),G489-N489,"")</f>
        <v>119.549999999999</v>
      </c>
      <c r="P489" s="49" t="n">
        <f aca="false">IF(ISNUMBER(O489),O489/N489,"")</f>
        <v>0.00482578921130334</v>
      </c>
      <c r="Q489" s="50" t="n">
        <f aca="false">C489-B489</f>
        <v>22</v>
      </c>
      <c r="R489" s="51" t="n">
        <f aca="false">IF(AND(C489=C488,ISNUMBER(G489),ISNUMBER(G488)),(G489/G488-1)*100,"")</f>
        <v>0.18110328118901</v>
      </c>
      <c r="S489" s="51" t="n">
        <f aca="false">IF(AND(C489=C488,ISNUMBER(L489),ISNUMBER(L488)),(L489/L488-1)*100,"")</f>
        <v>-0.728165986752638</v>
      </c>
      <c r="T489" s="51" t="n">
        <f aca="false">IF(AND(C489=C488,ISNUMBER(G489),ISNUMBER(G488)),G489-G488,"")</f>
        <v>45</v>
      </c>
      <c r="U489" s="1" t="str">
        <f aca="false">IF(OR(NOT(ISNUMBER(R489)),NOT(ISNUMBER(S489))),"Not classified",IF(AND(R489&gt;0,S489&gt;0),"Long buildup (interpretation)",IF(AND(R489&lt;0,S489&gt;0),"Short buildup (interpretation)",IF(AND(R489&gt;0,S489&lt;0),"Short covering (interpretation)",IF(AND(R489&lt;0,S489&lt;0),"Long unwinding (interpretation)","Neutral")))))</f>
        <v>Short covering (interpretation)</v>
      </c>
      <c r="V489" s="52" t="str">
        <f aca="false">TEXT(B489,"yyyy-mm")</f>
        <v>2025-09</v>
      </c>
      <c r="W489" s="52" t="n">
        <f aca="false">1+COUNTIFS($B$2:$B$756,B489,$C$2:$C$756,"&lt;"&amp;C489)</f>
        <v>1</v>
      </c>
      <c r="X489" s="53" t="n">
        <f aca="false">IF(AND(ISNUMBER(P489),Q489&gt;0),P489*365/Q489,"")</f>
        <v>0.0800642300966235</v>
      </c>
      <c r="Y489" s="42" t="n">
        <f aca="false">IF(AND(C490=C489,ISNUMBER(R490)),R490,"")</f>
        <v>0.231393139354097</v>
      </c>
      <c r="Z489" s="52" t="n">
        <f aca="false">IF(AND(W489=1,Q489&gt;Basis_Analysis!$B$3,ISNUMBER(Y489)),1,0)</f>
        <v>1</v>
      </c>
      <c r="AA489" s="43" t="n">
        <f aca="false">IF(W489=1,IF(SUMIFS($L$2:$L$756,$B$2:$B$756,B489,$W$2:$W$756,2)&gt;0,SUMIFS($L$2:$L$756,$B$2:$B$756,B489,$W$2:$W$756,2),""),"")</f>
        <v>1253100</v>
      </c>
      <c r="AB489" s="54" t="n">
        <f aca="false">IF(AND(W489=1,ISNUMBER(AA489)),L489/(L489+AA489),"")</f>
        <v>0.931247891102717</v>
      </c>
    </row>
    <row r="490" customFormat="false" ht="15" hidden="false" customHeight="true" outlineLevel="0" collapsed="false">
      <c r="A490" s="1" t="s">
        <v>274</v>
      </c>
      <c r="B490" s="46" t="n">
        <v>45909</v>
      </c>
      <c r="C490" s="46" t="n">
        <v>45930</v>
      </c>
      <c r="D490" s="47" t="n">
        <v>24931.2</v>
      </c>
      <c r="E490" s="47" t="n">
        <v>24969</v>
      </c>
      <c r="F490" s="47" t="n">
        <v>24910</v>
      </c>
      <c r="G490" s="47" t="n">
        <v>24950.3</v>
      </c>
      <c r="H490" s="47" t="n">
        <v>24961</v>
      </c>
      <c r="I490" s="47" t="n">
        <v>24950.3</v>
      </c>
      <c r="J490" s="48" t="n">
        <v>37069</v>
      </c>
      <c r="K490" s="47" t="n">
        <v>693536.03</v>
      </c>
      <c r="L490" s="48" t="n">
        <v>16931550</v>
      </c>
      <c r="M490" s="48" t="n">
        <v>-41700</v>
      </c>
      <c r="N490" s="47" t="n">
        <v>24868.6</v>
      </c>
      <c r="O490" s="47" t="n">
        <f aca="false">IF(AND(ISNUMBER(G490),ISNUMBER(N490)),G490-N490,"")</f>
        <v>81.7000000000007</v>
      </c>
      <c r="P490" s="49" t="n">
        <f aca="false">IF(ISNUMBER(O490),O490/N490,"")</f>
        <v>0.0032852673652719</v>
      </c>
      <c r="Q490" s="50" t="n">
        <f aca="false">C490-B490</f>
        <v>21</v>
      </c>
      <c r="R490" s="51" t="n">
        <f aca="false">IF(AND(C490=C489,ISNUMBER(G490),ISNUMBER(G489)),(G490/G489-1)*100,"")</f>
        <v>0.231393139354097</v>
      </c>
      <c r="S490" s="51" t="n">
        <f aca="false">IF(AND(C490=C489,ISNUMBER(L490),ISNUMBER(L489)),(L490/L489-1)*100,"")</f>
        <v>-0.245680703459861</v>
      </c>
      <c r="T490" s="51" t="n">
        <f aca="false">IF(AND(C490=C489,ISNUMBER(G490),ISNUMBER(G489)),G490-G489,"")</f>
        <v>57.5999999999985</v>
      </c>
      <c r="U490" s="1" t="str">
        <f aca="false">IF(OR(NOT(ISNUMBER(R490)),NOT(ISNUMBER(S490))),"Not classified",IF(AND(R490&gt;0,S490&gt;0),"Long buildup (interpretation)",IF(AND(R490&lt;0,S490&gt;0),"Short buildup (interpretation)",IF(AND(R490&gt;0,S490&lt;0),"Short covering (interpretation)",IF(AND(R490&lt;0,S490&lt;0),"Long unwinding (interpretation)","Neutral")))))</f>
        <v>Short covering (interpretation)</v>
      </c>
      <c r="V490" s="52" t="str">
        <f aca="false">TEXT(B490,"yyyy-mm")</f>
        <v>2025-09</v>
      </c>
      <c r="W490" s="52" t="n">
        <f aca="false">1+COUNTIFS($B$2:$B$756,B490,$C$2:$C$756,"&lt;"&amp;C490)</f>
        <v>1</v>
      </c>
      <c r="X490" s="53" t="n">
        <f aca="false">IF(AND(ISNUMBER(P490),Q490&gt;0),P490*365/Q490,"")</f>
        <v>0.0571010756344878</v>
      </c>
      <c r="Y490" s="42" t="n">
        <f aca="false">IF(AND(C491=C490,ISNUMBER(R491)),R491,"")</f>
        <v>0.488972076488059</v>
      </c>
      <c r="Z490" s="52" t="n">
        <f aca="false">IF(AND(W490=1,Q490&gt;Basis_Analysis!$B$3,ISNUMBER(Y490)),1,0)</f>
        <v>1</v>
      </c>
      <c r="AA490" s="43" t="n">
        <f aca="false">IF(W490=1,IF(SUMIFS($L$2:$L$756,$B$2:$B$756,B490,$W$2:$W$756,2)&gt;0,SUMIFS($L$2:$L$756,$B$2:$B$756,B490,$W$2:$W$756,2),""),"")</f>
        <v>1273650</v>
      </c>
      <c r="AB490" s="54" t="n">
        <f aca="false">IF(AND(W490=1,ISNUMBER(AA490)),L490/(L490+AA490),"")</f>
        <v>0.930039219563641</v>
      </c>
    </row>
    <row r="491" customFormat="false" ht="15" hidden="false" customHeight="true" outlineLevel="0" collapsed="false">
      <c r="A491" s="1" t="s">
        <v>274</v>
      </c>
      <c r="B491" s="46" t="n">
        <v>45910</v>
      </c>
      <c r="C491" s="46" t="n">
        <v>45930</v>
      </c>
      <c r="D491" s="47" t="n">
        <v>25021.6</v>
      </c>
      <c r="E491" s="47" t="n">
        <v>25125</v>
      </c>
      <c r="F491" s="47" t="n">
        <v>25001.1</v>
      </c>
      <c r="G491" s="47" t="n">
        <v>25072.3</v>
      </c>
      <c r="H491" s="47" t="n">
        <v>25079</v>
      </c>
      <c r="I491" s="47" t="n">
        <v>25072.3</v>
      </c>
      <c r="J491" s="48" t="n">
        <v>66128</v>
      </c>
      <c r="K491" s="47" t="n">
        <v>1243468.65</v>
      </c>
      <c r="L491" s="48" t="n">
        <v>17231025</v>
      </c>
      <c r="M491" s="48" t="n">
        <v>299475</v>
      </c>
      <c r="N491" s="47" t="n">
        <v>24973.1</v>
      </c>
      <c r="O491" s="47" t="n">
        <f aca="false">IF(AND(ISNUMBER(G491),ISNUMBER(N491)),G491-N491,"")</f>
        <v>99.2000000000007</v>
      </c>
      <c r="P491" s="49" t="n">
        <f aca="false">IF(ISNUMBER(O491),O491/N491,"")</f>
        <v>0.00397227416700373</v>
      </c>
      <c r="Q491" s="50" t="n">
        <f aca="false">C491-B491</f>
        <v>20</v>
      </c>
      <c r="R491" s="51" t="n">
        <f aca="false">IF(AND(C491=C490,ISNUMBER(G491),ISNUMBER(G490)),(G491/G490-1)*100,"")</f>
        <v>0.488972076488059</v>
      </c>
      <c r="S491" s="51" t="n">
        <f aca="false">IF(AND(C491=C490,ISNUMBER(L491),ISNUMBER(L490)),(L491/L490-1)*100,"")</f>
        <v>1.76873942432914</v>
      </c>
      <c r="T491" s="51" t="n">
        <f aca="false">IF(AND(C491=C490,ISNUMBER(G491),ISNUMBER(G490)),G491-G490,"")</f>
        <v>122</v>
      </c>
      <c r="U491" s="1" t="str">
        <f aca="false">IF(OR(NOT(ISNUMBER(R491)),NOT(ISNUMBER(S491))),"Not classified",IF(AND(R491&gt;0,S491&gt;0),"Long buildup (interpretation)",IF(AND(R491&lt;0,S491&gt;0),"Short buildup (interpretation)",IF(AND(R491&gt;0,S491&lt;0),"Short covering (interpretation)",IF(AND(R491&lt;0,S491&lt;0),"Long unwinding (interpretation)","Neutral")))))</f>
        <v>Long buildup (interpretation)</v>
      </c>
      <c r="V491" s="52" t="str">
        <f aca="false">TEXT(B491,"yyyy-mm")</f>
        <v>2025-09</v>
      </c>
      <c r="W491" s="52" t="n">
        <f aca="false">1+COUNTIFS($B$2:$B$756,B491,$C$2:$C$756,"&lt;"&amp;C491)</f>
        <v>1</v>
      </c>
      <c r="X491" s="53" t="n">
        <f aca="false">IF(AND(ISNUMBER(P491),Q491&gt;0),P491*365/Q491,"")</f>
        <v>0.072494003547818</v>
      </c>
      <c r="Y491" s="42" t="n">
        <f aca="false">IF(AND(C492=C491,ISNUMBER(R492)),R492,"")</f>
        <v>0.128428584533524</v>
      </c>
      <c r="Z491" s="52" t="n">
        <f aca="false">IF(AND(W491=1,Q491&gt;Basis_Analysis!$B$3,ISNUMBER(Y491)),1,0)</f>
        <v>1</v>
      </c>
      <c r="AA491" s="43" t="n">
        <f aca="false">IF(W491=1,IF(SUMIFS($L$2:$L$756,$B$2:$B$756,B491,$W$2:$W$756,2)&gt;0,SUMIFS($L$2:$L$756,$B$2:$B$756,B491,$W$2:$W$756,2),""),"")</f>
        <v>1303500</v>
      </c>
      <c r="AB491" s="54" t="n">
        <f aca="false">IF(AND(W491=1,ISNUMBER(AA491)),L491/(L491+AA491),"")</f>
        <v>0.929671788189878</v>
      </c>
    </row>
    <row r="492" customFormat="false" ht="15" hidden="false" customHeight="true" outlineLevel="0" collapsed="false">
      <c r="A492" s="1" t="s">
        <v>274</v>
      </c>
      <c r="B492" s="46" t="n">
        <v>45911</v>
      </c>
      <c r="C492" s="46" t="n">
        <v>45930</v>
      </c>
      <c r="D492" s="47" t="n">
        <v>25049</v>
      </c>
      <c r="E492" s="47" t="n">
        <v>25119.5</v>
      </c>
      <c r="F492" s="47" t="n">
        <v>25048.1</v>
      </c>
      <c r="G492" s="47" t="n">
        <v>25104.5</v>
      </c>
      <c r="H492" s="47" t="n">
        <v>25110</v>
      </c>
      <c r="I492" s="47" t="n">
        <v>25104.5</v>
      </c>
      <c r="J492" s="48" t="n">
        <v>28561</v>
      </c>
      <c r="K492" s="47" t="n">
        <v>537476.31</v>
      </c>
      <c r="L492" s="48" t="n">
        <v>17062725</v>
      </c>
      <c r="M492" s="48" t="n">
        <v>-168300</v>
      </c>
      <c r="N492" s="47" t="n">
        <v>25005.5</v>
      </c>
      <c r="O492" s="47" t="n">
        <f aca="false">IF(AND(ISNUMBER(G492),ISNUMBER(N492)),G492-N492,"")</f>
        <v>99</v>
      </c>
      <c r="P492" s="49" t="n">
        <f aca="false">IF(ISNUMBER(O492),O492/N492,"")</f>
        <v>0.00395912899162184</v>
      </c>
      <c r="Q492" s="50" t="n">
        <f aca="false">C492-B492</f>
        <v>19</v>
      </c>
      <c r="R492" s="51" t="n">
        <f aca="false">IF(AND(C492=C491,ISNUMBER(G492),ISNUMBER(G491)),(G492/G491-1)*100,"")</f>
        <v>0.128428584533524</v>
      </c>
      <c r="S492" s="51" t="n">
        <f aca="false">IF(AND(C492=C491,ISNUMBER(L492),ISNUMBER(L491)),(L492/L491-1)*100,"")</f>
        <v>-0.976726573143505</v>
      </c>
      <c r="T492" s="51" t="n">
        <f aca="false">IF(AND(C492=C491,ISNUMBER(G492),ISNUMBER(G491)),G492-G491,"")</f>
        <v>32.2000000000007</v>
      </c>
      <c r="U492" s="1" t="str">
        <f aca="false">IF(OR(NOT(ISNUMBER(R492)),NOT(ISNUMBER(S492))),"Not classified",IF(AND(R492&gt;0,S492&gt;0),"Long buildup (interpretation)",IF(AND(R492&lt;0,S492&gt;0),"Short buildup (interpretation)",IF(AND(R492&gt;0,S492&lt;0),"Short covering (interpretation)",IF(AND(R492&lt;0,S492&lt;0),"Long unwinding (interpretation)","Neutral")))))</f>
        <v>Short covering (interpretation)</v>
      </c>
      <c r="V492" s="52" t="str">
        <f aca="false">TEXT(B492,"yyyy-mm")</f>
        <v>2025-09</v>
      </c>
      <c r="W492" s="52" t="n">
        <f aca="false">1+COUNTIFS($B$2:$B$756,B492,$C$2:$C$756,"&lt;"&amp;C492)</f>
        <v>1</v>
      </c>
      <c r="X492" s="53" t="n">
        <f aca="false">IF(AND(ISNUMBER(P492),Q492&gt;0),P492*365/Q492,"")</f>
        <v>0.0760569516811565</v>
      </c>
      <c r="Y492" s="42" t="n">
        <f aca="false">IF(AND(C493=C492,ISNUMBER(R493)),R493,"")</f>
        <v>0.400326634667092</v>
      </c>
      <c r="Z492" s="52" t="n">
        <f aca="false">IF(AND(W492=1,Q492&gt;Basis_Analysis!$B$3,ISNUMBER(Y492)),1,0)</f>
        <v>1</v>
      </c>
      <c r="AA492" s="43" t="n">
        <f aca="false">IF(W492=1,IF(SUMIFS($L$2:$L$756,$B$2:$B$756,B492,$W$2:$W$756,2)&gt;0,SUMIFS($L$2:$L$756,$B$2:$B$756,B492,$W$2:$W$756,2),""),"")</f>
        <v>1350450</v>
      </c>
      <c r="AB492" s="54" t="n">
        <f aca="false">IF(AND(W492=1,ISNUMBER(AA492)),L492/(L492+AA492),"")</f>
        <v>0.92665849317133</v>
      </c>
    </row>
    <row r="493" customFormat="false" ht="15" hidden="false" customHeight="true" outlineLevel="0" collapsed="false">
      <c r="A493" s="1" t="s">
        <v>274</v>
      </c>
      <c r="B493" s="46" t="n">
        <v>45912</v>
      </c>
      <c r="C493" s="46" t="n">
        <v>45930</v>
      </c>
      <c r="D493" s="47" t="n">
        <v>25126.3</v>
      </c>
      <c r="E493" s="47" t="n">
        <v>25222.8</v>
      </c>
      <c r="F493" s="47" t="n">
        <v>25126.3</v>
      </c>
      <c r="G493" s="47" t="n">
        <v>25205</v>
      </c>
      <c r="H493" s="47" t="n">
        <v>25210.1</v>
      </c>
      <c r="I493" s="47" t="n">
        <v>25205</v>
      </c>
      <c r="J493" s="48" t="n">
        <v>41583</v>
      </c>
      <c r="K493" s="47" t="n">
        <v>785551.73</v>
      </c>
      <c r="L493" s="48" t="n">
        <v>16637775</v>
      </c>
      <c r="M493" s="48" t="n">
        <v>-424950</v>
      </c>
      <c r="N493" s="47" t="n">
        <v>25114</v>
      </c>
      <c r="O493" s="47" t="n">
        <f aca="false">IF(AND(ISNUMBER(G493),ISNUMBER(N493)),G493-N493,"")</f>
        <v>91</v>
      </c>
      <c r="P493" s="49" t="n">
        <f aca="false">IF(ISNUMBER(O493),O493/N493,"")</f>
        <v>0.00362347694513021</v>
      </c>
      <c r="Q493" s="50" t="n">
        <f aca="false">C493-B493</f>
        <v>18</v>
      </c>
      <c r="R493" s="51" t="n">
        <f aca="false">IF(AND(C493=C492,ISNUMBER(G493),ISNUMBER(G492)),(G493/G492-1)*100,"")</f>
        <v>0.400326634667092</v>
      </c>
      <c r="S493" s="51" t="n">
        <f aca="false">IF(AND(C493=C492,ISNUMBER(L493),ISNUMBER(L492)),(L493/L492-1)*100,"")</f>
        <v>-2.49051660857219</v>
      </c>
      <c r="T493" s="51" t="n">
        <f aca="false">IF(AND(C493=C492,ISNUMBER(G493),ISNUMBER(G492)),G493-G492,"")</f>
        <v>100.5</v>
      </c>
      <c r="U493" s="1" t="str">
        <f aca="false">IF(OR(NOT(ISNUMBER(R493)),NOT(ISNUMBER(S493))),"Not classified",IF(AND(R493&gt;0,S493&gt;0),"Long buildup (interpretation)",IF(AND(R493&lt;0,S493&gt;0),"Short buildup (interpretation)",IF(AND(R493&gt;0,S493&lt;0),"Short covering (interpretation)",IF(AND(R493&lt;0,S493&lt;0),"Long unwinding (interpretation)","Neutral")))))</f>
        <v>Short covering (interpretation)</v>
      </c>
      <c r="V493" s="52" t="str">
        <f aca="false">TEXT(B493,"yyyy-mm")</f>
        <v>2025-09</v>
      </c>
      <c r="W493" s="52" t="n">
        <f aca="false">1+COUNTIFS($B$2:$B$756,B493,$C$2:$C$756,"&lt;"&amp;C493)</f>
        <v>1</v>
      </c>
      <c r="X493" s="53" t="n">
        <f aca="false">IF(AND(ISNUMBER(P493),Q493&gt;0),P493*365/Q493,"")</f>
        <v>0.0734760602762514</v>
      </c>
      <c r="Y493" s="42" t="n">
        <f aca="false">IF(AND(C494=C493,ISNUMBER(R494)),R494,"")</f>
        <v>-0.159888910930373</v>
      </c>
      <c r="Z493" s="52" t="n">
        <f aca="false">IF(AND(W493=1,Q493&gt;Basis_Analysis!$B$3,ISNUMBER(Y493)),1,0)</f>
        <v>1</v>
      </c>
      <c r="AA493" s="43" t="n">
        <f aca="false">IF(W493=1,IF(SUMIFS($L$2:$L$756,$B$2:$B$756,B493,$W$2:$W$756,2)&gt;0,SUMIFS($L$2:$L$756,$B$2:$B$756,B493,$W$2:$W$756,2),""),"")</f>
        <v>1439025</v>
      </c>
      <c r="AB493" s="54" t="n">
        <f aca="false">IF(AND(W493=1,ISNUMBER(AA493)),L493/(L493+AA493),"")</f>
        <v>0.920393819702602</v>
      </c>
    </row>
    <row r="494" customFormat="false" ht="15" hidden="false" customHeight="true" outlineLevel="0" collapsed="false">
      <c r="A494" s="1" t="s">
        <v>274</v>
      </c>
      <c r="B494" s="46" t="n">
        <v>45915</v>
      </c>
      <c r="C494" s="46" t="n">
        <v>45930</v>
      </c>
      <c r="D494" s="47" t="n">
        <v>25200.6</v>
      </c>
      <c r="E494" s="47" t="n">
        <v>25204</v>
      </c>
      <c r="F494" s="47" t="n">
        <v>25147.3</v>
      </c>
      <c r="G494" s="47" t="n">
        <v>25164.7</v>
      </c>
      <c r="H494" s="47" t="n">
        <v>25169</v>
      </c>
      <c r="I494" s="47" t="n">
        <v>25164.7</v>
      </c>
      <c r="J494" s="48" t="n">
        <v>34301</v>
      </c>
      <c r="K494" s="47" t="n">
        <v>647546.35</v>
      </c>
      <c r="L494" s="48" t="n">
        <v>16654725</v>
      </c>
      <c r="M494" s="48" t="n">
        <v>16950</v>
      </c>
      <c r="N494" s="47" t="n">
        <v>25069.2</v>
      </c>
      <c r="O494" s="47" t="n">
        <f aca="false">IF(AND(ISNUMBER(G494),ISNUMBER(N494)),G494-N494,"")</f>
        <v>95.5</v>
      </c>
      <c r="P494" s="49" t="n">
        <f aca="false">IF(ISNUMBER(O494),O494/N494,"")</f>
        <v>0.00380945542737702</v>
      </c>
      <c r="Q494" s="50" t="n">
        <f aca="false">C494-B494</f>
        <v>15</v>
      </c>
      <c r="R494" s="51" t="n">
        <f aca="false">IF(AND(C494=C493,ISNUMBER(G494),ISNUMBER(G493)),(G494/G493-1)*100,"")</f>
        <v>-0.159888910930373</v>
      </c>
      <c r="S494" s="51" t="n">
        <f aca="false">IF(AND(C494=C493,ISNUMBER(L494),ISNUMBER(L493)),(L494/L493-1)*100,"")</f>
        <v>0.101876603091466</v>
      </c>
      <c r="T494" s="51" t="n">
        <f aca="false">IF(AND(C494=C493,ISNUMBER(G494),ISNUMBER(G493)),G494-G493,"")</f>
        <v>-40.2999999999993</v>
      </c>
      <c r="U494" s="1" t="str">
        <f aca="false">IF(OR(NOT(ISNUMBER(R494)),NOT(ISNUMBER(S494))),"Not classified",IF(AND(R494&gt;0,S494&gt;0),"Long buildup (interpretation)",IF(AND(R494&lt;0,S494&gt;0),"Short buildup (interpretation)",IF(AND(R494&gt;0,S494&lt;0),"Short covering (interpretation)",IF(AND(R494&lt;0,S494&lt;0),"Long unwinding (interpretation)","Neutral")))))</f>
        <v>Short buildup (interpretation)</v>
      </c>
      <c r="V494" s="52" t="str">
        <f aca="false">TEXT(B494,"yyyy-mm")</f>
        <v>2025-09</v>
      </c>
      <c r="W494" s="52" t="n">
        <f aca="false">1+COUNTIFS($B$2:$B$756,B494,$C$2:$C$756,"&lt;"&amp;C494)</f>
        <v>1</v>
      </c>
      <c r="X494" s="53" t="n">
        <f aca="false">IF(AND(ISNUMBER(P494),Q494&gt;0),P494*365/Q494,"")</f>
        <v>0.0926967487328408</v>
      </c>
      <c r="Y494" s="42" t="n">
        <f aca="false">IF(AND(C495=C494,ISNUMBER(R495)),R495,"")</f>
        <v>0.662435872472167</v>
      </c>
      <c r="Z494" s="52" t="n">
        <f aca="false">IF(AND(W494=1,Q494&gt;Basis_Analysis!$B$3,ISNUMBER(Y494)),1,0)</f>
        <v>1</v>
      </c>
      <c r="AA494" s="43" t="n">
        <f aca="false">IF(W494=1,IF(SUMIFS($L$2:$L$756,$B$2:$B$756,B494,$W$2:$W$756,2)&gt;0,SUMIFS($L$2:$L$756,$B$2:$B$756,B494,$W$2:$W$756,2),""),"")</f>
        <v>1495725</v>
      </c>
      <c r="AB494" s="54" t="n">
        <f aca="false">IF(AND(W494=1,ISNUMBER(AA494)),L494/(L494+AA494),"")</f>
        <v>0.917592952240854</v>
      </c>
    </row>
    <row r="495" customFormat="false" ht="15" hidden="false" customHeight="true" outlineLevel="0" collapsed="false">
      <c r="A495" s="1" t="s">
        <v>274</v>
      </c>
      <c r="B495" s="46" t="n">
        <v>45916</v>
      </c>
      <c r="C495" s="46" t="n">
        <v>45930</v>
      </c>
      <c r="D495" s="47" t="n">
        <v>25178.7</v>
      </c>
      <c r="E495" s="47" t="n">
        <v>25354</v>
      </c>
      <c r="F495" s="47" t="n">
        <v>25152</v>
      </c>
      <c r="G495" s="47" t="n">
        <v>25331.4</v>
      </c>
      <c r="H495" s="47" t="n">
        <v>25351.1</v>
      </c>
      <c r="I495" s="47" t="n">
        <v>25331.4</v>
      </c>
      <c r="J495" s="48" t="n">
        <v>60109</v>
      </c>
      <c r="K495" s="47" t="n">
        <v>1139515.21</v>
      </c>
      <c r="L495" s="48" t="n">
        <v>16082100</v>
      </c>
      <c r="M495" s="48" t="n">
        <v>-572625</v>
      </c>
      <c r="N495" s="47" t="n">
        <v>25239.1</v>
      </c>
      <c r="O495" s="47" t="n">
        <f aca="false">IF(AND(ISNUMBER(G495),ISNUMBER(N495)),G495-N495,"")</f>
        <v>92.3000000000029</v>
      </c>
      <c r="P495" s="49" t="n">
        <f aca="false">IF(ISNUMBER(O495),O495/N495,"")</f>
        <v>0.00365702422035663</v>
      </c>
      <c r="Q495" s="50" t="n">
        <f aca="false">C495-B495</f>
        <v>14</v>
      </c>
      <c r="R495" s="51" t="n">
        <f aca="false">IF(AND(C495=C494,ISNUMBER(G495),ISNUMBER(G494)),(G495/G494-1)*100,"")</f>
        <v>0.662435872472167</v>
      </c>
      <c r="S495" s="51" t="n">
        <f aca="false">IF(AND(C495=C494,ISNUMBER(L495),ISNUMBER(L494)),(L495/L494-1)*100,"")</f>
        <v>-3.43821347995839</v>
      </c>
      <c r="T495" s="51" t="n">
        <f aca="false">IF(AND(C495=C494,ISNUMBER(G495),ISNUMBER(G494)),G495-G494,"")</f>
        <v>166.700000000001</v>
      </c>
      <c r="U495" s="1" t="str">
        <f aca="false">IF(OR(NOT(ISNUMBER(R495)),NOT(ISNUMBER(S495))),"Not classified",IF(AND(R495&gt;0,S495&gt;0),"Long buildup (interpretation)",IF(AND(R495&lt;0,S495&gt;0),"Short buildup (interpretation)",IF(AND(R495&gt;0,S495&lt;0),"Short covering (interpretation)",IF(AND(R495&lt;0,S495&lt;0),"Long unwinding (interpretation)","Neutral")))))</f>
        <v>Short covering (interpretation)</v>
      </c>
      <c r="V495" s="52" t="str">
        <f aca="false">TEXT(B495,"yyyy-mm")</f>
        <v>2025-09</v>
      </c>
      <c r="W495" s="52" t="n">
        <f aca="false">1+COUNTIFS($B$2:$B$756,B495,$C$2:$C$756,"&lt;"&amp;C495)</f>
        <v>1</v>
      </c>
      <c r="X495" s="53" t="n">
        <f aca="false">IF(AND(ISNUMBER(P495),Q495&gt;0),P495*365/Q495,"")</f>
        <v>0.095343845745012</v>
      </c>
      <c r="Y495" s="42" t="n">
        <f aca="false">IF(AND(C496=C495,ISNUMBER(R496)),R496,"")</f>
        <v>0.363185611533501</v>
      </c>
      <c r="Z495" s="52" t="n">
        <f aca="false">IF(AND(W495=1,Q495&gt;Basis_Analysis!$B$3,ISNUMBER(Y495)),1,0)</f>
        <v>1</v>
      </c>
      <c r="AA495" s="43" t="n">
        <f aca="false">IF(W495=1,IF(SUMIFS($L$2:$L$756,$B$2:$B$756,B495,$W$2:$W$756,2)&gt;0,SUMIFS($L$2:$L$756,$B$2:$B$756,B495,$W$2:$W$756,2),""),"")</f>
        <v>1587750</v>
      </c>
      <c r="AB495" s="54" t="n">
        <f aca="false">IF(AND(W495=1,ISNUMBER(AA495)),L495/(L495+AA495),"")</f>
        <v>0.910143549605684</v>
      </c>
    </row>
    <row r="496" customFormat="false" ht="15" hidden="false" customHeight="true" outlineLevel="0" collapsed="false">
      <c r="A496" s="1" t="s">
        <v>274</v>
      </c>
      <c r="B496" s="46" t="n">
        <v>45917</v>
      </c>
      <c r="C496" s="46" t="n">
        <v>45930</v>
      </c>
      <c r="D496" s="47" t="n">
        <v>25365</v>
      </c>
      <c r="E496" s="47" t="n">
        <v>25446.7</v>
      </c>
      <c r="F496" s="47" t="n">
        <v>25362.8</v>
      </c>
      <c r="G496" s="47" t="n">
        <v>25423.4</v>
      </c>
      <c r="H496" s="47" t="n">
        <v>25422</v>
      </c>
      <c r="I496" s="47" t="n">
        <v>25423.4</v>
      </c>
      <c r="J496" s="48" t="n">
        <v>44598</v>
      </c>
      <c r="K496" s="47" t="n">
        <v>849979.44</v>
      </c>
      <c r="L496" s="48" t="n">
        <v>15695850</v>
      </c>
      <c r="M496" s="48" t="n">
        <v>-386250</v>
      </c>
      <c r="N496" s="47" t="n">
        <v>25330.25</v>
      </c>
      <c r="O496" s="47" t="n">
        <f aca="false">IF(AND(ISNUMBER(G496),ISNUMBER(N496)),G496-N496,"")</f>
        <v>93.1500000000015</v>
      </c>
      <c r="P496" s="49" t="n">
        <f aca="false">IF(ISNUMBER(O496),O496/N496,"")</f>
        <v>0.00367742126508824</v>
      </c>
      <c r="Q496" s="50" t="n">
        <f aca="false">C496-B496</f>
        <v>13</v>
      </c>
      <c r="R496" s="51" t="n">
        <f aca="false">IF(AND(C496=C495,ISNUMBER(G496),ISNUMBER(G495)),(G496/G495-1)*100,"")</f>
        <v>0.363185611533501</v>
      </c>
      <c r="S496" s="51" t="n">
        <f aca="false">IF(AND(C496=C495,ISNUMBER(L496),ISNUMBER(L495)),(L496/L495-1)*100,"")</f>
        <v>-2.40173857891693</v>
      </c>
      <c r="T496" s="51" t="n">
        <f aca="false">IF(AND(C496=C495,ISNUMBER(G496),ISNUMBER(G495)),G496-G495,"")</f>
        <v>92</v>
      </c>
      <c r="U496" s="1" t="str">
        <f aca="false">IF(OR(NOT(ISNUMBER(R496)),NOT(ISNUMBER(S496))),"Not classified",IF(AND(R496&gt;0,S496&gt;0),"Long buildup (interpretation)",IF(AND(R496&lt;0,S496&gt;0),"Short buildup (interpretation)",IF(AND(R496&gt;0,S496&lt;0),"Short covering (interpretation)",IF(AND(R496&lt;0,S496&lt;0),"Long unwinding (interpretation)","Neutral")))))</f>
        <v>Short covering (interpretation)</v>
      </c>
      <c r="V496" s="52" t="str">
        <f aca="false">TEXT(B496,"yyyy-mm")</f>
        <v>2025-09</v>
      </c>
      <c r="W496" s="52" t="n">
        <f aca="false">1+COUNTIFS($B$2:$B$756,B496,$C$2:$C$756,"&lt;"&amp;C496)</f>
        <v>1</v>
      </c>
      <c r="X496" s="53" t="n">
        <f aca="false">IF(AND(ISNUMBER(P496),Q496&gt;0),P496*365/Q496,"")</f>
        <v>0.103250673981324</v>
      </c>
      <c r="Y496" s="42" t="n">
        <f aca="false">IF(AND(C497=C496,ISNUMBER(R497)),R497,"")</f>
        <v>0.344171117946468</v>
      </c>
      <c r="Z496" s="52" t="n">
        <f aca="false">IF(AND(W496=1,Q496&gt;Basis_Analysis!$B$3,ISNUMBER(Y496)),1,0)</f>
        <v>1</v>
      </c>
      <c r="AA496" s="43" t="n">
        <f aca="false">IF(W496=1,IF(SUMIFS($L$2:$L$756,$B$2:$B$756,B496,$W$2:$W$756,2)&gt;0,SUMIFS($L$2:$L$756,$B$2:$B$756,B496,$W$2:$W$756,2),""),"")</f>
        <v>1772700</v>
      </c>
      <c r="AB496" s="54" t="n">
        <f aca="false">IF(AND(W496=1,ISNUMBER(AA496)),L496/(L496+AA496),"")</f>
        <v>0.898520483955451</v>
      </c>
    </row>
    <row r="497" customFormat="false" ht="15" hidden="false" customHeight="true" outlineLevel="0" collapsed="false">
      <c r="A497" s="1" t="s">
        <v>274</v>
      </c>
      <c r="B497" s="46" t="n">
        <v>45918</v>
      </c>
      <c r="C497" s="46" t="n">
        <v>45930</v>
      </c>
      <c r="D497" s="47" t="n">
        <v>25480.2</v>
      </c>
      <c r="E497" s="47" t="n">
        <v>25525</v>
      </c>
      <c r="F497" s="47" t="n">
        <v>25435.1</v>
      </c>
      <c r="G497" s="47" t="n">
        <v>25510.9</v>
      </c>
      <c r="H497" s="47" t="n">
        <v>25510</v>
      </c>
      <c r="I497" s="47" t="n">
        <v>25510.9</v>
      </c>
      <c r="J497" s="48" t="n">
        <v>54004</v>
      </c>
      <c r="K497" s="47" t="n">
        <v>1032331.59</v>
      </c>
      <c r="L497" s="48" t="n">
        <v>15519900</v>
      </c>
      <c r="M497" s="48" t="n">
        <v>-175950</v>
      </c>
      <c r="N497" s="47" t="n">
        <v>25423.6</v>
      </c>
      <c r="O497" s="47" t="n">
        <f aca="false">IF(AND(ISNUMBER(G497),ISNUMBER(N497)),G497-N497,"")</f>
        <v>87.3000000000029</v>
      </c>
      <c r="P497" s="49" t="n">
        <f aca="false">IF(ISNUMBER(O497),O497/N497,"")</f>
        <v>0.00343381739800826</v>
      </c>
      <c r="Q497" s="50" t="n">
        <f aca="false">C497-B497</f>
        <v>12</v>
      </c>
      <c r="R497" s="51" t="n">
        <f aca="false">IF(AND(C497=C496,ISNUMBER(G497),ISNUMBER(G496)),(G497/G496-1)*100,"")</f>
        <v>0.344171117946468</v>
      </c>
      <c r="S497" s="51" t="n">
        <f aca="false">IF(AND(C497=C496,ISNUMBER(L497),ISNUMBER(L496)),(L497/L496-1)*100,"")</f>
        <v>-1.12099695142347</v>
      </c>
      <c r="T497" s="51" t="n">
        <f aca="false">IF(AND(C497=C496,ISNUMBER(G497),ISNUMBER(G496)),G497-G496,"")</f>
        <v>87.5</v>
      </c>
      <c r="U497" s="1" t="str">
        <f aca="false">IF(OR(NOT(ISNUMBER(R497)),NOT(ISNUMBER(S497))),"Not classified",IF(AND(R497&gt;0,S497&gt;0),"Long buildup (interpretation)",IF(AND(R497&lt;0,S497&gt;0),"Short buildup (interpretation)",IF(AND(R497&gt;0,S497&lt;0),"Short covering (interpretation)",IF(AND(R497&lt;0,S497&lt;0),"Long unwinding (interpretation)","Neutral")))))</f>
        <v>Short covering (interpretation)</v>
      </c>
      <c r="V497" s="52" t="str">
        <f aca="false">TEXT(B497,"yyyy-mm")</f>
        <v>2025-09</v>
      </c>
      <c r="W497" s="52" t="n">
        <f aca="false">1+COUNTIFS($B$2:$B$756,B497,$C$2:$C$756,"&lt;"&amp;C497)</f>
        <v>1</v>
      </c>
      <c r="X497" s="53" t="n">
        <f aca="false">IF(AND(ISNUMBER(P497),Q497&gt;0),P497*365/Q497,"")</f>
        <v>0.104445279189418</v>
      </c>
      <c r="Y497" s="42" t="n">
        <f aca="false">IF(AND(C498=C497,ISNUMBER(R498)),R498,"")</f>
        <v>-0.390813338612128</v>
      </c>
      <c r="Z497" s="52" t="n">
        <f aca="false">IF(AND(W497=1,Q497&gt;Basis_Analysis!$B$3,ISNUMBER(Y497)),1,0)</f>
        <v>1</v>
      </c>
      <c r="AA497" s="43" t="n">
        <f aca="false">IF(W497=1,IF(SUMIFS($L$2:$L$756,$B$2:$B$756,B497,$W$2:$W$756,2)&gt;0,SUMIFS($L$2:$L$756,$B$2:$B$756,B497,$W$2:$W$756,2),""),"")</f>
        <v>1943700</v>
      </c>
      <c r="AB497" s="54" t="n">
        <f aca="false">IF(AND(W497=1,ISNUMBER(AA497)),L497/(L497+AA497),"")</f>
        <v>0.88869992441421</v>
      </c>
    </row>
    <row r="498" customFormat="false" ht="15" hidden="false" customHeight="true" outlineLevel="0" collapsed="false">
      <c r="A498" s="1" t="s">
        <v>274</v>
      </c>
      <c r="B498" s="46" t="n">
        <v>45919</v>
      </c>
      <c r="C498" s="46" t="n">
        <v>45930</v>
      </c>
      <c r="D498" s="47" t="n">
        <v>25474</v>
      </c>
      <c r="E498" s="47" t="n">
        <v>25489.8</v>
      </c>
      <c r="F498" s="47" t="n">
        <v>25352</v>
      </c>
      <c r="G498" s="47" t="n">
        <v>25411.2</v>
      </c>
      <c r="H498" s="47" t="n">
        <v>25426.7</v>
      </c>
      <c r="I498" s="47" t="n">
        <v>25411.2</v>
      </c>
      <c r="J498" s="48" t="n">
        <v>62987</v>
      </c>
      <c r="K498" s="47" t="n">
        <v>1199982.41</v>
      </c>
      <c r="L498" s="48" t="n">
        <v>15007275</v>
      </c>
      <c r="M498" s="48" t="n">
        <v>-512625</v>
      </c>
      <c r="N498" s="47" t="n">
        <v>25327.05</v>
      </c>
      <c r="O498" s="47" t="n">
        <f aca="false">IF(AND(ISNUMBER(G498),ISNUMBER(N498)),G498-N498,"")</f>
        <v>84.1500000000015</v>
      </c>
      <c r="P498" s="49" t="n">
        <f aca="false">IF(ISNUMBER(O498),O498/N498,"")</f>
        <v>0.00332253460233235</v>
      </c>
      <c r="Q498" s="50" t="n">
        <f aca="false">C498-B498</f>
        <v>11</v>
      </c>
      <c r="R498" s="51" t="n">
        <f aca="false">IF(AND(C498=C497,ISNUMBER(G498),ISNUMBER(G497)),(G498/G497-1)*100,"")</f>
        <v>-0.390813338612128</v>
      </c>
      <c r="S498" s="51" t="n">
        <f aca="false">IF(AND(C498=C497,ISNUMBER(L498),ISNUMBER(L497)),(L498/L497-1)*100,"")</f>
        <v>-3.30301741634933</v>
      </c>
      <c r="T498" s="51" t="n">
        <f aca="false">IF(AND(C498=C497,ISNUMBER(G498),ISNUMBER(G497)),G498-G497,"")</f>
        <v>-99.7000000000007</v>
      </c>
      <c r="U498" s="1" t="str">
        <f aca="false">IF(OR(NOT(ISNUMBER(R498)),NOT(ISNUMBER(S498))),"Not classified",IF(AND(R498&gt;0,S498&gt;0),"Long buildup (interpretation)",IF(AND(R498&lt;0,S498&gt;0),"Short buildup (interpretation)",IF(AND(R498&gt;0,S498&lt;0),"Short covering (interpretation)",IF(AND(R498&lt;0,S498&lt;0),"Long unwinding (interpretation)","Neutral")))))</f>
        <v>Long unwinding (interpretation)</v>
      </c>
      <c r="V498" s="52" t="str">
        <f aca="false">TEXT(B498,"yyyy-mm")</f>
        <v>2025-09</v>
      </c>
      <c r="W498" s="52" t="n">
        <f aca="false">1+COUNTIFS($B$2:$B$756,B498,$C$2:$C$756,"&lt;"&amp;C498)</f>
        <v>1</v>
      </c>
      <c r="X498" s="53" t="n">
        <f aca="false">IF(AND(ISNUMBER(P498),Q498&gt;0),P498*365/Q498,"")</f>
        <v>0.110247739077392</v>
      </c>
      <c r="Y498" s="42" t="n">
        <f aca="false">IF(AND(C499=C498,ISNUMBER(R499)),R499,"")</f>
        <v>-0.52535889686437</v>
      </c>
      <c r="Z498" s="52" t="n">
        <f aca="false">IF(AND(W498=1,Q498&gt;Basis_Analysis!$B$3,ISNUMBER(Y498)),1,0)</f>
        <v>1</v>
      </c>
      <c r="AA498" s="43" t="n">
        <f aca="false">IF(W498=1,IF(SUMIFS($L$2:$L$756,$B$2:$B$756,B498,$W$2:$W$756,2)&gt;0,SUMIFS($L$2:$L$756,$B$2:$B$756,B498,$W$2:$W$756,2),""),"")</f>
        <v>2314575</v>
      </c>
      <c r="AB498" s="54" t="n">
        <f aca="false">IF(AND(W498=1,ISNUMBER(AA498)),L498/(L498+AA498),"")</f>
        <v>0.866378302548515</v>
      </c>
    </row>
    <row r="499" customFormat="false" ht="15" hidden="false" customHeight="true" outlineLevel="0" collapsed="false">
      <c r="A499" s="1" t="s">
        <v>274</v>
      </c>
      <c r="B499" s="46" t="n">
        <v>45922</v>
      </c>
      <c r="C499" s="46" t="n">
        <v>45930</v>
      </c>
      <c r="D499" s="47" t="n">
        <v>25350</v>
      </c>
      <c r="E499" s="47" t="n">
        <v>25394.5</v>
      </c>
      <c r="F499" s="47" t="n">
        <v>25248.6</v>
      </c>
      <c r="G499" s="47" t="n">
        <v>25277.7</v>
      </c>
      <c r="H499" s="47" t="n">
        <v>25276</v>
      </c>
      <c r="I499" s="47" t="n">
        <v>25277.7</v>
      </c>
      <c r="J499" s="48" t="n">
        <v>51252</v>
      </c>
      <c r="K499" s="47" t="n">
        <v>973525.34</v>
      </c>
      <c r="L499" s="48" t="n">
        <v>14757825</v>
      </c>
      <c r="M499" s="48" t="n">
        <v>-249450</v>
      </c>
      <c r="N499" s="47" t="n">
        <v>25202.35</v>
      </c>
      <c r="O499" s="47" t="n">
        <f aca="false">IF(AND(ISNUMBER(G499),ISNUMBER(N499)),G499-N499,"")</f>
        <v>75.3500000000022</v>
      </c>
      <c r="P499" s="49" t="n">
        <f aca="false">IF(ISNUMBER(O499),O499/N499,"")</f>
        <v>0.00298980055431347</v>
      </c>
      <c r="Q499" s="50" t="n">
        <f aca="false">C499-B499</f>
        <v>8</v>
      </c>
      <c r="R499" s="51" t="n">
        <f aca="false">IF(AND(C499=C498,ISNUMBER(G499),ISNUMBER(G498)),(G499/G498-1)*100,"")</f>
        <v>-0.52535889686437</v>
      </c>
      <c r="S499" s="51" t="n">
        <f aca="false">IF(AND(C499=C498,ISNUMBER(L499),ISNUMBER(L498)),(L499/L498-1)*100,"")</f>
        <v>-1.66219383598955</v>
      </c>
      <c r="T499" s="51" t="n">
        <f aca="false">IF(AND(C499=C498,ISNUMBER(G499),ISNUMBER(G498)),G499-G498,"")</f>
        <v>-133.5</v>
      </c>
      <c r="U499" s="1" t="str">
        <f aca="false">IF(OR(NOT(ISNUMBER(R499)),NOT(ISNUMBER(S499))),"Not classified",IF(AND(R499&gt;0,S499&gt;0),"Long buildup (interpretation)",IF(AND(R499&lt;0,S499&gt;0),"Short buildup (interpretation)",IF(AND(R499&gt;0,S499&lt;0),"Short covering (interpretation)",IF(AND(R499&lt;0,S499&lt;0),"Long unwinding (interpretation)","Neutral")))))</f>
        <v>Long unwinding (interpretation)</v>
      </c>
      <c r="V499" s="52" t="str">
        <f aca="false">TEXT(B499,"yyyy-mm")</f>
        <v>2025-09</v>
      </c>
      <c r="W499" s="52" t="n">
        <f aca="false">1+COUNTIFS($B$2:$B$756,B499,$C$2:$C$756,"&lt;"&amp;C499)</f>
        <v>1</v>
      </c>
      <c r="X499" s="53" t="n">
        <f aca="false">IF(AND(ISNUMBER(P499),Q499&gt;0),P499*365/Q499,"")</f>
        <v>0.136409650290552</v>
      </c>
      <c r="Y499" s="42" t="n">
        <f aca="false">IF(AND(C500=C499,ISNUMBER(R500)),R500,"")</f>
        <v>-0.086637629214692</v>
      </c>
      <c r="Z499" s="52" t="n">
        <f aca="false">IF(AND(W499=1,Q499&gt;Basis_Analysis!$B$3,ISNUMBER(Y499)),1,0)</f>
        <v>1</v>
      </c>
      <c r="AA499" s="43" t="n">
        <f aca="false">IF(W499=1,IF(SUMIFS($L$2:$L$756,$B$2:$B$756,B499,$W$2:$W$756,2)&gt;0,SUMIFS($L$2:$L$756,$B$2:$B$756,B499,$W$2:$W$756,2),""),"")</f>
        <v>2633550</v>
      </c>
      <c r="AB499" s="54" t="n">
        <f aca="false">IF(AND(W499=1,ISNUMBER(AA499)),L499/(L499+AA499),"")</f>
        <v>0.848571490178321</v>
      </c>
    </row>
    <row r="500" customFormat="false" ht="15" hidden="false" customHeight="true" outlineLevel="0" collapsed="false">
      <c r="A500" s="1" t="s">
        <v>274</v>
      </c>
      <c r="B500" s="46" t="n">
        <v>45923</v>
      </c>
      <c r="C500" s="46" t="n">
        <v>45930</v>
      </c>
      <c r="D500" s="47" t="n">
        <v>25277.7</v>
      </c>
      <c r="E500" s="47" t="n">
        <v>25333.2</v>
      </c>
      <c r="F500" s="47" t="n">
        <v>25158</v>
      </c>
      <c r="G500" s="47" t="n">
        <v>25255.8</v>
      </c>
      <c r="H500" s="47" t="n">
        <v>25252</v>
      </c>
      <c r="I500" s="47" t="n">
        <v>25255.8</v>
      </c>
      <c r="J500" s="48" t="n">
        <v>62983</v>
      </c>
      <c r="K500" s="47" t="n">
        <v>1192385.03</v>
      </c>
      <c r="L500" s="48" t="n">
        <v>14358900</v>
      </c>
      <c r="M500" s="48" t="n">
        <v>-398925</v>
      </c>
      <c r="N500" s="47" t="n">
        <v>25169.5</v>
      </c>
      <c r="O500" s="47" t="n">
        <f aca="false">IF(AND(ISNUMBER(G500),ISNUMBER(N500)),G500-N500,"")</f>
        <v>86.2999999999993</v>
      </c>
      <c r="P500" s="49" t="n">
        <f aca="false">IF(ISNUMBER(O500),O500/N500,"")</f>
        <v>0.00342875305429187</v>
      </c>
      <c r="Q500" s="50" t="n">
        <f aca="false">C500-B500</f>
        <v>7</v>
      </c>
      <c r="R500" s="51" t="n">
        <f aca="false">IF(AND(C500=C499,ISNUMBER(G500),ISNUMBER(G499)),(G500/G499-1)*100,"")</f>
        <v>-0.086637629214692</v>
      </c>
      <c r="S500" s="51" t="n">
        <f aca="false">IF(AND(C500=C499,ISNUMBER(L500),ISNUMBER(L499)),(L500/L499-1)*100,"")</f>
        <v>-2.70314223132474</v>
      </c>
      <c r="T500" s="51" t="n">
        <f aca="false">IF(AND(C500=C499,ISNUMBER(G500),ISNUMBER(G499)),G500-G499,"")</f>
        <v>-21.9000000000015</v>
      </c>
      <c r="U500" s="1" t="str">
        <f aca="false">IF(OR(NOT(ISNUMBER(R500)),NOT(ISNUMBER(S500))),"Not classified",IF(AND(R500&gt;0,S500&gt;0),"Long buildup (interpretation)",IF(AND(R500&lt;0,S500&gt;0),"Short buildup (interpretation)",IF(AND(R500&gt;0,S500&lt;0),"Short covering (interpretation)",IF(AND(R500&lt;0,S500&lt;0),"Long unwinding (interpretation)","Neutral")))))</f>
        <v>Long unwinding (interpretation)</v>
      </c>
      <c r="V500" s="52" t="str">
        <f aca="false">TEXT(B500,"yyyy-mm")</f>
        <v>2025-09</v>
      </c>
      <c r="W500" s="52" t="n">
        <f aca="false">1+COUNTIFS($B$2:$B$756,B500,$C$2:$C$756,"&lt;"&amp;C500)</f>
        <v>1</v>
      </c>
      <c r="X500" s="53" t="n">
        <f aca="false">IF(AND(ISNUMBER(P500),Q500&gt;0),P500*365/Q500,"")</f>
        <v>0.178784980688076</v>
      </c>
      <c r="Y500" s="42" t="n">
        <f aca="false">IF(AND(C501=C500,ISNUMBER(R501)),R501,"")</f>
        <v>-0.569770112211843</v>
      </c>
      <c r="Z500" s="52" t="n">
        <f aca="false">IF(AND(W500=1,Q500&gt;Basis_Analysis!$B$3,ISNUMBER(Y500)),1,0)</f>
        <v>1</v>
      </c>
      <c r="AA500" s="43" t="n">
        <f aca="false">IF(W500=1,IF(SUMIFS($L$2:$L$756,$B$2:$B$756,B500,$W$2:$W$756,2)&gt;0,SUMIFS($L$2:$L$756,$B$2:$B$756,B500,$W$2:$W$756,2),""),"")</f>
        <v>2876775</v>
      </c>
      <c r="AB500" s="54" t="n">
        <f aca="false">IF(AND(W500=1,ISNUMBER(AA500)),L500/(L500+AA500),"")</f>
        <v>0.833091828431437</v>
      </c>
    </row>
    <row r="501" customFormat="false" ht="15" hidden="false" customHeight="true" outlineLevel="0" collapsed="false">
      <c r="A501" s="1" t="s">
        <v>274</v>
      </c>
      <c r="B501" s="46" t="n">
        <v>45924</v>
      </c>
      <c r="C501" s="46" t="n">
        <v>45930</v>
      </c>
      <c r="D501" s="47" t="n">
        <v>25206.5</v>
      </c>
      <c r="E501" s="47" t="n">
        <v>25206.5</v>
      </c>
      <c r="F501" s="47" t="n">
        <v>25078</v>
      </c>
      <c r="G501" s="47" t="n">
        <v>25111.9</v>
      </c>
      <c r="H501" s="47" t="n">
        <v>25113</v>
      </c>
      <c r="I501" s="47" t="n">
        <v>25111.9</v>
      </c>
      <c r="J501" s="48" t="n">
        <v>64471</v>
      </c>
      <c r="K501" s="47" t="n">
        <v>1215446.82</v>
      </c>
      <c r="L501" s="48" t="n">
        <v>14210700</v>
      </c>
      <c r="M501" s="48" t="n">
        <v>-148200</v>
      </c>
      <c r="N501" s="47" t="n">
        <v>25056.9</v>
      </c>
      <c r="O501" s="47" t="n">
        <f aca="false">IF(AND(ISNUMBER(G501),ISNUMBER(N501)),G501-N501,"")</f>
        <v>55</v>
      </c>
      <c r="P501" s="49" t="n">
        <f aca="false">IF(ISNUMBER(O501),O501/N501,"")</f>
        <v>0.00219500417050792</v>
      </c>
      <c r="Q501" s="50" t="n">
        <f aca="false">C501-B501</f>
        <v>6</v>
      </c>
      <c r="R501" s="51" t="n">
        <f aca="false">IF(AND(C501=C500,ISNUMBER(G501),ISNUMBER(G500)),(G501/G500-1)*100,"")</f>
        <v>-0.569770112211843</v>
      </c>
      <c r="S501" s="51" t="n">
        <f aca="false">IF(AND(C501=C500,ISNUMBER(L501),ISNUMBER(L500)),(L501/L500-1)*100,"")</f>
        <v>-1.03211248772538</v>
      </c>
      <c r="T501" s="51" t="n">
        <f aca="false">IF(AND(C501=C500,ISNUMBER(G501),ISNUMBER(G500)),G501-G500,"")</f>
        <v>-143.899999999998</v>
      </c>
      <c r="U501" s="1" t="str">
        <f aca="false">IF(OR(NOT(ISNUMBER(R501)),NOT(ISNUMBER(S501))),"Not classified",IF(AND(R501&gt;0,S501&gt;0),"Long buildup (interpretation)",IF(AND(R501&lt;0,S501&gt;0),"Short buildup (interpretation)",IF(AND(R501&gt;0,S501&lt;0),"Short covering (interpretation)",IF(AND(R501&lt;0,S501&lt;0),"Long unwinding (interpretation)","Neutral")))))</f>
        <v>Long unwinding (interpretation)</v>
      </c>
      <c r="V501" s="52" t="str">
        <f aca="false">TEXT(B501,"yyyy-mm")</f>
        <v>2025-09</v>
      </c>
      <c r="W501" s="52" t="n">
        <f aca="false">1+COUNTIFS($B$2:$B$756,B501,$C$2:$C$756,"&lt;"&amp;C501)</f>
        <v>1</v>
      </c>
      <c r="X501" s="53" t="n">
        <f aca="false">IF(AND(ISNUMBER(P501),Q501&gt;0),P501*365/Q501,"")</f>
        <v>0.133529420372565</v>
      </c>
      <c r="Y501" s="42" t="n">
        <f aca="false">IF(AND(C502=C501,ISNUMBER(R502)),R502,"")</f>
        <v>-0.574229747649524</v>
      </c>
      <c r="Z501" s="52" t="n">
        <f aca="false">IF(AND(W501=1,Q501&gt;Basis_Analysis!$B$3,ISNUMBER(Y501)),1,0)</f>
        <v>1</v>
      </c>
      <c r="AA501" s="43" t="n">
        <f aca="false">IF(W501=1,IF(SUMIFS($L$2:$L$756,$B$2:$B$756,B501,$W$2:$W$756,2)&gt;0,SUMIFS($L$2:$L$756,$B$2:$B$756,B501,$W$2:$W$756,2),""),"")</f>
        <v>3687525</v>
      </c>
      <c r="AB501" s="54" t="n">
        <f aca="false">IF(AND(W501=1,ISNUMBER(AA501)),L501/(L501+AA501),"")</f>
        <v>0.793972586667114</v>
      </c>
    </row>
    <row r="502" customFormat="false" ht="15" hidden="false" customHeight="true" outlineLevel="0" collapsed="false">
      <c r="A502" s="1" t="s">
        <v>274</v>
      </c>
      <c r="B502" s="46" t="n">
        <v>45925</v>
      </c>
      <c r="C502" s="46" t="n">
        <v>45930</v>
      </c>
      <c r="D502" s="47" t="n">
        <v>25100</v>
      </c>
      <c r="E502" s="47" t="n">
        <v>25133</v>
      </c>
      <c r="F502" s="47" t="n">
        <v>24954.1</v>
      </c>
      <c r="G502" s="47" t="n">
        <v>24967.7</v>
      </c>
      <c r="H502" s="47" t="n">
        <v>24962</v>
      </c>
      <c r="I502" s="47" t="n">
        <v>24967.7</v>
      </c>
      <c r="J502" s="48" t="n">
        <v>77237</v>
      </c>
      <c r="K502" s="47" t="n">
        <v>1449810.92</v>
      </c>
      <c r="L502" s="48" t="n">
        <v>12505050</v>
      </c>
      <c r="M502" s="48" t="n">
        <v>-1705650</v>
      </c>
      <c r="N502" s="47" t="n">
        <v>24890.85</v>
      </c>
      <c r="O502" s="47" t="n">
        <f aca="false">IF(AND(ISNUMBER(G502),ISNUMBER(N502)),G502-N502,"")</f>
        <v>76.8500000000022</v>
      </c>
      <c r="P502" s="49" t="n">
        <f aca="false">IF(ISNUMBER(O502),O502/N502,"")</f>
        <v>0.00308747993740681</v>
      </c>
      <c r="Q502" s="50" t="n">
        <f aca="false">C502-B502</f>
        <v>5</v>
      </c>
      <c r="R502" s="51" t="n">
        <f aca="false">IF(AND(C502=C501,ISNUMBER(G502),ISNUMBER(G501)),(G502/G501-1)*100,"")</f>
        <v>-0.574229747649524</v>
      </c>
      <c r="S502" s="51" t="n">
        <f aca="false">IF(AND(C502=C501,ISNUMBER(L502),ISNUMBER(L501)),(L502/L501-1)*100,"")</f>
        <v>-12.0025755240769</v>
      </c>
      <c r="T502" s="51" t="n">
        <f aca="false">IF(AND(C502=C501,ISNUMBER(G502),ISNUMBER(G501)),G502-G501,"")</f>
        <v>-144.200000000001</v>
      </c>
      <c r="U502" s="1" t="str">
        <f aca="false">IF(OR(NOT(ISNUMBER(R502)),NOT(ISNUMBER(S502))),"Not classified",IF(AND(R502&gt;0,S502&gt;0),"Long buildup (interpretation)",IF(AND(R502&lt;0,S502&gt;0),"Short buildup (interpretation)",IF(AND(R502&gt;0,S502&lt;0),"Short covering (interpretation)",IF(AND(R502&lt;0,S502&lt;0),"Long unwinding (interpretation)","Neutral")))))</f>
        <v>Long unwinding (interpretation)</v>
      </c>
      <c r="V502" s="52" t="str">
        <f aca="false">TEXT(B502,"yyyy-mm")</f>
        <v>2025-09</v>
      </c>
      <c r="W502" s="52" t="n">
        <f aca="false">1+COUNTIFS($B$2:$B$756,B502,$C$2:$C$756,"&lt;"&amp;C502)</f>
        <v>1</v>
      </c>
      <c r="X502" s="53" t="n">
        <f aca="false">IF(AND(ISNUMBER(P502),Q502&gt;0),P502*365/Q502,"")</f>
        <v>0.225386035430697</v>
      </c>
      <c r="Y502" s="42" t="n">
        <f aca="false">IF(AND(C503=C502,ISNUMBER(R503)),R503,"")</f>
        <v>-1.11263752768577</v>
      </c>
      <c r="Z502" s="52" t="n">
        <f aca="false">IF(AND(W502=1,Q502&gt;Basis_Analysis!$B$3,ISNUMBER(Y502)),1,0)</f>
        <v>0</v>
      </c>
      <c r="AA502" s="43" t="n">
        <f aca="false">IF(W502=1,IF(SUMIFS($L$2:$L$756,$B$2:$B$756,B502,$W$2:$W$756,2)&gt;0,SUMIFS($L$2:$L$756,$B$2:$B$756,B502,$W$2:$W$756,2),""),"")</f>
        <v>6004500</v>
      </c>
      <c r="AB502" s="54" t="n">
        <f aca="false">IF(AND(W502=1,ISNUMBER(AA502)),L502/(L502+AA502),"")</f>
        <v>0.675599893028194</v>
      </c>
    </row>
    <row r="503" customFormat="false" ht="15" hidden="false" customHeight="true" outlineLevel="0" collapsed="false">
      <c r="A503" s="1" t="s">
        <v>274</v>
      </c>
      <c r="B503" s="46" t="n">
        <v>45926</v>
      </c>
      <c r="C503" s="46" t="n">
        <v>45930</v>
      </c>
      <c r="D503" s="47" t="n">
        <v>24929.9</v>
      </c>
      <c r="E503" s="47" t="n">
        <v>24929.9</v>
      </c>
      <c r="F503" s="47" t="n">
        <v>24663.1</v>
      </c>
      <c r="G503" s="47" t="n">
        <v>24689.9</v>
      </c>
      <c r="H503" s="47" t="n">
        <v>24700</v>
      </c>
      <c r="I503" s="47" t="n">
        <v>24689.9</v>
      </c>
      <c r="J503" s="48" t="n">
        <v>96914</v>
      </c>
      <c r="K503" s="47" t="n">
        <v>1801003.14</v>
      </c>
      <c r="L503" s="48" t="n">
        <v>9691950</v>
      </c>
      <c r="M503" s="48" t="n">
        <v>-2813100</v>
      </c>
      <c r="N503" s="47" t="n">
        <v>24654.7</v>
      </c>
      <c r="O503" s="47" t="n">
        <f aca="false">IF(AND(ISNUMBER(G503),ISNUMBER(N503)),G503-N503,"")</f>
        <v>35.2000000000007</v>
      </c>
      <c r="P503" s="49" t="n">
        <f aca="false">IF(ISNUMBER(O503),O503/N503,"")</f>
        <v>0.00142771966399919</v>
      </c>
      <c r="Q503" s="50" t="n">
        <f aca="false">C503-B503</f>
        <v>4</v>
      </c>
      <c r="R503" s="51" t="n">
        <f aca="false">IF(AND(C503=C502,ISNUMBER(G503),ISNUMBER(G502)),(G503/G502-1)*100,"")</f>
        <v>-1.11263752768577</v>
      </c>
      <c r="S503" s="51" t="n">
        <f aca="false">IF(AND(C503=C502,ISNUMBER(L503),ISNUMBER(L502)),(L503/L502-1)*100,"")</f>
        <v>-22.4957117324601</v>
      </c>
      <c r="T503" s="51" t="n">
        <f aca="false">IF(AND(C503=C502,ISNUMBER(G503),ISNUMBER(G502)),G503-G502,"")</f>
        <v>-277.799999999999</v>
      </c>
      <c r="U503" s="1" t="str">
        <f aca="false">IF(OR(NOT(ISNUMBER(R503)),NOT(ISNUMBER(S503))),"Not classified",IF(AND(R503&gt;0,S503&gt;0),"Long buildup (interpretation)",IF(AND(R503&lt;0,S503&gt;0),"Short buildup (interpretation)",IF(AND(R503&gt;0,S503&lt;0),"Short covering (interpretation)",IF(AND(R503&lt;0,S503&lt;0),"Long unwinding (interpretation)","Neutral")))))</f>
        <v>Long unwinding (interpretation)</v>
      </c>
      <c r="V503" s="52" t="str">
        <f aca="false">TEXT(B503,"yyyy-mm")</f>
        <v>2025-09</v>
      </c>
      <c r="W503" s="52" t="n">
        <f aca="false">1+COUNTIFS($B$2:$B$756,B503,$C$2:$C$756,"&lt;"&amp;C503)</f>
        <v>1</v>
      </c>
      <c r="X503" s="53" t="n">
        <f aca="false">IF(AND(ISNUMBER(P503),Q503&gt;0),P503*365/Q503,"")</f>
        <v>0.130279419339926</v>
      </c>
      <c r="Y503" s="42" t="n">
        <f aca="false">IF(AND(C504=C503,ISNUMBER(R504)),R504,"")</f>
        <v>-0.01984617191646</v>
      </c>
      <c r="Z503" s="52" t="n">
        <f aca="false">IF(AND(W503=1,Q503&gt;Basis_Analysis!$B$3,ISNUMBER(Y503)),1,0)</f>
        <v>0</v>
      </c>
      <c r="AA503" s="43" t="n">
        <f aca="false">IF(W503=1,IF(SUMIFS($L$2:$L$756,$B$2:$B$756,B503,$W$2:$W$756,2)&gt;0,SUMIFS($L$2:$L$756,$B$2:$B$756,B503,$W$2:$W$756,2),""),"")</f>
        <v>9768150</v>
      </c>
      <c r="AB503" s="54" t="n">
        <f aca="false">IF(AND(W503=1,ISNUMBER(AA503)),L503/(L503+AA503),"")</f>
        <v>0.498042147779302</v>
      </c>
    </row>
    <row r="504" customFormat="false" ht="15" hidden="false" customHeight="true" outlineLevel="0" collapsed="false">
      <c r="A504" s="1" t="s">
        <v>274</v>
      </c>
      <c r="B504" s="46" t="n">
        <v>45929</v>
      </c>
      <c r="C504" s="46" t="n">
        <v>45930</v>
      </c>
      <c r="D504" s="47" t="n">
        <v>24755</v>
      </c>
      <c r="E504" s="47" t="n">
        <v>24844.2</v>
      </c>
      <c r="F504" s="47" t="n">
        <v>24646.2</v>
      </c>
      <c r="G504" s="47" t="n">
        <v>24685</v>
      </c>
      <c r="H504" s="47" t="n">
        <v>24695</v>
      </c>
      <c r="I504" s="47" t="n">
        <v>24685</v>
      </c>
      <c r="J504" s="48" t="n">
        <v>95052</v>
      </c>
      <c r="K504" s="47" t="n">
        <v>1763830.42</v>
      </c>
      <c r="L504" s="48" t="n">
        <v>6130575</v>
      </c>
      <c r="M504" s="48" t="n">
        <v>-3561375</v>
      </c>
      <c r="N504" s="47" t="n">
        <v>24634.9</v>
      </c>
      <c r="O504" s="47" t="n">
        <f aca="false">IF(AND(ISNUMBER(G504),ISNUMBER(N504)),G504-N504,"")</f>
        <v>50.0999999999985</v>
      </c>
      <c r="P504" s="49" t="n">
        <f aca="false">IF(ISNUMBER(O504),O504/N504,"")</f>
        <v>0.00203370015709414</v>
      </c>
      <c r="Q504" s="50" t="n">
        <f aca="false">C504-B504</f>
        <v>1</v>
      </c>
      <c r="R504" s="51" t="n">
        <f aca="false">IF(AND(C504=C503,ISNUMBER(G504),ISNUMBER(G503)),(G504/G503-1)*100,"")</f>
        <v>-0.01984617191646</v>
      </c>
      <c r="S504" s="51" t="n">
        <f aca="false">IF(AND(C504=C503,ISNUMBER(L504),ISNUMBER(L503)),(L504/L503-1)*100,"")</f>
        <v>-36.7457013294538</v>
      </c>
      <c r="T504" s="51" t="n">
        <f aca="false">IF(AND(C504=C503,ISNUMBER(G504),ISNUMBER(G503)),G504-G503,"")</f>
        <v>-4.90000000000146</v>
      </c>
      <c r="U504" s="1" t="str">
        <f aca="false">IF(OR(NOT(ISNUMBER(R504)),NOT(ISNUMBER(S504))),"Not classified",IF(AND(R504&gt;0,S504&gt;0),"Long buildup (interpretation)",IF(AND(R504&lt;0,S504&gt;0),"Short buildup (interpretation)",IF(AND(R504&gt;0,S504&lt;0),"Short covering (interpretation)",IF(AND(R504&lt;0,S504&lt;0),"Long unwinding (interpretation)","Neutral")))))</f>
        <v>Long unwinding (interpretation)</v>
      </c>
      <c r="V504" s="52" t="str">
        <f aca="false">TEXT(B504,"yyyy-mm")</f>
        <v>2025-09</v>
      </c>
      <c r="W504" s="52" t="n">
        <f aca="false">1+COUNTIFS($B$2:$B$756,B504,$C$2:$C$756,"&lt;"&amp;C504)</f>
        <v>1</v>
      </c>
      <c r="X504" s="53" t="n">
        <f aca="false">IF(AND(ISNUMBER(P504),Q504&gt;0),P504*365/Q504,"")</f>
        <v>0.742300557339363</v>
      </c>
      <c r="Y504" s="42" t="n">
        <f aca="false">IF(AND(C505=C504,ISNUMBER(R505)),R505,"")</f>
        <v>-0.295726149483488</v>
      </c>
      <c r="Z504" s="52" t="n">
        <f aca="false">IF(AND(W504=1,Q504&gt;Basis_Analysis!$B$3,ISNUMBER(Y504)),1,0)</f>
        <v>0</v>
      </c>
      <c r="AA504" s="43" t="n">
        <f aca="false">IF(W504=1,IF(SUMIFS($L$2:$L$756,$B$2:$B$756,B504,$W$2:$W$756,2)&gt;0,SUMIFS($L$2:$L$756,$B$2:$B$756,B504,$W$2:$W$756,2),""),"")</f>
        <v>14005500</v>
      </c>
      <c r="AB504" s="54" t="n">
        <f aca="false">IF(AND(W504=1,ISNUMBER(AA504)),L504/(L504+AA504),"")</f>
        <v>0.304457298654281</v>
      </c>
    </row>
    <row r="505" customFormat="false" ht="15" hidden="false" customHeight="true" outlineLevel="0" collapsed="false">
      <c r="A505" s="1" t="s">
        <v>274</v>
      </c>
      <c r="B505" s="46" t="n">
        <v>45930</v>
      </c>
      <c r="C505" s="46" t="n">
        <v>45930</v>
      </c>
      <c r="D505" s="47" t="n">
        <v>24714.9</v>
      </c>
      <c r="E505" s="47" t="n">
        <v>24749</v>
      </c>
      <c r="F505" s="47" t="n">
        <v>24580</v>
      </c>
      <c r="G505" s="47" t="n">
        <v>24612</v>
      </c>
      <c r="H505" s="47" t="n">
        <v>24609.6</v>
      </c>
      <c r="I505" s="47" t="n">
        <v>24611.1</v>
      </c>
      <c r="J505" s="48" t="n">
        <v>64496</v>
      </c>
      <c r="K505" s="47" t="n">
        <v>1192381.35</v>
      </c>
      <c r="L505" s="48" t="n">
        <v>3831600</v>
      </c>
      <c r="M505" s="48" t="n">
        <v>-2298975</v>
      </c>
      <c r="N505" s="47" t="n">
        <v>24611.1</v>
      </c>
      <c r="O505" s="47" t="n">
        <f aca="false">IF(AND(ISNUMBER(G505),ISNUMBER(N505)),G505-N505,"")</f>
        <v>0.900000000001455</v>
      </c>
      <c r="P505" s="49" t="n">
        <f aca="false">IF(ISNUMBER(O505),O505/N505,"")</f>
        <v>3.65688652681699E-005</v>
      </c>
      <c r="Q505" s="50" t="n">
        <f aca="false">C505-B505</f>
        <v>0</v>
      </c>
      <c r="R505" s="51" t="n">
        <f aca="false">IF(AND(C505=C504,ISNUMBER(G505),ISNUMBER(G504)),(G505/G504-1)*100,"")</f>
        <v>-0.295726149483488</v>
      </c>
      <c r="S505" s="51" t="n">
        <f aca="false">IF(AND(C505=C504,ISNUMBER(L505),ISNUMBER(L504)),(L505/L504-1)*100,"")</f>
        <v>-37.5001529220342</v>
      </c>
      <c r="T505" s="51" t="n">
        <f aca="false">IF(AND(C505=C504,ISNUMBER(G505),ISNUMBER(G504)),G505-G504,"")</f>
        <v>-73</v>
      </c>
      <c r="U505" s="1" t="str">
        <f aca="false">IF(OR(NOT(ISNUMBER(R505)),NOT(ISNUMBER(S505))),"Not classified",IF(AND(R505&gt;0,S505&gt;0),"Long buildup (interpretation)",IF(AND(R505&lt;0,S505&gt;0),"Short buildup (interpretation)",IF(AND(R505&gt;0,S505&lt;0),"Short covering (interpretation)",IF(AND(R505&lt;0,S505&lt;0),"Long unwinding (interpretation)","Neutral")))))</f>
        <v>Long unwinding (interpretation)</v>
      </c>
      <c r="V505" s="52" t="str">
        <f aca="false">TEXT(B505,"yyyy-mm")</f>
        <v>2025-09</v>
      </c>
      <c r="W505" s="52" t="n">
        <f aca="false">1+COUNTIFS($B$2:$B$756,B505,$C$2:$C$756,"&lt;"&amp;C505)</f>
        <v>1</v>
      </c>
      <c r="X505" s="53" t="str">
        <f aca="false">IF(AND(ISNUMBER(P505),Q505&gt;0),P505*365/Q505,"")</f>
        <v/>
      </c>
      <c r="Y505" s="42" t="str">
        <f aca="false">IF(AND(C506=C505,ISNUMBER(R506)),R506,"")</f>
        <v/>
      </c>
      <c r="Z505" s="52" t="n">
        <f aca="false">IF(AND(W505=1,Q505&gt;Basis_Analysis!$B$3,ISNUMBER(Y505)),1,0)</f>
        <v>0</v>
      </c>
      <c r="AA505" s="43" t="n">
        <f aca="false">IF(W505=1,IF(SUMIFS($L$2:$L$756,$B$2:$B$756,B505,$W$2:$W$756,2)&gt;0,SUMIFS($L$2:$L$756,$B$2:$B$756,B505,$W$2:$W$756,2),""),"")</f>
        <v>17107125</v>
      </c>
      <c r="AB505" s="54" t="n">
        <f aca="false">IF(AND(W505=1,ISNUMBER(AA505)),L505/(L505+AA505),"")</f>
        <v>0.182991084700716</v>
      </c>
    </row>
    <row r="506" customFormat="false" ht="15" hidden="false" customHeight="true" outlineLevel="0" collapsed="false">
      <c r="A506" s="1" t="s">
        <v>274</v>
      </c>
      <c r="B506" s="46" t="n">
        <v>45869</v>
      </c>
      <c r="C506" s="46" t="n">
        <v>45958</v>
      </c>
      <c r="D506" s="47"/>
      <c r="E506" s="47"/>
      <c r="F506" s="47"/>
      <c r="G506" s="47"/>
      <c r="H506" s="47"/>
      <c r="I506" s="47"/>
      <c r="J506" s="48"/>
      <c r="K506" s="47"/>
      <c r="L506" s="48"/>
      <c r="M506" s="48"/>
      <c r="N506" s="47"/>
      <c r="O506" s="47" t="str">
        <f aca="false">IF(AND(ISNUMBER(G506),ISNUMBER(N506)),G506-N506,"")</f>
        <v/>
      </c>
      <c r="P506" s="49" t="str">
        <f aca="false">IF(ISNUMBER(O506),O506/N506,"")</f>
        <v/>
      </c>
      <c r="Q506" s="50" t="n">
        <f aca="false">C506-B506</f>
        <v>89</v>
      </c>
      <c r="R506" s="51" t="str">
        <f aca="false">IF(AND(C506=C505,ISNUMBER(G506),ISNUMBER(G505)),(G506/G505-1)*100,"")</f>
        <v/>
      </c>
      <c r="S506" s="51" t="str">
        <f aca="false">IF(AND(C506=C505,ISNUMBER(L506),ISNUMBER(L505)),(L506/L505-1)*100,"")</f>
        <v/>
      </c>
      <c r="T506" s="51" t="str">
        <f aca="false">IF(AND(C506=C505,ISNUMBER(G506),ISNUMBER(G505)),G506-G505,"")</f>
        <v/>
      </c>
      <c r="U506" s="1" t="str">
        <f aca="false">IF(OR(NOT(ISNUMBER(R506)),NOT(ISNUMBER(S506))),"Not classified",IF(AND(R506&gt;0,S506&gt;0),"Long buildup (interpretation)",IF(AND(R506&lt;0,S506&gt;0),"Short buildup (interpretation)",IF(AND(R506&gt;0,S506&lt;0),"Short covering (interpretation)",IF(AND(R506&lt;0,S506&lt;0),"Long unwinding (interpretation)","Neutral")))))</f>
        <v>Not classified</v>
      </c>
      <c r="V506" s="52" t="str">
        <f aca="false">TEXT(B506,"yyyy-mm")</f>
        <v>2025-07</v>
      </c>
      <c r="W506" s="52" t="n">
        <f aca="false">1+COUNTIFS($B$2:$B$756,B506,$C$2:$C$756,"&lt;"&amp;C506)</f>
        <v>5</v>
      </c>
      <c r="X506" s="53" t="str">
        <f aca="false">IF(AND(ISNUMBER(P506),Q506&gt;0),P506*365/Q506,"")</f>
        <v/>
      </c>
      <c r="Y506" s="42" t="str">
        <f aca="false">IF(AND(C507=C506,ISNUMBER(R507)),R507,"")</f>
        <v/>
      </c>
      <c r="Z506" s="52" t="n">
        <f aca="false">IF(AND(W506=1,Q506&gt;Basis_Analysis!$B$3,ISNUMBER(Y506)),1,0)</f>
        <v>0</v>
      </c>
      <c r="AA506" s="43" t="str">
        <f aca="false">IF(W506=1,IF(SUMIFS($L$2:$L$756,$B$2:$B$756,B506,$W$2:$W$756,2)&gt;0,SUMIFS($L$2:$L$756,$B$2:$B$756,B506,$W$2:$W$756,2),""),"")</f>
        <v/>
      </c>
      <c r="AB506" s="54" t="str">
        <f aca="false">IF(AND(W506=1,ISNUMBER(AA506)),L506/(L506+AA506),"")</f>
        <v/>
      </c>
    </row>
    <row r="507" customFormat="false" ht="15" hidden="false" customHeight="true" outlineLevel="0" collapsed="false">
      <c r="A507" s="1" t="s">
        <v>274</v>
      </c>
      <c r="B507" s="46" t="n">
        <v>45870</v>
      </c>
      <c r="C507" s="46" t="n">
        <v>45958</v>
      </c>
      <c r="D507" s="47" t="n">
        <v>25017.4</v>
      </c>
      <c r="E507" s="47" t="n">
        <v>25104.1</v>
      </c>
      <c r="F507" s="47" t="n">
        <v>24862.7</v>
      </c>
      <c r="G507" s="47" t="n">
        <v>24892.4</v>
      </c>
      <c r="H507" s="47" t="n">
        <v>24878</v>
      </c>
      <c r="I507" s="47" t="n">
        <v>24892.4</v>
      </c>
      <c r="J507" s="48" t="n">
        <v>1658</v>
      </c>
      <c r="K507" s="47" t="n">
        <v>31073.92</v>
      </c>
      <c r="L507" s="48" t="n">
        <v>61125</v>
      </c>
      <c r="M507" s="48" t="n">
        <v>61125</v>
      </c>
      <c r="N507" s="47" t="n">
        <v>24565.35</v>
      </c>
      <c r="O507" s="47" t="n">
        <f aca="false">IF(AND(ISNUMBER(G507),ISNUMBER(N507)),G507-N507,"")</f>
        <v>327.050000000003</v>
      </c>
      <c r="P507" s="49" t="n">
        <f aca="false">IF(ISNUMBER(O507),O507/N507,"")</f>
        <v>0.0133134679538457</v>
      </c>
      <c r="Q507" s="50" t="n">
        <f aca="false">C507-B507</f>
        <v>88</v>
      </c>
      <c r="R507" s="51" t="str">
        <f aca="false">IF(AND(C507=C506,ISNUMBER(G507),ISNUMBER(G506)),(G507/G506-1)*100,"")</f>
        <v/>
      </c>
      <c r="S507" s="51" t="str">
        <f aca="false">IF(AND(C507=C506,ISNUMBER(L507),ISNUMBER(L506)),(L507/L506-1)*100,"")</f>
        <v/>
      </c>
      <c r="T507" s="51" t="str">
        <f aca="false">IF(AND(C507=C506,ISNUMBER(G507),ISNUMBER(G506)),G507-G506,"")</f>
        <v/>
      </c>
      <c r="U507" s="1" t="str">
        <f aca="false">IF(OR(NOT(ISNUMBER(R507)),NOT(ISNUMBER(S507))),"Not classified",IF(AND(R507&gt;0,S507&gt;0),"Long buildup (interpretation)",IF(AND(R507&lt;0,S507&gt;0),"Short buildup (interpretation)",IF(AND(R507&gt;0,S507&lt;0),"Short covering (interpretation)",IF(AND(R507&lt;0,S507&lt;0),"Long unwinding (interpretation)","Neutral")))))</f>
        <v>Not classified</v>
      </c>
      <c r="V507" s="52" t="str">
        <f aca="false">TEXT(B507,"yyyy-mm")</f>
        <v>2025-08</v>
      </c>
      <c r="W507" s="52" t="n">
        <f aca="false">1+COUNTIFS($B$2:$B$756,B507,$C$2:$C$756,"&lt;"&amp;C507)</f>
        <v>3</v>
      </c>
      <c r="X507" s="53" t="n">
        <f aca="false">IF(AND(ISNUMBER(P507),Q507&gt;0),P507*365/Q507,"")</f>
        <v>0.0552206341267463</v>
      </c>
      <c r="Y507" s="42" t="n">
        <f aca="false">IF(AND(C508=C507,ISNUMBER(R508)),R508,"")</f>
        <v>0.60018318844306</v>
      </c>
      <c r="Z507" s="52" t="n">
        <f aca="false">IF(AND(W507=1,Q507&gt;Basis_Analysis!$B$3,ISNUMBER(Y507)),1,0)</f>
        <v>0</v>
      </c>
      <c r="AA507" s="43" t="str">
        <f aca="false">IF(W507=1,IF(SUMIFS($L$2:$L$756,$B$2:$B$756,B507,$W$2:$W$756,2)&gt;0,SUMIFS($L$2:$L$756,$B$2:$B$756,B507,$W$2:$W$756,2),""),"")</f>
        <v/>
      </c>
      <c r="AB507" s="54" t="str">
        <f aca="false">IF(AND(W507=1,ISNUMBER(AA507)),L507/(L507+AA507),"")</f>
        <v/>
      </c>
    </row>
    <row r="508" customFormat="false" ht="15" hidden="false" customHeight="true" outlineLevel="0" collapsed="false">
      <c r="A508" s="1" t="s">
        <v>274</v>
      </c>
      <c r="B508" s="46" t="n">
        <v>45873</v>
      </c>
      <c r="C508" s="46" t="n">
        <v>45958</v>
      </c>
      <c r="D508" s="47" t="n">
        <v>24900</v>
      </c>
      <c r="E508" s="47" t="n">
        <v>25052.9</v>
      </c>
      <c r="F508" s="47" t="n">
        <v>24886.8</v>
      </c>
      <c r="G508" s="47" t="n">
        <v>25041.8</v>
      </c>
      <c r="H508" s="47" t="n">
        <v>25041.4</v>
      </c>
      <c r="I508" s="47" t="n">
        <v>25041.8</v>
      </c>
      <c r="J508" s="48" t="n">
        <v>1269</v>
      </c>
      <c r="K508" s="47" t="n">
        <v>23787.38</v>
      </c>
      <c r="L508" s="48" t="n">
        <v>107850</v>
      </c>
      <c r="M508" s="48" t="n">
        <v>46725</v>
      </c>
      <c r="N508" s="47" t="n">
        <v>24722.75</v>
      </c>
      <c r="O508" s="47" t="n">
        <f aca="false">IF(AND(ISNUMBER(G508),ISNUMBER(N508)),G508-N508,"")</f>
        <v>319.049999999999</v>
      </c>
      <c r="P508" s="49" t="n">
        <f aca="false">IF(ISNUMBER(O508),O508/N508,"")</f>
        <v>0.012905117755913</v>
      </c>
      <c r="Q508" s="50" t="n">
        <f aca="false">C508-B508</f>
        <v>85</v>
      </c>
      <c r="R508" s="51" t="n">
        <f aca="false">IF(AND(C508=C507,ISNUMBER(G508),ISNUMBER(G507)),(G508/G507-1)*100,"")</f>
        <v>0.60018318844306</v>
      </c>
      <c r="S508" s="51" t="n">
        <f aca="false">IF(AND(C508=C507,ISNUMBER(L508),ISNUMBER(L507)),(L508/L507-1)*100,"")</f>
        <v>76.4417177914111</v>
      </c>
      <c r="T508" s="51" t="n">
        <f aca="false">IF(AND(C508=C507,ISNUMBER(G508),ISNUMBER(G507)),G508-G507,"")</f>
        <v>149.399999999998</v>
      </c>
      <c r="U508" s="1" t="str">
        <f aca="false">IF(OR(NOT(ISNUMBER(R508)),NOT(ISNUMBER(S508))),"Not classified",IF(AND(R508&gt;0,S508&gt;0),"Long buildup (interpretation)",IF(AND(R508&lt;0,S508&gt;0),"Short buildup (interpretation)",IF(AND(R508&gt;0,S508&lt;0),"Short covering (interpretation)",IF(AND(R508&lt;0,S508&lt;0),"Long unwinding (interpretation)","Neutral")))))</f>
        <v>Long buildup (interpretation)</v>
      </c>
      <c r="V508" s="52" t="str">
        <f aca="false">TEXT(B508,"yyyy-mm")</f>
        <v>2025-08</v>
      </c>
      <c r="W508" s="52" t="n">
        <f aca="false">1+COUNTIFS($B$2:$B$756,B508,$C$2:$C$756,"&lt;"&amp;C508)</f>
        <v>3</v>
      </c>
      <c r="X508" s="53" t="n">
        <f aca="false">IF(AND(ISNUMBER(P508),Q508&gt;0),P508*365/Q508,"")</f>
        <v>0.0554160938930384</v>
      </c>
      <c r="Y508" s="42" t="n">
        <f aca="false">IF(AND(C509=C508,ISNUMBER(R509)),R509,"")</f>
        <v>-0.327851831737325</v>
      </c>
      <c r="Z508" s="52" t="n">
        <f aca="false">IF(AND(W508=1,Q508&gt;Basis_Analysis!$B$3,ISNUMBER(Y508)),1,0)</f>
        <v>0</v>
      </c>
      <c r="AA508" s="43" t="str">
        <f aca="false">IF(W508=1,IF(SUMIFS($L$2:$L$756,$B$2:$B$756,B508,$W$2:$W$756,2)&gt;0,SUMIFS($L$2:$L$756,$B$2:$B$756,B508,$W$2:$W$756,2),""),"")</f>
        <v/>
      </c>
      <c r="AB508" s="54" t="str">
        <f aca="false">IF(AND(W508=1,ISNUMBER(AA508)),L508/(L508+AA508),"")</f>
        <v/>
      </c>
    </row>
    <row r="509" customFormat="false" ht="15" hidden="false" customHeight="true" outlineLevel="0" collapsed="false">
      <c r="A509" s="1" t="s">
        <v>274</v>
      </c>
      <c r="B509" s="46" t="n">
        <v>45874</v>
      </c>
      <c r="C509" s="46" t="n">
        <v>45958</v>
      </c>
      <c r="D509" s="47" t="n">
        <v>24996.2</v>
      </c>
      <c r="E509" s="47" t="n">
        <v>25030</v>
      </c>
      <c r="F509" s="47" t="n">
        <v>24904.5</v>
      </c>
      <c r="G509" s="47" t="n">
        <v>24959.7</v>
      </c>
      <c r="H509" s="47" t="n">
        <v>24968</v>
      </c>
      <c r="I509" s="47" t="n">
        <v>24959.7</v>
      </c>
      <c r="J509" s="48" t="n">
        <v>1135</v>
      </c>
      <c r="K509" s="47" t="n">
        <v>21234.35</v>
      </c>
      <c r="L509" s="48" t="n">
        <v>125925</v>
      </c>
      <c r="M509" s="48" t="n">
        <v>18075</v>
      </c>
      <c r="N509" s="47" t="n">
        <v>24649.55</v>
      </c>
      <c r="O509" s="47" t="n">
        <f aca="false">IF(AND(ISNUMBER(G509),ISNUMBER(N509)),G509-N509,"")</f>
        <v>310.150000000001</v>
      </c>
      <c r="P509" s="49" t="n">
        <f aca="false">IF(ISNUMBER(O509),O509/N509,"")</f>
        <v>0.012582379800037</v>
      </c>
      <c r="Q509" s="50" t="n">
        <f aca="false">C509-B509</f>
        <v>84</v>
      </c>
      <c r="R509" s="51" t="n">
        <f aca="false">IF(AND(C509=C508,ISNUMBER(G509),ISNUMBER(G508)),(G509/G508-1)*100,"")</f>
        <v>-0.327851831737325</v>
      </c>
      <c r="S509" s="51" t="n">
        <f aca="false">IF(AND(C509=C508,ISNUMBER(L509),ISNUMBER(L508)),(L509/L508-1)*100,"")</f>
        <v>16.759388038943</v>
      </c>
      <c r="T509" s="51" t="n">
        <f aca="false">IF(AND(C509=C508,ISNUMBER(G509),ISNUMBER(G508)),G509-G508,"")</f>
        <v>-82.0999999999985</v>
      </c>
      <c r="U509" s="1" t="str">
        <f aca="false">IF(OR(NOT(ISNUMBER(R509)),NOT(ISNUMBER(S509))),"Not classified",IF(AND(R509&gt;0,S509&gt;0),"Long buildup (interpretation)",IF(AND(R509&lt;0,S509&gt;0),"Short buildup (interpretation)",IF(AND(R509&gt;0,S509&lt;0),"Short covering (interpretation)",IF(AND(R509&lt;0,S509&lt;0),"Long unwinding (interpretation)","Neutral")))))</f>
        <v>Short buildup (interpretation)</v>
      </c>
      <c r="V509" s="52" t="str">
        <f aca="false">TEXT(B509,"yyyy-mm")</f>
        <v>2025-08</v>
      </c>
      <c r="W509" s="52" t="n">
        <f aca="false">1+COUNTIFS($B$2:$B$756,B509,$C$2:$C$756,"&lt;"&amp;C509)</f>
        <v>3</v>
      </c>
      <c r="X509" s="53" t="n">
        <f aca="false">IF(AND(ISNUMBER(P509),Q509&gt;0),P509*365/Q509,"")</f>
        <v>0.054673436035875</v>
      </c>
      <c r="Y509" s="42" t="n">
        <f aca="false">IF(AND(C510=C509,ISNUMBER(R510)),R510,"")</f>
        <v>-0.282855963813677</v>
      </c>
      <c r="Z509" s="52" t="n">
        <f aca="false">IF(AND(W509=1,Q509&gt;Basis_Analysis!$B$3,ISNUMBER(Y509)),1,0)</f>
        <v>0</v>
      </c>
      <c r="AA509" s="43" t="str">
        <f aca="false">IF(W509=1,IF(SUMIFS($L$2:$L$756,$B$2:$B$756,B509,$W$2:$W$756,2)&gt;0,SUMIFS($L$2:$L$756,$B$2:$B$756,B509,$W$2:$W$756,2),""),"")</f>
        <v/>
      </c>
      <c r="AB509" s="54" t="str">
        <f aca="false">IF(AND(W509=1,ISNUMBER(AA509)),L509/(L509+AA509),"")</f>
        <v/>
      </c>
    </row>
    <row r="510" customFormat="false" ht="15" hidden="false" customHeight="true" outlineLevel="0" collapsed="false">
      <c r="A510" s="1" t="s">
        <v>274</v>
      </c>
      <c r="B510" s="46" t="n">
        <v>45875</v>
      </c>
      <c r="C510" s="46" t="n">
        <v>45958</v>
      </c>
      <c r="D510" s="47" t="n">
        <v>24960</v>
      </c>
      <c r="E510" s="47" t="n">
        <v>24988</v>
      </c>
      <c r="F510" s="47" t="n">
        <v>24876</v>
      </c>
      <c r="G510" s="47" t="n">
        <v>24889.1</v>
      </c>
      <c r="H510" s="47" t="n">
        <v>24880</v>
      </c>
      <c r="I510" s="47" t="n">
        <v>24889.1</v>
      </c>
      <c r="J510" s="48" t="n">
        <v>1350</v>
      </c>
      <c r="K510" s="47" t="n">
        <v>25224.35</v>
      </c>
      <c r="L510" s="48" t="n">
        <v>154575</v>
      </c>
      <c r="M510" s="48" t="n">
        <v>28650</v>
      </c>
      <c r="N510" s="47" t="n">
        <v>24574.2</v>
      </c>
      <c r="O510" s="47" t="n">
        <f aca="false">IF(AND(ISNUMBER(G510),ISNUMBER(N510)),G510-N510,"")</f>
        <v>314.899999999998</v>
      </c>
      <c r="P510" s="49" t="n">
        <f aca="false">IF(ISNUMBER(O510),O510/N510,"")</f>
        <v>0.0128142523459562</v>
      </c>
      <c r="Q510" s="50" t="n">
        <f aca="false">C510-B510</f>
        <v>83</v>
      </c>
      <c r="R510" s="51" t="n">
        <f aca="false">IF(AND(C510=C509,ISNUMBER(G510),ISNUMBER(G509)),(G510/G509-1)*100,"")</f>
        <v>-0.282855963813677</v>
      </c>
      <c r="S510" s="51" t="n">
        <f aca="false">IF(AND(C510=C509,ISNUMBER(L510),ISNUMBER(L509)),(L510/L509-1)*100,"")</f>
        <v>22.7516378796903</v>
      </c>
      <c r="T510" s="51" t="n">
        <f aca="false">IF(AND(C510=C509,ISNUMBER(G510),ISNUMBER(G509)),G510-G509,"")</f>
        <v>-70.6000000000022</v>
      </c>
      <c r="U510" s="1" t="str">
        <f aca="false">IF(OR(NOT(ISNUMBER(R510)),NOT(ISNUMBER(S510))),"Not classified",IF(AND(R510&gt;0,S510&gt;0),"Long buildup (interpretation)",IF(AND(R510&lt;0,S510&gt;0),"Short buildup (interpretation)",IF(AND(R510&gt;0,S510&lt;0),"Short covering (interpretation)",IF(AND(R510&lt;0,S510&lt;0),"Long unwinding (interpretation)","Neutral")))))</f>
        <v>Short buildup (interpretation)</v>
      </c>
      <c r="V510" s="52" t="str">
        <f aca="false">TEXT(B510,"yyyy-mm")</f>
        <v>2025-08</v>
      </c>
      <c r="W510" s="52" t="n">
        <f aca="false">1+COUNTIFS($B$2:$B$756,B510,$C$2:$C$756,"&lt;"&amp;C510)</f>
        <v>3</v>
      </c>
      <c r="X510" s="53" t="n">
        <f aca="false">IF(AND(ISNUMBER(P510),Q510&gt;0),P510*365/Q510,"")</f>
        <v>0.0563518326057112</v>
      </c>
      <c r="Y510" s="42" t="n">
        <f aca="false">IF(AND(C511=C510,ISNUMBER(R511)),R511,"")</f>
        <v>0.129775684938394</v>
      </c>
      <c r="Z510" s="52" t="n">
        <f aca="false">IF(AND(W510=1,Q510&gt;Basis_Analysis!$B$3,ISNUMBER(Y510)),1,0)</f>
        <v>0</v>
      </c>
      <c r="AA510" s="43" t="str">
        <f aca="false">IF(W510=1,IF(SUMIFS($L$2:$L$756,$B$2:$B$756,B510,$W$2:$W$756,2)&gt;0,SUMIFS($L$2:$L$756,$B$2:$B$756,B510,$W$2:$W$756,2),""),"")</f>
        <v/>
      </c>
      <c r="AB510" s="54" t="str">
        <f aca="false">IF(AND(W510=1,ISNUMBER(AA510)),L510/(L510+AA510),"")</f>
        <v/>
      </c>
    </row>
    <row r="511" customFormat="false" ht="15" hidden="false" customHeight="true" outlineLevel="0" collapsed="false">
      <c r="A511" s="1" t="s">
        <v>274</v>
      </c>
      <c r="B511" s="46" t="n">
        <v>45876</v>
      </c>
      <c r="C511" s="46" t="n">
        <v>45958</v>
      </c>
      <c r="D511" s="47" t="n">
        <v>24812.1</v>
      </c>
      <c r="E511" s="47" t="n">
        <v>24967</v>
      </c>
      <c r="F511" s="47" t="n">
        <v>24660.1</v>
      </c>
      <c r="G511" s="47" t="n">
        <v>24921.4</v>
      </c>
      <c r="H511" s="47" t="n">
        <v>24953.2</v>
      </c>
      <c r="I511" s="47" t="n">
        <v>24921.4</v>
      </c>
      <c r="J511" s="48" t="n">
        <v>3201</v>
      </c>
      <c r="K511" s="47" t="n">
        <v>59521.4</v>
      </c>
      <c r="L511" s="48" t="n">
        <v>197025</v>
      </c>
      <c r="M511" s="48" t="n">
        <v>42450</v>
      </c>
      <c r="N511" s="47" t="n">
        <v>24596.15</v>
      </c>
      <c r="O511" s="47" t="n">
        <f aca="false">IF(AND(ISNUMBER(G511),ISNUMBER(N511)),G511-N511,"")</f>
        <v>325.25</v>
      </c>
      <c r="P511" s="49" t="n">
        <f aca="false">IF(ISNUMBER(O511),O511/N511,"")</f>
        <v>0.0132236142648341</v>
      </c>
      <c r="Q511" s="50" t="n">
        <f aca="false">C511-B511</f>
        <v>82</v>
      </c>
      <c r="R511" s="51" t="n">
        <f aca="false">IF(AND(C511=C510,ISNUMBER(G511),ISNUMBER(G510)),(G511/G510-1)*100,"")</f>
        <v>0.129775684938394</v>
      </c>
      <c r="S511" s="51" t="n">
        <f aca="false">IF(AND(C511=C510,ISNUMBER(L511),ISNUMBER(L510)),(L511/L510-1)*100,"")</f>
        <v>27.4623968947113</v>
      </c>
      <c r="T511" s="51" t="n">
        <f aca="false">IF(AND(C511=C510,ISNUMBER(G511),ISNUMBER(G510)),G511-G510,"")</f>
        <v>32.3000000000029</v>
      </c>
      <c r="U511" s="1" t="str">
        <f aca="false">IF(OR(NOT(ISNUMBER(R511)),NOT(ISNUMBER(S511))),"Not classified",IF(AND(R511&gt;0,S511&gt;0),"Long buildup (interpretation)",IF(AND(R511&lt;0,S511&gt;0),"Short buildup (interpretation)",IF(AND(R511&gt;0,S511&lt;0),"Short covering (interpretation)",IF(AND(R511&lt;0,S511&lt;0),"Long unwinding (interpretation)","Neutral")))))</f>
        <v>Long buildup (interpretation)</v>
      </c>
      <c r="V511" s="52" t="str">
        <f aca="false">TEXT(B511,"yyyy-mm")</f>
        <v>2025-08</v>
      </c>
      <c r="W511" s="52" t="n">
        <f aca="false">1+COUNTIFS($B$2:$B$756,B511,$C$2:$C$756,"&lt;"&amp;C511)</f>
        <v>3</v>
      </c>
      <c r="X511" s="53" t="n">
        <f aca="false">IF(AND(ISNUMBER(P511),Q511&gt;0),P511*365/Q511,"")</f>
        <v>0.0588612098373714</v>
      </c>
      <c r="Y511" s="42" t="n">
        <f aca="false">IF(AND(C512=C511,ISNUMBER(R512)),R512,"")</f>
        <v>-0.914876371311402</v>
      </c>
      <c r="Z511" s="52" t="n">
        <f aca="false">IF(AND(W511=1,Q511&gt;Basis_Analysis!$B$3,ISNUMBER(Y511)),1,0)</f>
        <v>0</v>
      </c>
      <c r="AA511" s="43" t="str">
        <f aca="false">IF(W511=1,IF(SUMIFS($L$2:$L$756,$B$2:$B$756,B511,$W$2:$W$756,2)&gt;0,SUMIFS($L$2:$L$756,$B$2:$B$756,B511,$W$2:$W$756,2),""),"")</f>
        <v/>
      </c>
      <c r="AB511" s="54" t="str">
        <f aca="false">IF(AND(W511=1,ISNUMBER(AA511)),L511/(L511+AA511),"")</f>
        <v/>
      </c>
    </row>
    <row r="512" customFormat="false" ht="15" hidden="false" customHeight="true" outlineLevel="0" collapsed="false">
      <c r="A512" s="1" t="s">
        <v>274</v>
      </c>
      <c r="B512" s="46" t="n">
        <v>45877</v>
      </c>
      <c r="C512" s="46" t="n">
        <v>45958</v>
      </c>
      <c r="D512" s="47" t="n">
        <v>24851</v>
      </c>
      <c r="E512" s="47" t="n">
        <v>24905.5</v>
      </c>
      <c r="F512" s="47" t="n">
        <v>24675</v>
      </c>
      <c r="G512" s="47" t="n">
        <v>24693.4</v>
      </c>
      <c r="H512" s="47" t="n">
        <v>24681.6</v>
      </c>
      <c r="I512" s="47" t="n">
        <v>24693.4</v>
      </c>
      <c r="J512" s="48" t="n">
        <v>1875</v>
      </c>
      <c r="K512" s="47" t="n">
        <v>34828.62</v>
      </c>
      <c r="L512" s="48" t="n">
        <v>222975</v>
      </c>
      <c r="M512" s="48" t="n">
        <v>25950</v>
      </c>
      <c r="N512" s="47" t="n">
        <v>24363.3</v>
      </c>
      <c r="O512" s="47" t="n">
        <f aca="false">IF(AND(ISNUMBER(G512),ISNUMBER(N512)),G512-N512,"")</f>
        <v>330.100000000002</v>
      </c>
      <c r="P512" s="49" t="n">
        <f aca="false">IF(ISNUMBER(O512),O512/N512,"")</f>
        <v>0.0135490676550386</v>
      </c>
      <c r="Q512" s="50" t="n">
        <f aca="false">C512-B512</f>
        <v>81</v>
      </c>
      <c r="R512" s="51" t="n">
        <f aca="false">IF(AND(C512=C511,ISNUMBER(G512),ISNUMBER(G511)),(G512/G511-1)*100,"")</f>
        <v>-0.914876371311402</v>
      </c>
      <c r="S512" s="51" t="n">
        <f aca="false">IF(AND(C512=C511,ISNUMBER(L512),ISNUMBER(L511)),(L512/L511-1)*100,"")</f>
        <v>13.1709173962695</v>
      </c>
      <c r="T512" s="51" t="n">
        <f aca="false">IF(AND(C512=C511,ISNUMBER(G512),ISNUMBER(G511)),G512-G511,"")</f>
        <v>-228</v>
      </c>
      <c r="U512" s="1" t="str">
        <f aca="false">IF(OR(NOT(ISNUMBER(R512)),NOT(ISNUMBER(S512))),"Not classified",IF(AND(R512&gt;0,S512&gt;0),"Long buildup (interpretation)",IF(AND(R512&lt;0,S512&gt;0),"Short buildup (interpretation)",IF(AND(R512&gt;0,S512&lt;0),"Short covering (interpretation)",IF(AND(R512&lt;0,S512&lt;0),"Long unwinding (interpretation)","Neutral")))))</f>
        <v>Short buildup (interpretation)</v>
      </c>
      <c r="V512" s="52" t="str">
        <f aca="false">TEXT(B512,"yyyy-mm")</f>
        <v>2025-08</v>
      </c>
      <c r="W512" s="52" t="n">
        <f aca="false">1+COUNTIFS($B$2:$B$756,B512,$C$2:$C$756,"&lt;"&amp;C512)</f>
        <v>3</v>
      </c>
      <c r="X512" s="53" t="n">
        <f aca="false">IF(AND(ISNUMBER(P512),Q512&gt;0),P512*365/Q512,"")</f>
        <v>0.0610544406677666</v>
      </c>
      <c r="Y512" s="42" t="n">
        <f aca="false">IF(AND(C513=C512,ISNUMBER(R513)),R513,"")</f>
        <v>0.692087764341887</v>
      </c>
      <c r="Z512" s="52" t="n">
        <f aca="false">IF(AND(W512=1,Q512&gt;Basis_Analysis!$B$3,ISNUMBER(Y512)),1,0)</f>
        <v>0</v>
      </c>
      <c r="AA512" s="43" t="str">
        <f aca="false">IF(W512=1,IF(SUMIFS($L$2:$L$756,$B$2:$B$756,B512,$W$2:$W$756,2)&gt;0,SUMIFS($L$2:$L$756,$B$2:$B$756,B512,$W$2:$W$756,2),""),"")</f>
        <v/>
      </c>
      <c r="AB512" s="54" t="str">
        <f aca="false">IF(AND(W512=1,ISNUMBER(AA512)),L512/(L512+AA512),"")</f>
        <v/>
      </c>
    </row>
    <row r="513" customFormat="false" ht="15" hidden="false" customHeight="true" outlineLevel="0" collapsed="false">
      <c r="A513" s="1" t="s">
        <v>274</v>
      </c>
      <c r="B513" s="46" t="n">
        <v>45880</v>
      </c>
      <c r="C513" s="46" t="n">
        <v>45958</v>
      </c>
      <c r="D513" s="47" t="n">
        <v>24736.9</v>
      </c>
      <c r="E513" s="47" t="n">
        <v>24884.9</v>
      </c>
      <c r="F513" s="47" t="n">
        <v>24671.1</v>
      </c>
      <c r="G513" s="47" t="n">
        <v>24864.3</v>
      </c>
      <c r="H513" s="47" t="n">
        <v>24850</v>
      </c>
      <c r="I513" s="47" t="n">
        <v>24864.3</v>
      </c>
      <c r="J513" s="48" t="n">
        <v>1762</v>
      </c>
      <c r="K513" s="47" t="n">
        <v>32750.85</v>
      </c>
      <c r="L513" s="48" t="n">
        <v>242475</v>
      </c>
      <c r="M513" s="48" t="n">
        <v>19500</v>
      </c>
      <c r="N513" s="47" t="n">
        <v>24585.05</v>
      </c>
      <c r="O513" s="47" t="n">
        <f aca="false">IF(AND(ISNUMBER(G513),ISNUMBER(N513)),G513-N513,"")</f>
        <v>279.25</v>
      </c>
      <c r="P513" s="49" t="n">
        <f aca="false">IF(ISNUMBER(O513),O513/N513,"")</f>
        <v>0.0113585288620523</v>
      </c>
      <c r="Q513" s="50" t="n">
        <f aca="false">C513-B513</f>
        <v>78</v>
      </c>
      <c r="R513" s="51" t="n">
        <f aca="false">IF(AND(C513=C512,ISNUMBER(G513),ISNUMBER(G512)),(G513/G512-1)*100,"")</f>
        <v>0.692087764341887</v>
      </c>
      <c r="S513" s="51" t="n">
        <f aca="false">IF(AND(C513=C512,ISNUMBER(L513),ISNUMBER(L512)),(L513/L512-1)*100,"")</f>
        <v>8.74537504204507</v>
      </c>
      <c r="T513" s="51" t="n">
        <f aca="false">IF(AND(C513=C512,ISNUMBER(G513),ISNUMBER(G512)),G513-G512,"")</f>
        <v>170.899999999998</v>
      </c>
      <c r="U513" s="1" t="str">
        <f aca="false">IF(OR(NOT(ISNUMBER(R513)),NOT(ISNUMBER(S513))),"Not classified",IF(AND(R513&gt;0,S513&gt;0),"Long buildup (interpretation)",IF(AND(R513&lt;0,S513&gt;0),"Short buildup (interpretation)",IF(AND(R513&gt;0,S513&lt;0),"Short covering (interpretation)",IF(AND(R513&lt;0,S513&lt;0),"Long unwinding (interpretation)","Neutral")))))</f>
        <v>Long buildup (interpretation)</v>
      </c>
      <c r="V513" s="52" t="str">
        <f aca="false">TEXT(B513,"yyyy-mm")</f>
        <v>2025-08</v>
      </c>
      <c r="W513" s="52" t="n">
        <f aca="false">1+COUNTIFS($B$2:$B$756,B513,$C$2:$C$756,"&lt;"&amp;C513)</f>
        <v>3</v>
      </c>
      <c r="X513" s="53" t="n">
        <f aca="false">IF(AND(ISNUMBER(P513),Q513&gt;0),P513*365/Q513,"")</f>
        <v>0.0531520901878091</v>
      </c>
      <c r="Y513" s="42" t="n">
        <f aca="false">IF(AND(C514=C513,ISNUMBER(R514)),R514,"")</f>
        <v>-0.237287999259983</v>
      </c>
      <c r="Z513" s="52" t="n">
        <f aca="false">IF(AND(W513=1,Q513&gt;Basis_Analysis!$B$3,ISNUMBER(Y513)),1,0)</f>
        <v>0</v>
      </c>
      <c r="AA513" s="43" t="str">
        <f aca="false">IF(W513=1,IF(SUMIFS($L$2:$L$756,$B$2:$B$756,B513,$W$2:$W$756,2)&gt;0,SUMIFS($L$2:$L$756,$B$2:$B$756,B513,$W$2:$W$756,2),""),"")</f>
        <v/>
      </c>
      <c r="AB513" s="54" t="str">
        <f aca="false">IF(AND(W513=1,ISNUMBER(AA513)),L513/(L513+AA513),"")</f>
        <v/>
      </c>
    </row>
    <row r="514" customFormat="false" ht="15" hidden="false" customHeight="true" outlineLevel="0" collapsed="false">
      <c r="A514" s="1" t="s">
        <v>274</v>
      </c>
      <c r="B514" s="46" t="n">
        <v>45881</v>
      </c>
      <c r="C514" s="46" t="n">
        <v>45958</v>
      </c>
      <c r="D514" s="47" t="n">
        <v>24864.3</v>
      </c>
      <c r="E514" s="47" t="n">
        <v>25009.9</v>
      </c>
      <c r="F514" s="47" t="n">
        <v>24795.1</v>
      </c>
      <c r="G514" s="47" t="n">
        <v>24805.3</v>
      </c>
      <c r="H514" s="47" t="n">
        <v>24800</v>
      </c>
      <c r="I514" s="47" t="n">
        <v>24805.3</v>
      </c>
      <c r="J514" s="48" t="n">
        <v>2013</v>
      </c>
      <c r="K514" s="47" t="n">
        <v>37580.78</v>
      </c>
      <c r="L514" s="48" t="n">
        <v>249000</v>
      </c>
      <c r="M514" s="48" t="n">
        <v>6525</v>
      </c>
      <c r="N514" s="47" t="n">
        <v>24487.4</v>
      </c>
      <c r="O514" s="47" t="n">
        <f aca="false">IF(AND(ISNUMBER(G514),ISNUMBER(N514)),G514-N514,"")</f>
        <v>317.899999999998</v>
      </c>
      <c r="P514" s="49" t="n">
        <f aca="false">IF(ISNUMBER(O514),O514/N514,"")</f>
        <v>0.012982186757271</v>
      </c>
      <c r="Q514" s="50" t="n">
        <f aca="false">C514-B514</f>
        <v>77</v>
      </c>
      <c r="R514" s="51" t="n">
        <f aca="false">IF(AND(C514=C513,ISNUMBER(G514),ISNUMBER(G513)),(G514/G513-1)*100,"")</f>
        <v>-0.237287999259983</v>
      </c>
      <c r="S514" s="51" t="n">
        <f aca="false">IF(AND(C514=C513,ISNUMBER(L514),ISNUMBER(L513)),(L514/L513-1)*100,"")</f>
        <v>2.69099907206929</v>
      </c>
      <c r="T514" s="51" t="n">
        <f aca="false">IF(AND(C514=C513,ISNUMBER(G514),ISNUMBER(G513)),G514-G513,"")</f>
        <v>-59</v>
      </c>
      <c r="U514" s="1" t="str">
        <f aca="false">IF(OR(NOT(ISNUMBER(R514)),NOT(ISNUMBER(S514))),"Not classified",IF(AND(R514&gt;0,S514&gt;0),"Long buildup (interpretation)",IF(AND(R514&lt;0,S514&gt;0),"Short buildup (interpretation)",IF(AND(R514&gt;0,S514&lt;0),"Short covering (interpretation)",IF(AND(R514&lt;0,S514&lt;0),"Long unwinding (interpretation)","Neutral")))))</f>
        <v>Short buildup (interpretation)</v>
      </c>
      <c r="V514" s="52" t="str">
        <f aca="false">TEXT(B514,"yyyy-mm")</f>
        <v>2025-08</v>
      </c>
      <c r="W514" s="52" t="n">
        <f aca="false">1+COUNTIFS($B$2:$B$756,B514,$C$2:$C$756,"&lt;"&amp;C514)</f>
        <v>3</v>
      </c>
      <c r="X514" s="53" t="n">
        <f aca="false">IF(AND(ISNUMBER(P514),Q514&gt;0),P514*365/Q514,"")</f>
        <v>0.0615389372260249</v>
      </c>
      <c r="Y514" s="42" t="n">
        <f aca="false">IF(AND(C515=C514,ISNUMBER(R515)),R515,"")</f>
        <v>0.614787968700248</v>
      </c>
      <c r="Z514" s="52" t="n">
        <f aca="false">IF(AND(W514=1,Q514&gt;Basis_Analysis!$B$3,ISNUMBER(Y514)),1,0)</f>
        <v>0</v>
      </c>
      <c r="AA514" s="43" t="str">
        <f aca="false">IF(W514=1,IF(SUMIFS($L$2:$L$756,$B$2:$B$756,B514,$W$2:$W$756,2)&gt;0,SUMIFS($L$2:$L$756,$B$2:$B$756,B514,$W$2:$W$756,2),""),"")</f>
        <v/>
      </c>
      <c r="AB514" s="54" t="str">
        <f aca="false">IF(AND(W514=1,ISNUMBER(AA514)),L514/(L514+AA514),"")</f>
        <v/>
      </c>
    </row>
    <row r="515" customFormat="false" ht="15" hidden="false" customHeight="true" outlineLevel="0" collapsed="false">
      <c r="A515" s="1" t="s">
        <v>274</v>
      </c>
      <c r="B515" s="46" t="n">
        <v>45882</v>
      </c>
      <c r="C515" s="46" t="n">
        <v>45958</v>
      </c>
      <c r="D515" s="47" t="n">
        <v>24913.6</v>
      </c>
      <c r="E515" s="47" t="n">
        <v>24988</v>
      </c>
      <c r="F515" s="47" t="n">
        <v>24855</v>
      </c>
      <c r="G515" s="47" t="n">
        <v>24957.8</v>
      </c>
      <c r="H515" s="47" t="n">
        <v>24957.6</v>
      </c>
      <c r="I515" s="47" t="n">
        <v>24957.8</v>
      </c>
      <c r="J515" s="48" t="n">
        <v>1498</v>
      </c>
      <c r="K515" s="47" t="n">
        <v>28013.48</v>
      </c>
      <c r="L515" s="48" t="n">
        <v>265125</v>
      </c>
      <c r="M515" s="48" t="n">
        <v>16125</v>
      </c>
      <c r="N515" s="47" t="n">
        <v>24619.35</v>
      </c>
      <c r="O515" s="47" t="n">
        <f aca="false">IF(AND(ISNUMBER(G515),ISNUMBER(N515)),G515-N515,"")</f>
        <v>338.450000000001</v>
      </c>
      <c r="P515" s="49" t="n">
        <f aca="false">IF(ISNUMBER(O515),O515/N515,"")</f>
        <v>0.0137473166432095</v>
      </c>
      <c r="Q515" s="50" t="n">
        <f aca="false">C515-B515</f>
        <v>76</v>
      </c>
      <c r="R515" s="51" t="n">
        <f aca="false">IF(AND(C515=C514,ISNUMBER(G515),ISNUMBER(G514)),(G515/G514-1)*100,"")</f>
        <v>0.614787968700248</v>
      </c>
      <c r="S515" s="51" t="n">
        <f aca="false">IF(AND(C515=C514,ISNUMBER(L515),ISNUMBER(L514)),(L515/L514-1)*100,"")</f>
        <v>6.47590361445782</v>
      </c>
      <c r="T515" s="51" t="n">
        <f aca="false">IF(AND(C515=C514,ISNUMBER(G515),ISNUMBER(G514)),G515-G514,"")</f>
        <v>152.5</v>
      </c>
      <c r="U515" s="1" t="str">
        <f aca="false">IF(OR(NOT(ISNUMBER(R515)),NOT(ISNUMBER(S515))),"Not classified",IF(AND(R515&gt;0,S515&gt;0),"Long buildup (interpretation)",IF(AND(R515&lt;0,S515&gt;0),"Short buildup (interpretation)",IF(AND(R515&gt;0,S515&lt;0),"Short covering (interpretation)",IF(AND(R515&lt;0,S515&lt;0),"Long unwinding (interpretation)","Neutral")))))</f>
        <v>Long buildup (interpretation)</v>
      </c>
      <c r="V515" s="52" t="str">
        <f aca="false">TEXT(B515,"yyyy-mm")</f>
        <v>2025-08</v>
      </c>
      <c r="W515" s="52" t="n">
        <f aca="false">1+COUNTIFS($B$2:$B$756,B515,$C$2:$C$756,"&lt;"&amp;C515)</f>
        <v>3</v>
      </c>
      <c r="X515" s="53" t="n">
        <f aca="false">IF(AND(ISNUMBER(P515),Q515&gt;0),P515*365/Q515,"")</f>
        <v>0.0660232970364669</v>
      </c>
      <c r="Y515" s="42" t="n">
        <f aca="false">IF(AND(C516=C515,ISNUMBER(R516)),R516,"")</f>
        <v>-0.0837413554079181</v>
      </c>
      <c r="Z515" s="52" t="n">
        <f aca="false">IF(AND(W515=1,Q515&gt;Basis_Analysis!$B$3,ISNUMBER(Y515)),1,0)</f>
        <v>0</v>
      </c>
      <c r="AA515" s="43" t="str">
        <f aca="false">IF(W515=1,IF(SUMIFS($L$2:$L$756,$B$2:$B$756,B515,$W$2:$W$756,2)&gt;0,SUMIFS($L$2:$L$756,$B$2:$B$756,B515,$W$2:$W$756,2),""),"")</f>
        <v/>
      </c>
      <c r="AB515" s="54" t="str">
        <f aca="false">IF(AND(W515=1,ISNUMBER(AA515)),L515/(L515+AA515),"")</f>
        <v/>
      </c>
    </row>
    <row r="516" customFormat="false" ht="15" hidden="false" customHeight="true" outlineLevel="0" collapsed="false">
      <c r="A516" s="1" t="s">
        <v>274</v>
      </c>
      <c r="B516" s="46" t="n">
        <v>45883</v>
      </c>
      <c r="C516" s="46" t="n">
        <v>45958</v>
      </c>
      <c r="D516" s="47" t="n">
        <v>24957.6</v>
      </c>
      <c r="E516" s="47" t="n">
        <v>24993</v>
      </c>
      <c r="F516" s="47" t="n">
        <v>24915</v>
      </c>
      <c r="G516" s="47" t="n">
        <v>24936.9</v>
      </c>
      <c r="H516" s="47" t="n">
        <v>24930</v>
      </c>
      <c r="I516" s="47" t="n">
        <v>24936.9</v>
      </c>
      <c r="J516" s="48" t="n">
        <v>785</v>
      </c>
      <c r="K516" s="47" t="n">
        <v>14688</v>
      </c>
      <c r="L516" s="48" t="n">
        <v>271050</v>
      </c>
      <c r="M516" s="48" t="n">
        <v>5925</v>
      </c>
      <c r="N516" s="47" t="n">
        <v>24631.3</v>
      </c>
      <c r="O516" s="47" t="n">
        <f aca="false">IF(AND(ISNUMBER(G516),ISNUMBER(N516)),G516-N516,"")</f>
        <v>305.600000000002</v>
      </c>
      <c r="P516" s="49" t="n">
        <f aca="false">IF(ISNUMBER(O516),O516/N516,"")</f>
        <v>0.0124069781132138</v>
      </c>
      <c r="Q516" s="50" t="n">
        <f aca="false">C516-B516</f>
        <v>75</v>
      </c>
      <c r="R516" s="51" t="n">
        <f aca="false">IF(AND(C516=C515,ISNUMBER(G516),ISNUMBER(G515)),(G516/G515-1)*100,"")</f>
        <v>-0.0837413554079181</v>
      </c>
      <c r="S516" s="51" t="n">
        <f aca="false">IF(AND(C516=C515,ISNUMBER(L516),ISNUMBER(L515)),(L516/L515-1)*100,"")</f>
        <v>2.23479490806224</v>
      </c>
      <c r="T516" s="51" t="n">
        <f aca="false">IF(AND(C516=C515,ISNUMBER(G516),ISNUMBER(G515)),G516-G515,"")</f>
        <v>-20.8999999999978</v>
      </c>
      <c r="U516" s="1" t="str">
        <f aca="false">IF(OR(NOT(ISNUMBER(R516)),NOT(ISNUMBER(S516))),"Not classified",IF(AND(R516&gt;0,S516&gt;0),"Long buildup (interpretation)",IF(AND(R516&lt;0,S516&gt;0),"Short buildup (interpretation)",IF(AND(R516&gt;0,S516&lt;0),"Short covering (interpretation)",IF(AND(R516&lt;0,S516&lt;0),"Long unwinding (interpretation)","Neutral")))))</f>
        <v>Short buildup (interpretation)</v>
      </c>
      <c r="V516" s="52" t="str">
        <f aca="false">TEXT(B516,"yyyy-mm")</f>
        <v>2025-08</v>
      </c>
      <c r="W516" s="52" t="n">
        <f aca="false">1+COUNTIFS($B$2:$B$756,B516,$C$2:$C$756,"&lt;"&amp;C516)</f>
        <v>3</v>
      </c>
      <c r="X516" s="53" t="n">
        <f aca="false">IF(AND(ISNUMBER(P516),Q516&gt;0),P516*365/Q516,"")</f>
        <v>0.0603806268176403</v>
      </c>
      <c r="Y516" s="42" t="n">
        <f aca="false">IF(AND(C517=C516,ISNUMBER(R517)),R517,"")</f>
        <v>1.15170690823638</v>
      </c>
      <c r="Z516" s="52" t="n">
        <f aca="false">IF(AND(W516=1,Q516&gt;Basis_Analysis!$B$3,ISNUMBER(Y516)),1,0)</f>
        <v>0</v>
      </c>
      <c r="AA516" s="43" t="str">
        <f aca="false">IF(W516=1,IF(SUMIFS($L$2:$L$756,$B$2:$B$756,B516,$W$2:$W$756,2)&gt;0,SUMIFS($L$2:$L$756,$B$2:$B$756,B516,$W$2:$W$756,2),""),"")</f>
        <v/>
      </c>
      <c r="AB516" s="54" t="str">
        <f aca="false">IF(AND(W516=1,ISNUMBER(AA516)),L516/(L516+AA516),"")</f>
        <v/>
      </c>
    </row>
    <row r="517" customFormat="false" ht="15" hidden="false" customHeight="true" outlineLevel="0" collapsed="false">
      <c r="A517" s="1" t="s">
        <v>274</v>
      </c>
      <c r="B517" s="46" t="n">
        <v>45887</v>
      </c>
      <c r="C517" s="46" t="n">
        <v>45958</v>
      </c>
      <c r="D517" s="47" t="n">
        <v>25160.7</v>
      </c>
      <c r="E517" s="47" t="n">
        <v>25319</v>
      </c>
      <c r="F517" s="47" t="n">
        <v>25160.7</v>
      </c>
      <c r="G517" s="47" t="n">
        <v>25224.1</v>
      </c>
      <c r="H517" s="47" t="n">
        <v>25232.4</v>
      </c>
      <c r="I517" s="47" t="n">
        <v>25224.1</v>
      </c>
      <c r="J517" s="48" t="n">
        <v>3018</v>
      </c>
      <c r="K517" s="47" t="n">
        <v>57149.63</v>
      </c>
      <c r="L517" s="48" t="n">
        <v>328950</v>
      </c>
      <c r="M517" s="48" t="n">
        <v>57900</v>
      </c>
      <c r="N517" s="47" t="n">
        <v>24876.95</v>
      </c>
      <c r="O517" s="47" t="n">
        <f aca="false">IF(AND(ISNUMBER(G517),ISNUMBER(N517)),G517-N517,"")</f>
        <v>347.149999999998</v>
      </c>
      <c r="P517" s="49" t="n">
        <f aca="false">IF(ISNUMBER(O517),O517/N517,"")</f>
        <v>0.0139546849593699</v>
      </c>
      <c r="Q517" s="50" t="n">
        <f aca="false">C517-B517</f>
        <v>71</v>
      </c>
      <c r="R517" s="51" t="n">
        <f aca="false">IF(AND(C517=C516,ISNUMBER(G517),ISNUMBER(G516)),(G517/G516-1)*100,"")</f>
        <v>1.15170690823638</v>
      </c>
      <c r="S517" s="51" t="n">
        <f aca="false">IF(AND(C517=C516,ISNUMBER(L517),ISNUMBER(L516)),(L517/L516-1)*100,"")</f>
        <v>21.3613724405091</v>
      </c>
      <c r="T517" s="51" t="n">
        <f aca="false">IF(AND(C517=C516,ISNUMBER(G517),ISNUMBER(G516)),G517-G516,"")</f>
        <v>287.199999999997</v>
      </c>
      <c r="U517" s="1" t="str">
        <f aca="false">IF(OR(NOT(ISNUMBER(R517)),NOT(ISNUMBER(S517))),"Not classified",IF(AND(R517&gt;0,S517&gt;0),"Long buildup (interpretation)",IF(AND(R517&lt;0,S517&gt;0),"Short buildup (interpretation)",IF(AND(R517&gt;0,S517&lt;0),"Short covering (interpretation)",IF(AND(R517&lt;0,S517&lt;0),"Long unwinding (interpretation)","Neutral")))))</f>
        <v>Long buildup (interpretation)</v>
      </c>
      <c r="V517" s="52" t="str">
        <f aca="false">TEXT(B517,"yyyy-mm")</f>
        <v>2025-08</v>
      </c>
      <c r="W517" s="52" t="n">
        <f aca="false">1+COUNTIFS($B$2:$B$756,B517,$C$2:$C$756,"&lt;"&amp;C517)</f>
        <v>3</v>
      </c>
      <c r="X517" s="53" t="n">
        <f aca="false">IF(AND(ISNUMBER(P517),Q517&gt;0),P517*365/Q517,"")</f>
        <v>0.0717388733826764</v>
      </c>
      <c r="Y517" s="42" t="n">
        <f aca="false">IF(AND(C518=C517,ISNUMBER(R518)),R518,"")</f>
        <v>0.26205097505958</v>
      </c>
      <c r="Z517" s="52" t="n">
        <f aca="false">IF(AND(W517=1,Q517&gt;Basis_Analysis!$B$3,ISNUMBER(Y517)),1,0)</f>
        <v>0</v>
      </c>
      <c r="AA517" s="43" t="str">
        <f aca="false">IF(W517=1,IF(SUMIFS($L$2:$L$756,$B$2:$B$756,B517,$W$2:$W$756,2)&gt;0,SUMIFS($L$2:$L$756,$B$2:$B$756,B517,$W$2:$W$756,2),""),"")</f>
        <v/>
      </c>
      <c r="AB517" s="54" t="str">
        <f aca="false">IF(AND(W517=1,ISNUMBER(AA517)),L517/(L517+AA517),"")</f>
        <v/>
      </c>
    </row>
    <row r="518" customFormat="false" ht="15" hidden="false" customHeight="true" outlineLevel="0" collapsed="false">
      <c r="A518" s="1" t="s">
        <v>274</v>
      </c>
      <c r="B518" s="46" t="n">
        <v>45888</v>
      </c>
      <c r="C518" s="46" t="n">
        <v>45958</v>
      </c>
      <c r="D518" s="47" t="n">
        <v>25271</v>
      </c>
      <c r="E518" s="47" t="n">
        <v>25315</v>
      </c>
      <c r="F518" s="47" t="n">
        <v>25180.1</v>
      </c>
      <c r="G518" s="47" t="n">
        <v>25290.2</v>
      </c>
      <c r="H518" s="47" t="n">
        <v>25297.9</v>
      </c>
      <c r="I518" s="47" t="n">
        <v>25290.2</v>
      </c>
      <c r="J518" s="48" t="n">
        <v>1530</v>
      </c>
      <c r="K518" s="47" t="n">
        <v>28986.01</v>
      </c>
      <c r="L518" s="48" t="n">
        <v>367875</v>
      </c>
      <c r="M518" s="48" t="n">
        <v>38925</v>
      </c>
      <c r="N518" s="47" t="n">
        <v>24980.65</v>
      </c>
      <c r="O518" s="47" t="n">
        <f aca="false">IF(AND(ISNUMBER(G518),ISNUMBER(N518)),G518-N518,"")</f>
        <v>309.549999999999</v>
      </c>
      <c r="P518" s="49" t="n">
        <f aca="false">IF(ISNUMBER(O518),O518/N518,"")</f>
        <v>0.0123915910915048</v>
      </c>
      <c r="Q518" s="50" t="n">
        <f aca="false">C518-B518</f>
        <v>70</v>
      </c>
      <c r="R518" s="51" t="n">
        <f aca="false">IF(AND(C518=C517,ISNUMBER(G518),ISNUMBER(G517)),(G518/G517-1)*100,"")</f>
        <v>0.26205097505958</v>
      </c>
      <c r="S518" s="51" t="n">
        <f aca="false">IF(AND(C518=C517,ISNUMBER(L518),ISNUMBER(L517)),(L518/L517-1)*100,"")</f>
        <v>11.8331053351573</v>
      </c>
      <c r="T518" s="51" t="n">
        <f aca="false">IF(AND(C518=C517,ISNUMBER(G518),ISNUMBER(G517)),G518-G517,"")</f>
        <v>66.1000000000022</v>
      </c>
      <c r="U518" s="1" t="str">
        <f aca="false">IF(OR(NOT(ISNUMBER(R518)),NOT(ISNUMBER(S518))),"Not classified",IF(AND(R518&gt;0,S518&gt;0),"Long buildup (interpretation)",IF(AND(R518&lt;0,S518&gt;0),"Short buildup (interpretation)",IF(AND(R518&gt;0,S518&lt;0),"Short covering (interpretation)",IF(AND(R518&lt;0,S518&lt;0),"Long unwinding (interpretation)","Neutral")))))</f>
        <v>Long buildup (interpretation)</v>
      </c>
      <c r="V518" s="52" t="str">
        <f aca="false">TEXT(B518,"yyyy-mm")</f>
        <v>2025-08</v>
      </c>
      <c r="W518" s="52" t="n">
        <f aca="false">1+COUNTIFS($B$2:$B$756,B518,$C$2:$C$756,"&lt;"&amp;C518)</f>
        <v>3</v>
      </c>
      <c r="X518" s="53" t="n">
        <f aca="false">IF(AND(ISNUMBER(P518),Q518&gt;0),P518*365/Q518,"")</f>
        <v>0.0646132964057036</v>
      </c>
      <c r="Y518" s="42" t="n">
        <f aca="false">IF(AND(C519=C518,ISNUMBER(R519)),R519,"")</f>
        <v>0.219848004365319</v>
      </c>
      <c r="Z518" s="52" t="n">
        <f aca="false">IF(AND(W518=1,Q518&gt;Basis_Analysis!$B$3,ISNUMBER(Y518)),1,0)</f>
        <v>0</v>
      </c>
      <c r="AA518" s="43" t="str">
        <f aca="false">IF(W518=1,IF(SUMIFS($L$2:$L$756,$B$2:$B$756,B518,$W$2:$W$756,2)&gt;0,SUMIFS($L$2:$L$756,$B$2:$B$756,B518,$W$2:$W$756,2),""),"")</f>
        <v/>
      </c>
      <c r="AB518" s="54" t="str">
        <f aca="false">IF(AND(W518=1,ISNUMBER(AA518)),L518/(L518+AA518),"")</f>
        <v/>
      </c>
    </row>
    <row r="519" customFormat="false" ht="15" hidden="false" customHeight="true" outlineLevel="0" collapsed="false">
      <c r="A519" s="1" t="s">
        <v>274</v>
      </c>
      <c r="B519" s="46" t="n">
        <v>45889</v>
      </c>
      <c r="C519" s="46" t="n">
        <v>45958</v>
      </c>
      <c r="D519" s="47" t="n">
        <v>25282.9</v>
      </c>
      <c r="E519" s="47" t="n">
        <v>25361.5</v>
      </c>
      <c r="F519" s="47" t="n">
        <v>25222.1</v>
      </c>
      <c r="G519" s="47" t="n">
        <v>25345.8</v>
      </c>
      <c r="H519" s="47" t="n">
        <v>25336</v>
      </c>
      <c r="I519" s="47" t="n">
        <v>25345.8</v>
      </c>
      <c r="J519" s="48" t="n">
        <v>1516</v>
      </c>
      <c r="K519" s="47" t="n">
        <v>28781.45</v>
      </c>
      <c r="L519" s="48" t="n">
        <v>394350</v>
      </c>
      <c r="M519" s="48" t="n">
        <v>26475</v>
      </c>
      <c r="N519" s="47" t="n">
        <v>25050.55</v>
      </c>
      <c r="O519" s="47" t="n">
        <f aca="false">IF(AND(ISNUMBER(G519),ISNUMBER(N519)),G519-N519,"")</f>
        <v>295.25</v>
      </c>
      <c r="P519" s="49" t="n">
        <f aca="false">IF(ISNUMBER(O519),O519/N519,"")</f>
        <v>0.0117861683675608</v>
      </c>
      <c r="Q519" s="50" t="n">
        <f aca="false">C519-B519</f>
        <v>69</v>
      </c>
      <c r="R519" s="51" t="n">
        <f aca="false">IF(AND(C519=C518,ISNUMBER(G519),ISNUMBER(G518)),(G519/G518-1)*100,"")</f>
        <v>0.219848004365319</v>
      </c>
      <c r="S519" s="51" t="n">
        <f aca="false">IF(AND(C519=C518,ISNUMBER(L519),ISNUMBER(L518)),(L519/L518-1)*100,"")</f>
        <v>7.19673802242609</v>
      </c>
      <c r="T519" s="51" t="n">
        <f aca="false">IF(AND(C519=C518,ISNUMBER(G519),ISNUMBER(G518)),G519-G518,"")</f>
        <v>55.5999999999985</v>
      </c>
      <c r="U519" s="1" t="str">
        <f aca="false">IF(OR(NOT(ISNUMBER(R519)),NOT(ISNUMBER(S519))),"Not classified",IF(AND(R519&gt;0,S519&gt;0),"Long buildup (interpretation)",IF(AND(R519&lt;0,S519&gt;0),"Short buildup (interpretation)",IF(AND(R519&gt;0,S519&lt;0),"Short covering (interpretation)",IF(AND(R519&lt;0,S519&lt;0),"Long unwinding (interpretation)","Neutral")))))</f>
        <v>Long buildup (interpretation)</v>
      </c>
      <c r="V519" s="52" t="str">
        <f aca="false">TEXT(B519,"yyyy-mm")</f>
        <v>2025-08</v>
      </c>
      <c r="W519" s="52" t="n">
        <f aca="false">1+COUNTIFS($B$2:$B$756,B519,$C$2:$C$756,"&lt;"&amp;C519)</f>
        <v>3</v>
      </c>
      <c r="X519" s="53" t="n">
        <f aca="false">IF(AND(ISNUMBER(P519),Q519&gt;0),P519*365/Q519,"")</f>
        <v>0.0623471225240535</v>
      </c>
      <c r="Y519" s="42" t="n">
        <f aca="false">IF(AND(C520=C519,ISNUMBER(R520)),R520,"")</f>
        <v>0.159789787657116</v>
      </c>
      <c r="Z519" s="52" t="n">
        <f aca="false">IF(AND(W519=1,Q519&gt;Basis_Analysis!$B$3,ISNUMBER(Y519)),1,0)</f>
        <v>0</v>
      </c>
      <c r="AA519" s="43" t="str">
        <f aca="false">IF(W519=1,IF(SUMIFS($L$2:$L$756,$B$2:$B$756,B519,$W$2:$W$756,2)&gt;0,SUMIFS($L$2:$L$756,$B$2:$B$756,B519,$W$2:$W$756,2),""),"")</f>
        <v/>
      </c>
      <c r="AB519" s="54" t="str">
        <f aca="false">IF(AND(W519=1,ISNUMBER(AA519)),L519/(L519+AA519),"")</f>
        <v/>
      </c>
    </row>
    <row r="520" customFormat="false" ht="15" hidden="false" customHeight="true" outlineLevel="0" collapsed="false">
      <c r="A520" s="1" t="s">
        <v>274</v>
      </c>
      <c r="B520" s="46" t="n">
        <v>45890</v>
      </c>
      <c r="C520" s="46" t="n">
        <v>45958</v>
      </c>
      <c r="D520" s="47" t="n">
        <v>25345.8</v>
      </c>
      <c r="E520" s="47" t="n">
        <v>25430</v>
      </c>
      <c r="F520" s="47" t="n">
        <v>25345</v>
      </c>
      <c r="G520" s="47" t="n">
        <v>25386.3</v>
      </c>
      <c r="H520" s="47" t="n">
        <v>25378</v>
      </c>
      <c r="I520" s="47" t="n">
        <v>25386.3</v>
      </c>
      <c r="J520" s="48" t="n">
        <v>1702</v>
      </c>
      <c r="K520" s="47" t="n">
        <v>32421.76</v>
      </c>
      <c r="L520" s="48" t="n">
        <v>421425</v>
      </c>
      <c r="M520" s="48" t="n">
        <v>27075</v>
      </c>
      <c r="N520" s="47" t="n">
        <v>25083.75</v>
      </c>
      <c r="O520" s="47" t="n">
        <f aca="false">IF(AND(ISNUMBER(G520),ISNUMBER(N520)),G520-N520,"")</f>
        <v>302.549999999999</v>
      </c>
      <c r="P520" s="49" t="n">
        <f aca="false">IF(ISNUMBER(O520),O520/N520,"")</f>
        <v>0.0120615936612348</v>
      </c>
      <c r="Q520" s="50" t="n">
        <f aca="false">C520-B520</f>
        <v>68</v>
      </c>
      <c r="R520" s="51" t="n">
        <f aca="false">IF(AND(C520=C519,ISNUMBER(G520),ISNUMBER(G519)),(G520/G519-1)*100,"")</f>
        <v>0.159789787657116</v>
      </c>
      <c r="S520" s="51" t="n">
        <f aca="false">IF(AND(C520=C519,ISNUMBER(L520),ISNUMBER(L519)),(L520/L519-1)*100,"")</f>
        <v>6.86572841384556</v>
      </c>
      <c r="T520" s="51" t="n">
        <f aca="false">IF(AND(C520=C519,ISNUMBER(G520),ISNUMBER(G519)),G520-G519,"")</f>
        <v>40.5</v>
      </c>
      <c r="U520" s="1" t="str">
        <f aca="false">IF(OR(NOT(ISNUMBER(R520)),NOT(ISNUMBER(S520))),"Not classified",IF(AND(R520&gt;0,S520&gt;0),"Long buildup (interpretation)",IF(AND(R520&lt;0,S520&gt;0),"Short buildup (interpretation)",IF(AND(R520&gt;0,S520&lt;0),"Short covering (interpretation)",IF(AND(R520&lt;0,S520&lt;0),"Long unwinding (interpretation)","Neutral")))))</f>
        <v>Long buildup (interpretation)</v>
      </c>
      <c r="V520" s="52" t="str">
        <f aca="false">TEXT(B520,"yyyy-mm")</f>
        <v>2025-08</v>
      </c>
      <c r="W520" s="52" t="n">
        <f aca="false">1+COUNTIFS($B$2:$B$756,B520,$C$2:$C$756,"&lt;"&amp;C520)</f>
        <v>3</v>
      </c>
      <c r="X520" s="53" t="n">
        <f aca="false">IF(AND(ISNUMBER(P520),Q520&gt;0),P520*365/Q520,"")</f>
        <v>0.0647423777404517</v>
      </c>
      <c r="Y520" s="42" t="n">
        <f aca="false">IF(AND(C521=C520,ISNUMBER(R521)),R521,"")</f>
        <v>-0.867396981836666</v>
      </c>
      <c r="Z520" s="52" t="n">
        <f aca="false">IF(AND(W520=1,Q520&gt;Basis_Analysis!$B$3,ISNUMBER(Y520)),1,0)</f>
        <v>0</v>
      </c>
      <c r="AA520" s="43" t="str">
        <f aca="false">IF(W520=1,IF(SUMIFS($L$2:$L$756,$B$2:$B$756,B520,$W$2:$W$756,2)&gt;0,SUMIFS($L$2:$L$756,$B$2:$B$756,B520,$W$2:$W$756,2),""),"")</f>
        <v/>
      </c>
      <c r="AB520" s="54" t="str">
        <f aca="false">IF(AND(W520=1,ISNUMBER(AA520)),L520/(L520+AA520),"")</f>
        <v/>
      </c>
    </row>
    <row r="521" customFormat="false" ht="15" hidden="false" customHeight="true" outlineLevel="0" collapsed="false">
      <c r="A521" s="1" t="s">
        <v>274</v>
      </c>
      <c r="B521" s="46" t="n">
        <v>45891</v>
      </c>
      <c r="C521" s="46" t="n">
        <v>45958</v>
      </c>
      <c r="D521" s="47" t="n">
        <v>25345</v>
      </c>
      <c r="E521" s="47" t="n">
        <v>25345.1</v>
      </c>
      <c r="F521" s="47" t="n">
        <v>25158</v>
      </c>
      <c r="G521" s="47" t="n">
        <v>25166.1</v>
      </c>
      <c r="H521" s="47" t="n">
        <v>25168.6</v>
      </c>
      <c r="I521" s="47" t="n">
        <v>25166.1</v>
      </c>
      <c r="J521" s="48" t="n">
        <v>3171</v>
      </c>
      <c r="K521" s="47" t="n">
        <v>59974.78</v>
      </c>
      <c r="L521" s="48" t="n">
        <v>469275</v>
      </c>
      <c r="M521" s="48" t="n">
        <v>47850</v>
      </c>
      <c r="N521" s="47" t="n">
        <v>24870.1</v>
      </c>
      <c r="O521" s="47" t="n">
        <f aca="false">IF(AND(ISNUMBER(G521),ISNUMBER(N521)),G521-N521,"")</f>
        <v>296</v>
      </c>
      <c r="P521" s="49" t="n">
        <f aca="false">IF(ISNUMBER(O521),O521/N521,"")</f>
        <v>0.0119018419708807</v>
      </c>
      <c r="Q521" s="50" t="n">
        <f aca="false">C521-B521</f>
        <v>67</v>
      </c>
      <c r="R521" s="51" t="n">
        <f aca="false">IF(AND(C521=C520,ISNUMBER(G521),ISNUMBER(G520)),(G521/G520-1)*100,"")</f>
        <v>-0.867396981836666</v>
      </c>
      <c r="S521" s="51" t="n">
        <f aca="false">IF(AND(C521=C520,ISNUMBER(L521),ISNUMBER(L520)),(L521/L520-1)*100,"")</f>
        <v>11.354333511301</v>
      </c>
      <c r="T521" s="51" t="n">
        <f aca="false">IF(AND(C521=C520,ISNUMBER(G521),ISNUMBER(G520)),G521-G520,"")</f>
        <v>-220.200000000001</v>
      </c>
      <c r="U521" s="1" t="str">
        <f aca="false">IF(OR(NOT(ISNUMBER(R521)),NOT(ISNUMBER(S521))),"Not classified",IF(AND(R521&gt;0,S521&gt;0),"Long buildup (interpretation)",IF(AND(R521&lt;0,S521&gt;0),"Short buildup (interpretation)",IF(AND(R521&gt;0,S521&lt;0),"Short covering (interpretation)",IF(AND(R521&lt;0,S521&lt;0),"Long unwinding (interpretation)","Neutral")))))</f>
        <v>Short buildup (interpretation)</v>
      </c>
      <c r="V521" s="52" t="str">
        <f aca="false">TEXT(B521,"yyyy-mm")</f>
        <v>2025-08</v>
      </c>
      <c r="W521" s="52" t="n">
        <f aca="false">1+COUNTIFS($B$2:$B$756,B521,$C$2:$C$756,"&lt;"&amp;C521)</f>
        <v>3</v>
      </c>
      <c r="X521" s="53" t="n">
        <f aca="false">IF(AND(ISNUMBER(P521),Q521&gt;0),P521*365/Q521,"")</f>
        <v>0.0648383928264396</v>
      </c>
      <c r="Y521" s="42" t="n">
        <f aca="false">IF(AND(C522=C521,ISNUMBER(R522)),R522,"")</f>
        <v>0.338550669352822</v>
      </c>
      <c r="Z521" s="52" t="n">
        <f aca="false">IF(AND(W521=1,Q521&gt;Basis_Analysis!$B$3,ISNUMBER(Y521)),1,0)</f>
        <v>0</v>
      </c>
      <c r="AA521" s="43" t="str">
        <f aca="false">IF(W521=1,IF(SUMIFS($L$2:$L$756,$B$2:$B$756,B521,$W$2:$W$756,2)&gt;0,SUMIFS($L$2:$L$756,$B$2:$B$756,B521,$W$2:$W$756,2),""),"")</f>
        <v/>
      </c>
      <c r="AB521" s="54" t="str">
        <f aca="false">IF(AND(W521=1,ISNUMBER(AA521)),L521/(L521+AA521),"")</f>
        <v/>
      </c>
    </row>
    <row r="522" customFormat="false" ht="15" hidden="false" customHeight="true" outlineLevel="0" collapsed="false">
      <c r="A522" s="1" t="s">
        <v>274</v>
      </c>
      <c r="B522" s="46" t="n">
        <v>45894</v>
      </c>
      <c r="C522" s="46" t="n">
        <v>45958</v>
      </c>
      <c r="D522" s="47" t="n">
        <v>25215</v>
      </c>
      <c r="E522" s="47" t="n">
        <v>25288</v>
      </c>
      <c r="F522" s="47" t="n">
        <v>25175.4</v>
      </c>
      <c r="G522" s="47" t="n">
        <v>25251.3</v>
      </c>
      <c r="H522" s="47" t="n">
        <v>25254.1</v>
      </c>
      <c r="I522" s="47" t="n">
        <v>25251.3</v>
      </c>
      <c r="J522" s="48" t="n">
        <v>2002</v>
      </c>
      <c r="K522" s="47" t="n">
        <v>37888.38</v>
      </c>
      <c r="L522" s="48" t="n">
        <v>480825</v>
      </c>
      <c r="M522" s="48" t="n">
        <v>11550</v>
      </c>
      <c r="N522" s="47" t="n">
        <v>24967.75</v>
      </c>
      <c r="O522" s="47" t="n">
        <f aca="false">IF(AND(ISNUMBER(G522),ISNUMBER(N522)),G522-N522,"")</f>
        <v>283.549999999999</v>
      </c>
      <c r="P522" s="49" t="n">
        <f aca="false">IF(ISNUMBER(O522),O522/N522,"")</f>
        <v>0.0113566500786014</v>
      </c>
      <c r="Q522" s="50" t="n">
        <f aca="false">C522-B522</f>
        <v>64</v>
      </c>
      <c r="R522" s="51" t="n">
        <f aca="false">IF(AND(C522=C521,ISNUMBER(G522),ISNUMBER(G521)),(G522/G521-1)*100,"")</f>
        <v>0.338550669352822</v>
      </c>
      <c r="S522" s="51" t="n">
        <f aca="false">IF(AND(C522=C521,ISNUMBER(L522),ISNUMBER(L521)),(L522/L521-1)*100,"")</f>
        <v>2.46124340738374</v>
      </c>
      <c r="T522" s="51" t="n">
        <f aca="false">IF(AND(C522=C521,ISNUMBER(G522),ISNUMBER(G521)),G522-G521,"")</f>
        <v>85.2000000000007</v>
      </c>
      <c r="U522" s="1" t="str">
        <f aca="false">IF(OR(NOT(ISNUMBER(R522)),NOT(ISNUMBER(S522))),"Not classified",IF(AND(R522&gt;0,S522&gt;0),"Long buildup (interpretation)",IF(AND(R522&lt;0,S522&gt;0),"Short buildup (interpretation)",IF(AND(R522&gt;0,S522&lt;0),"Short covering (interpretation)",IF(AND(R522&lt;0,S522&lt;0),"Long unwinding (interpretation)","Neutral")))))</f>
        <v>Long buildup (interpretation)</v>
      </c>
      <c r="V522" s="52" t="str">
        <f aca="false">TEXT(B522,"yyyy-mm")</f>
        <v>2025-08</v>
      </c>
      <c r="W522" s="52" t="n">
        <f aca="false">1+COUNTIFS($B$2:$B$756,B522,$C$2:$C$756,"&lt;"&amp;C522)</f>
        <v>3</v>
      </c>
      <c r="X522" s="53" t="n">
        <f aca="false">IF(AND(ISNUMBER(P522),Q522&gt;0),P522*365/Q522,"")</f>
        <v>0.0647683949795234</v>
      </c>
      <c r="Y522" s="42" t="n">
        <f aca="false">IF(AND(C523=C522,ISNUMBER(R523)),R523,"")</f>
        <v>-1.03677830448333</v>
      </c>
      <c r="Z522" s="52" t="n">
        <f aca="false">IF(AND(W522=1,Q522&gt;Basis_Analysis!$B$3,ISNUMBER(Y522)),1,0)</f>
        <v>0</v>
      </c>
      <c r="AA522" s="43" t="str">
        <f aca="false">IF(W522=1,IF(SUMIFS($L$2:$L$756,$B$2:$B$756,B522,$W$2:$W$756,2)&gt;0,SUMIFS($L$2:$L$756,$B$2:$B$756,B522,$W$2:$W$756,2),""),"")</f>
        <v/>
      </c>
      <c r="AB522" s="54" t="str">
        <f aca="false">IF(AND(W522=1,ISNUMBER(AA522)),L522/(L522+AA522),"")</f>
        <v/>
      </c>
    </row>
    <row r="523" customFormat="false" ht="15" hidden="false" customHeight="true" outlineLevel="0" collapsed="false">
      <c r="A523" s="1" t="s">
        <v>274</v>
      </c>
      <c r="B523" s="46" t="n">
        <v>45895</v>
      </c>
      <c r="C523" s="46" t="n">
        <v>45958</v>
      </c>
      <c r="D523" s="47" t="n">
        <v>25182.3</v>
      </c>
      <c r="E523" s="47" t="n">
        <v>25196.6</v>
      </c>
      <c r="F523" s="47" t="n">
        <v>24971</v>
      </c>
      <c r="G523" s="47" t="n">
        <v>24989.5</v>
      </c>
      <c r="H523" s="47" t="n">
        <v>24985.6</v>
      </c>
      <c r="I523" s="47" t="n">
        <v>24989.5</v>
      </c>
      <c r="J523" s="48" t="n">
        <v>5171</v>
      </c>
      <c r="K523" s="47" t="n">
        <v>97145.09</v>
      </c>
      <c r="L523" s="48" t="n">
        <v>642375</v>
      </c>
      <c r="M523" s="48" t="n">
        <v>161550</v>
      </c>
      <c r="N523" s="47" t="n">
        <v>24712.05</v>
      </c>
      <c r="O523" s="47" t="n">
        <f aca="false">IF(AND(ISNUMBER(G523),ISNUMBER(N523)),G523-N523,"")</f>
        <v>277.450000000001</v>
      </c>
      <c r="P523" s="49" t="n">
        <f aca="false">IF(ISNUMBER(O523),O523/N523,"")</f>
        <v>0.0112273162283178</v>
      </c>
      <c r="Q523" s="50" t="n">
        <f aca="false">C523-B523</f>
        <v>63</v>
      </c>
      <c r="R523" s="51" t="n">
        <f aca="false">IF(AND(C523=C522,ISNUMBER(G523),ISNUMBER(G522)),(G523/G522-1)*100,"")</f>
        <v>-1.03677830448333</v>
      </c>
      <c r="S523" s="51" t="n">
        <f aca="false">IF(AND(C523=C522,ISNUMBER(L523),ISNUMBER(L522)),(L523/L522-1)*100,"")</f>
        <v>33.5985025737015</v>
      </c>
      <c r="T523" s="51" t="n">
        <f aca="false">IF(AND(C523=C522,ISNUMBER(G523),ISNUMBER(G522)),G523-G522,"")</f>
        <v>-261.799999999999</v>
      </c>
      <c r="U523" s="1" t="str">
        <f aca="false">IF(OR(NOT(ISNUMBER(R523)),NOT(ISNUMBER(S523))),"Not classified",IF(AND(R523&gt;0,S523&gt;0),"Long buildup (interpretation)",IF(AND(R523&lt;0,S523&gt;0),"Short buildup (interpretation)",IF(AND(R523&gt;0,S523&lt;0),"Short covering (interpretation)",IF(AND(R523&lt;0,S523&lt;0),"Long unwinding (interpretation)","Neutral")))))</f>
        <v>Short buildup (interpretation)</v>
      </c>
      <c r="V523" s="52" t="str">
        <f aca="false">TEXT(B523,"yyyy-mm")</f>
        <v>2025-08</v>
      </c>
      <c r="W523" s="52" t="n">
        <f aca="false">1+COUNTIFS($B$2:$B$756,B523,$C$2:$C$756,"&lt;"&amp;C523)</f>
        <v>3</v>
      </c>
      <c r="X523" s="53" t="n">
        <f aca="false">IF(AND(ISNUMBER(P523),Q523&gt;0),P523*365/Q523,"")</f>
        <v>0.0650471495767618</v>
      </c>
      <c r="Y523" s="42" t="n">
        <f aca="false">IF(AND(C524=C523,ISNUMBER(R524)),R524,"")</f>
        <v>-0.862762360191272</v>
      </c>
      <c r="Z523" s="52" t="n">
        <f aca="false">IF(AND(W523=1,Q523&gt;Basis_Analysis!$B$3,ISNUMBER(Y523)),1,0)</f>
        <v>0</v>
      </c>
      <c r="AA523" s="43" t="str">
        <f aca="false">IF(W523=1,IF(SUMIFS($L$2:$L$756,$B$2:$B$756,B523,$W$2:$W$756,2)&gt;0,SUMIFS($L$2:$L$756,$B$2:$B$756,B523,$W$2:$W$756,2),""),"")</f>
        <v/>
      </c>
      <c r="AB523" s="54" t="str">
        <f aca="false">IF(AND(W523=1,ISNUMBER(AA523)),L523/(L523+AA523),"")</f>
        <v/>
      </c>
    </row>
    <row r="524" customFormat="false" ht="15" hidden="false" customHeight="true" outlineLevel="0" collapsed="false">
      <c r="A524" s="1" t="s">
        <v>274</v>
      </c>
      <c r="B524" s="46" t="n">
        <v>45897</v>
      </c>
      <c r="C524" s="46" t="n">
        <v>45958</v>
      </c>
      <c r="D524" s="47" t="n">
        <v>24950</v>
      </c>
      <c r="E524" s="47" t="n">
        <v>24955.4</v>
      </c>
      <c r="F524" s="47" t="n">
        <v>24755</v>
      </c>
      <c r="G524" s="47" t="n">
        <v>24773.9</v>
      </c>
      <c r="H524" s="47" t="n">
        <v>24785.6</v>
      </c>
      <c r="I524" s="47" t="n">
        <v>24773.9</v>
      </c>
      <c r="J524" s="48" t="n">
        <v>7682</v>
      </c>
      <c r="K524" s="47" t="n">
        <v>143075.43</v>
      </c>
      <c r="L524" s="48" t="n">
        <v>888900</v>
      </c>
      <c r="M524" s="48" t="n">
        <v>246525</v>
      </c>
      <c r="N524" s="47" t="n">
        <v>24500.9</v>
      </c>
      <c r="O524" s="47" t="n">
        <f aca="false">IF(AND(ISNUMBER(G524),ISNUMBER(N524)),G524-N524,"")</f>
        <v>273</v>
      </c>
      <c r="P524" s="49" t="n">
        <f aca="false">IF(ISNUMBER(O524),O524/N524,"")</f>
        <v>0.0111424478284471</v>
      </c>
      <c r="Q524" s="50" t="n">
        <f aca="false">C524-B524</f>
        <v>61</v>
      </c>
      <c r="R524" s="51" t="n">
        <f aca="false">IF(AND(C524=C523,ISNUMBER(G524),ISNUMBER(G523)),(G524/G523-1)*100,"")</f>
        <v>-0.862762360191272</v>
      </c>
      <c r="S524" s="51" t="n">
        <f aca="false">IF(AND(C524=C523,ISNUMBER(L524),ISNUMBER(L523)),(L524/L523-1)*100,"")</f>
        <v>38.3771161704612</v>
      </c>
      <c r="T524" s="51" t="n">
        <f aca="false">IF(AND(C524=C523,ISNUMBER(G524),ISNUMBER(G523)),G524-G523,"")</f>
        <v>-215.599999999999</v>
      </c>
      <c r="U524" s="1" t="str">
        <f aca="false">IF(OR(NOT(ISNUMBER(R524)),NOT(ISNUMBER(S524))),"Not classified",IF(AND(R524&gt;0,S524&gt;0),"Long buildup (interpretation)",IF(AND(R524&lt;0,S524&gt;0),"Short buildup (interpretation)",IF(AND(R524&gt;0,S524&lt;0),"Short covering (interpretation)",IF(AND(R524&lt;0,S524&lt;0),"Long unwinding (interpretation)","Neutral")))))</f>
        <v>Short buildup (interpretation)</v>
      </c>
      <c r="V524" s="52" t="str">
        <f aca="false">TEXT(B524,"yyyy-mm")</f>
        <v>2025-08</v>
      </c>
      <c r="W524" s="52" t="n">
        <f aca="false">1+COUNTIFS($B$2:$B$756,B524,$C$2:$C$756,"&lt;"&amp;C524)</f>
        <v>3</v>
      </c>
      <c r="X524" s="53" t="n">
        <f aca="false">IF(AND(ISNUMBER(P524),Q524&gt;0),P524*365/Q524,"")</f>
        <v>0.0666720238915278</v>
      </c>
      <c r="Y524" s="42" t="n">
        <f aca="false">IF(AND(C525=C524,ISNUMBER(R525)),R525,"")</f>
        <v>-0.36167095209072</v>
      </c>
      <c r="Z524" s="52" t="n">
        <f aca="false">IF(AND(W524=1,Q524&gt;Basis_Analysis!$B$3,ISNUMBER(Y524)),1,0)</f>
        <v>0</v>
      </c>
      <c r="AA524" s="43" t="str">
        <f aca="false">IF(W524=1,IF(SUMIFS($L$2:$L$756,$B$2:$B$756,B524,$W$2:$W$756,2)&gt;0,SUMIFS($L$2:$L$756,$B$2:$B$756,B524,$W$2:$W$756,2),""),"")</f>
        <v/>
      </c>
      <c r="AB524" s="54" t="str">
        <f aca="false">IF(AND(W524=1,ISNUMBER(AA524)),L524/(L524+AA524),"")</f>
        <v/>
      </c>
    </row>
    <row r="525" customFormat="false" ht="15" hidden="false" customHeight="true" outlineLevel="0" collapsed="false">
      <c r="A525" s="1" t="s">
        <v>274</v>
      </c>
      <c r="B525" s="46" t="n">
        <v>45898</v>
      </c>
      <c r="C525" s="46" t="n">
        <v>45958</v>
      </c>
      <c r="D525" s="47" t="n">
        <v>24753.9</v>
      </c>
      <c r="E525" s="47" t="n">
        <v>24829.9</v>
      </c>
      <c r="F525" s="47" t="n">
        <v>24665</v>
      </c>
      <c r="G525" s="47" t="n">
        <v>24684.3</v>
      </c>
      <c r="H525" s="47" t="n">
        <v>24699</v>
      </c>
      <c r="I525" s="47" t="n">
        <v>24684.3</v>
      </c>
      <c r="J525" s="48" t="n">
        <v>5404</v>
      </c>
      <c r="K525" s="47" t="n">
        <v>100280.67</v>
      </c>
      <c r="L525" s="48" t="n">
        <v>972525</v>
      </c>
      <c r="M525" s="48" t="n">
        <v>83625</v>
      </c>
      <c r="N525" s="47" t="n">
        <v>24426.85</v>
      </c>
      <c r="O525" s="47" t="n">
        <f aca="false">IF(AND(ISNUMBER(G525),ISNUMBER(N525)),G525-N525,"")</f>
        <v>257.450000000001</v>
      </c>
      <c r="P525" s="49" t="n">
        <f aca="false">IF(ISNUMBER(O525),O525/N525,"")</f>
        <v>0.0105396315939223</v>
      </c>
      <c r="Q525" s="50" t="n">
        <f aca="false">C525-B525</f>
        <v>60</v>
      </c>
      <c r="R525" s="51" t="n">
        <f aca="false">IF(AND(C525=C524,ISNUMBER(G525),ISNUMBER(G524)),(G525/G524-1)*100,"")</f>
        <v>-0.36167095209072</v>
      </c>
      <c r="S525" s="51" t="n">
        <f aca="false">IF(AND(C525=C524,ISNUMBER(L525),ISNUMBER(L524)),(L525/L524-1)*100,"")</f>
        <v>9.4076949038137</v>
      </c>
      <c r="T525" s="51" t="n">
        <f aca="false">IF(AND(C525=C524,ISNUMBER(G525),ISNUMBER(G524)),G525-G524,"")</f>
        <v>-89.6000000000022</v>
      </c>
      <c r="U525" s="1" t="str">
        <f aca="false">IF(OR(NOT(ISNUMBER(R525)),NOT(ISNUMBER(S525))),"Not classified",IF(AND(R525&gt;0,S525&gt;0),"Long buildup (interpretation)",IF(AND(R525&lt;0,S525&gt;0),"Short buildup (interpretation)",IF(AND(R525&gt;0,S525&lt;0),"Short covering (interpretation)",IF(AND(R525&lt;0,S525&lt;0),"Long unwinding (interpretation)","Neutral")))))</f>
        <v>Short buildup (interpretation)</v>
      </c>
      <c r="V525" s="52" t="str">
        <f aca="false">TEXT(B525,"yyyy-mm")</f>
        <v>2025-08</v>
      </c>
      <c r="W525" s="52" t="n">
        <f aca="false">1+COUNTIFS($B$2:$B$756,B525,$C$2:$C$756,"&lt;"&amp;C525)</f>
        <v>2</v>
      </c>
      <c r="X525" s="53" t="n">
        <f aca="false">IF(AND(ISNUMBER(P525),Q525&gt;0),P525*365/Q525,"")</f>
        <v>0.0641160921963606</v>
      </c>
      <c r="Y525" s="42" t="n">
        <f aca="false">IF(AND(C526=C525,ISNUMBER(R526)),R526,"")</f>
        <v>0.768504677061932</v>
      </c>
      <c r="Z525" s="52" t="n">
        <f aca="false">IF(AND(W525=1,Q525&gt;Basis_Analysis!$B$3,ISNUMBER(Y525)),1,0)</f>
        <v>0</v>
      </c>
      <c r="AA525" s="43" t="str">
        <f aca="false">IF(W525=1,IF(SUMIFS($L$2:$L$756,$B$2:$B$756,B525,$W$2:$W$756,2)&gt;0,SUMIFS($L$2:$L$756,$B$2:$B$756,B525,$W$2:$W$756,2),""),"")</f>
        <v/>
      </c>
      <c r="AB525" s="54" t="str">
        <f aca="false">IF(AND(W525=1,ISNUMBER(AA525)),L525/(L525+AA525),"")</f>
        <v/>
      </c>
    </row>
    <row r="526" customFormat="false" ht="15" hidden="false" customHeight="true" outlineLevel="0" collapsed="false">
      <c r="A526" s="1" t="s">
        <v>274</v>
      </c>
      <c r="B526" s="46" t="n">
        <v>45901</v>
      </c>
      <c r="C526" s="46" t="n">
        <v>45958</v>
      </c>
      <c r="D526" s="47" t="n">
        <v>24699</v>
      </c>
      <c r="E526" s="47" t="n">
        <v>24882.1</v>
      </c>
      <c r="F526" s="47" t="n">
        <v>24693.5</v>
      </c>
      <c r="G526" s="47" t="n">
        <v>24874</v>
      </c>
      <c r="H526" s="47" t="n">
        <v>24881.7</v>
      </c>
      <c r="I526" s="47" t="n">
        <v>24874</v>
      </c>
      <c r="J526" s="48" t="n">
        <v>3363</v>
      </c>
      <c r="K526" s="47" t="n">
        <v>62592.38</v>
      </c>
      <c r="L526" s="48" t="n">
        <v>987375</v>
      </c>
      <c r="M526" s="48" t="n">
        <v>14850</v>
      </c>
      <c r="N526" s="47" t="n">
        <v>24625.05</v>
      </c>
      <c r="O526" s="47" t="n">
        <f aca="false">IF(AND(ISNUMBER(G526),ISNUMBER(N526)),G526-N526,"")</f>
        <v>248.950000000001</v>
      </c>
      <c r="P526" s="49" t="n">
        <f aca="false">IF(ISNUMBER(O526),O526/N526,"")</f>
        <v>0.0101096241428952</v>
      </c>
      <c r="Q526" s="50" t="n">
        <f aca="false">C526-B526</f>
        <v>57</v>
      </c>
      <c r="R526" s="51" t="n">
        <f aca="false">IF(AND(C526=C525,ISNUMBER(G526),ISNUMBER(G525)),(G526/G525-1)*100,"")</f>
        <v>0.768504677061932</v>
      </c>
      <c r="S526" s="51" t="n">
        <f aca="false">IF(AND(C526=C525,ISNUMBER(L526),ISNUMBER(L525)),(L526/L525-1)*100,"")</f>
        <v>1.52695303462636</v>
      </c>
      <c r="T526" s="51" t="n">
        <f aca="false">IF(AND(C526=C525,ISNUMBER(G526),ISNUMBER(G525)),G526-G525,"")</f>
        <v>189.700000000001</v>
      </c>
      <c r="U526" s="1" t="str">
        <f aca="false">IF(OR(NOT(ISNUMBER(R526)),NOT(ISNUMBER(S526))),"Not classified",IF(AND(R526&gt;0,S526&gt;0),"Long buildup (interpretation)",IF(AND(R526&lt;0,S526&gt;0),"Short buildup (interpretation)",IF(AND(R526&gt;0,S526&lt;0),"Short covering (interpretation)",IF(AND(R526&lt;0,S526&lt;0),"Long unwinding (interpretation)","Neutral")))))</f>
        <v>Long buildup (interpretation)</v>
      </c>
      <c r="V526" s="52" t="str">
        <f aca="false">TEXT(B526,"yyyy-mm")</f>
        <v>2025-09</v>
      </c>
      <c r="W526" s="52" t="n">
        <f aca="false">1+COUNTIFS($B$2:$B$756,B526,$C$2:$C$756,"&lt;"&amp;C526)</f>
        <v>2</v>
      </c>
      <c r="X526" s="53" t="n">
        <f aca="false">IF(AND(ISNUMBER(P526),Q526&gt;0),P526*365/Q526,"")</f>
        <v>0.0647370668799428</v>
      </c>
      <c r="Y526" s="42" t="n">
        <f aca="false">IF(AND(C527=C526,ISNUMBER(R527)),R527,"")</f>
        <v>-0.261719064082977</v>
      </c>
      <c r="Z526" s="52" t="n">
        <f aca="false">IF(AND(W526=1,Q526&gt;Basis_Analysis!$B$3,ISNUMBER(Y526)),1,0)</f>
        <v>0</v>
      </c>
      <c r="AA526" s="43" t="str">
        <f aca="false">IF(W526=1,IF(SUMIFS($L$2:$L$756,$B$2:$B$756,B526,$W$2:$W$756,2)&gt;0,SUMIFS($L$2:$L$756,$B$2:$B$756,B526,$W$2:$W$756,2),""),"")</f>
        <v/>
      </c>
      <c r="AB526" s="54" t="str">
        <f aca="false">IF(AND(W526=1,ISNUMBER(AA526)),L526/(L526+AA526),"")</f>
        <v/>
      </c>
    </row>
    <row r="527" customFormat="false" ht="15" hidden="false" customHeight="true" outlineLevel="0" collapsed="false">
      <c r="A527" s="1" t="s">
        <v>274</v>
      </c>
      <c r="B527" s="46" t="n">
        <v>45902</v>
      </c>
      <c r="C527" s="46" t="n">
        <v>45958</v>
      </c>
      <c r="D527" s="47" t="n">
        <v>24881.6</v>
      </c>
      <c r="E527" s="47" t="n">
        <v>24990</v>
      </c>
      <c r="F527" s="47" t="n">
        <v>24770</v>
      </c>
      <c r="G527" s="47" t="n">
        <v>24808.9</v>
      </c>
      <c r="H527" s="47" t="n">
        <v>24800</v>
      </c>
      <c r="I527" s="47" t="n">
        <v>24808.9</v>
      </c>
      <c r="J527" s="48" t="n">
        <v>5692</v>
      </c>
      <c r="K527" s="47" t="n">
        <v>106295.72</v>
      </c>
      <c r="L527" s="48" t="n">
        <v>1030350</v>
      </c>
      <c r="M527" s="48" t="n">
        <v>42975</v>
      </c>
      <c r="N527" s="47" t="n">
        <v>24579.6</v>
      </c>
      <c r="O527" s="47" t="n">
        <f aca="false">IF(AND(ISNUMBER(G527),ISNUMBER(N527)),G527-N527,"")</f>
        <v>229.300000000003</v>
      </c>
      <c r="P527" s="49" t="n">
        <f aca="false">IF(ISNUMBER(O527),O527/N527,"")</f>
        <v>0.00932887435108801</v>
      </c>
      <c r="Q527" s="50" t="n">
        <f aca="false">C527-B527</f>
        <v>56</v>
      </c>
      <c r="R527" s="51" t="n">
        <f aca="false">IF(AND(C527=C526,ISNUMBER(G527),ISNUMBER(G526)),(G527/G526-1)*100,"")</f>
        <v>-0.261719064082977</v>
      </c>
      <c r="S527" s="51" t="n">
        <f aca="false">IF(AND(C527=C526,ISNUMBER(L527),ISNUMBER(L526)),(L527/L526-1)*100,"")</f>
        <v>4.35244967717432</v>
      </c>
      <c r="T527" s="51" t="n">
        <f aca="false">IF(AND(C527=C526,ISNUMBER(G527),ISNUMBER(G526)),G527-G526,"")</f>
        <v>-65.0999999999985</v>
      </c>
      <c r="U527" s="1" t="str">
        <f aca="false">IF(OR(NOT(ISNUMBER(R527)),NOT(ISNUMBER(S527))),"Not classified",IF(AND(R527&gt;0,S527&gt;0),"Long buildup (interpretation)",IF(AND(R527&lt;0,S527&gt;0),"Short buildup (interpretation)",IF(AND(R527&gt;0,S527&lt;0),"Short covering (interpretation)",IF(AND(R527&lt;0,S527&lt;0),"Long unwinding (interpretation)","Neutral")))))</f>
        <v>Short buildup (interpretation)</v>
      </c>
      <c r="V527" s="52" t="str">
        <f aca="false">TEXT(B527,"yyyy-mm")</f>
        <v>2025-09</v>
      </c>
      <c r="W527" s="52" t="n">
        <f aca="false">1+COUNTIFS($B$2:$B$756,B527,$C$2:$C$756,"&lt;"&amp;C527)</f>
        <v>2</v>
      </c>
      <c r="X527" s="53" t="n">
        <f aca="false">IF(AND(ISNUMBER(P527),Q527&gt;0),P527*365/Q527,"")</f>
        <v>0.0608042703240558</v>
      </c>
      <c r="Y527" s="42" t="n">
        <f aca="false">IF(AND(C528=C527,ISNUMBER(R528)),R528,"")</f>
        <v>0.500223710039527</v>
      </c>
      <c r="Z527" s="52" t="n">
        <f aca="false">IF(AND(W527=1,Q527&gt;Basis_Analysis!$B$3,ISNUMBER(Y527)),1,0)</f>
        <v>0</v>
      </c>
      <c r="AA527" s="43" t="str">
        <f aca="false">IF(W527=1,IF(SUMIFS($L$2:$L$756,$B$2:$B$756,B527,$W$2:$W$756,2)&gt;0,SUMIFS($L$2:$L$756,$B$2:$B$756,B527,$W$2:$W$756,2),""),"")</f>
        <v/>
      </c>
      <c r="AB527" s="54" t="str">
        <f aca="false">IF(AND(W527=1,ISNUMBER(AA527)),L527/(L527+AA527),"")</f>
        <v/>
      </c>
    </row>
    <row r="528" customFormat="false" ht="15" hidden="false" customHeight="true" outlineLevel="0" collapsed="false">
      <c r="A528" s="1" t="s">
        <v>274</v>
      </c>
      <c r="B528" s="46" t="n">
        <v>45903</v>
      </c>
      <c r="C528" s="46" t="n">
        <v>45958</v>
      </c>
      <c r="D528" s="47" t="n">
        <v>24808.8</v>
      </c>
      <c r="E528" s="47" t="n">
        <v>24950</v>
      </c>
      <c r="F528" s="47" t="n">
        <v>24756.4</v>
      </c>
      <c r="G528" s="47" t="n">
        <v>24933</v>
      </c>
      <c r="H528" s="47" t="n">
        <v>24931.4</v>
      </c>
      <c r="I528" s="47" t="n">
        <v>24933</v>
      </c>
      <c r="J528" s="48" t="n">
        <v>3109</v>
      </c>
      <c r="K528" s="47" t="n">
        <v>57953.41</v>
      </c>
      <c r="L528" s="48" t="n">
        <v>1076850</v>
      </c>
      <c r="M528" s="48" t="n">
        <v>46500</v>
      </c>
      <c r="N528" s="47" t="n">
        <v>24715.05</v>
      </c>
      <c r="O528" s="47" t="n">
        <f aca="false">IF(AND(ISNUMBER(G528),ISNUMBER(N528)),G528-N528,"")</f>
        <v>217.950000000001</v>
      </c>
      <c r="P528" s="49" t="n">
        <f aca="false">IF(ISNUMBER(O528),O528/N528,"")</f>
        <v>0.00881851341591462</v>
      </c>
      <c r="Q528" s="50" t="n">
        <f aca="false">C528-B528</f>
        <v>55</v>
      </c>
      <c r="R528" s="51" t="n">
        <f aca="false">IF(AND(C528=C527,ISNUMBER(G528),ISNUMBER(G527)),(G528/G527-1)*100,"")</f>
        <v>0.500223710039527</v>
      </c>
      <c r="S528" s="51" t="n">
        <f aca="false">IF(AND(C528=C527,ISNUMBER(L528),ISNUMBER(L527)),(L528/L527-1)*100,"")</f>
        <v>4.5130295530645</v>
      </c>
      <c r="T528" s="51" t="n">
        <f aca="false">IF(AND(C528=C527,ISNUMBER(G528),ISNUMBER(G527)),G528-G527,"")</f>
        <v>124.099999999999</v>
      </c>
      <c r="U528" s="1" t="str">
        <f aca="false">IF(OR(NOT(ISNUMBER(R528)),NOT(ISNUMBER(S528))),"Not classified",IF(AND(R528&gt;0,S528&gt;0),"Long buildup (interpretation)",IF(AND(R528&lt;0,S528&gt;0),"Short buildup (interpretation)",IF(AND(R528&gt;0,S528&lt;0),"Short covering (interpretation)",IF(AND(R528&lt;0,S528&lt;0),"Long unwinding (interpretation)","Neutral")))))</f>
        <v>Long buildup (interpretation)</v>
      </c>
      <c r="V528" s="52" t="str">
        <f aca="false">TEXT(B528,"yyyy-mm")</f>
        <v>2025-09</v>
      </c>
      <c r="W528" s="52" t="n">
        <f aca="false">1+COUNTIFS($B$2:$B$756,B528,$C$2:$C$756,"&lt;"&amp;C528)</f>
        <v>2</v>
      </c>
      <c r="X528" s="53" t="n">
        <f aca="false">IF(AND(ISNUMBER(P528),Q528&gt;0),P528*365/Q528,"")</f>
        <v>0.0585228617601607</v>
      </c>
      <c r="Y528" s="42" t="n">
        <f aca="false">IF(AND(C529=C528,ISNUMBER(R529)),R529,"")</f>
        <v>0.0593590823406709</v>
      </c>
      <c r="Z528" s="52" t="n">
        <f aca="false">IF(AND(W528=1,Q528&gt;Basis_Analysis!$B$3,ISNUMBER(Y528)),1,0)</f>
        <v>0</v>
      </c>
      <c r="AA528" s="43" t="str">
        <f aca="false">IF(W528=1,IF(SUMIFS($L$2:$L$756,$B$2:$B$756,B528,$W$2:$W$756,2)&gt;0,SUMIFS($L$2:$L$756,$B$2:$B$756,B528,$W$2:$W$756,2),""),"")</f>
        <v/>
      </c>
      <c r="AB528" s="54" t="str">
        <f aca="false">IF(AND(W528=1,ISNUMBER(AA528)),L528/(L528+AA528),"")</f>
        <v/>
      </c>
    </row>
    <row r="529" customFormat="false" ht="15" hidden="false" customHeight="true" outlineLevel="0" collapsed="false">
      <c r="A529" s="1" t="s">
        <v>274</v>
      </c>
      <c r="B529" s="46" t="n">
        <v>45904</v>
      </c>
      <c r="C529" s="46" t="n">
        <v>45958</v>
      </c>
      <c r="D529" s="47" t="n">
        <v>25030</v>
      </c>
      <c r="E529" s="47" t="n">
        <v>25150</v>
      </c>
      <c r="F529" s="47" t="n">
        <v>24930</v>
      </c>
      <c r="G529" s="47" t="n">
        <v>24947.8</v>
      </c>
      <c r="H529" s="47" t="n">
        <v>24953</v>
      </c>
      <c r="I529" s="47" t="n">
        <v>24947.8</v>
      </c>
      <c r="J529" s="48" t="n">
        <v>5057</v>
      </c>
      <c r="K529" s="47" t="n">
        <v>95003.01</v>
      </c>
      <c r="L529" s="48" t="n">
        <v>1133550</v>
      </c>
      <c r="M529" s="48" t="n">
        <v>56700</v>
      </c>
      <c r="N529" s="47" t="n">
        <v>24734.3</v>
      </c>
      <c r="O529" s="47" t="n">
        <f aca="false">IF(AND(ISNUMBER(G529),ISNUMBER(N529)),G529-N529,"")</f>
        <v>213.5</v>
      </c>
      <c r="P529" s="49" t="n">
        <f aca="false">IF(ISNUMBER(O529),O529/N529,"")</f>
        <v>0.00863173811266137</v>
      </c>
      <c r="Q529" s="50" t="n">
        <f aca="false">C529-B529</f>
        <v>54</v>
      </c>
      <c r="R529" s="51" t="n">
        <f aca="false">IF(AND(C529=C528,ISNUMBER(G529),ISNUMBER(G528)),(G529/G528-1)*100,"")</f>
        <v>0.0593590823406709</v>
      </c>
      <c r="S529" s="51" t="n">
        <f aca="false">IF(AND(C529=C528,ISNUMBER(L529),ISNUMBER(L528)),(L529/L528-1)*100,"")</f>
        <v>5.26535729210196</v>
      </c>
      <c r="T529" s="51" t="n">
        <f aca="false">IF(AND(C529=C528,ISNUMBER(G529),ISNUMBER(G528)),G529-G528,"")</f>
        <v>14.7999999999993</v>
      </c>
      <c r="U529" s="1" t="str">
        <f aca="false">IF(OR(NOT(ISNUMBER(R529)),NOT(ISNUMBER(S529))),"Not classified",IF(AND(R529&gt;0,S529&gt;0),"Long buildup (interpretation)",IF(AND(R529&lt;0,S529&gt;0),"Short buildup (interpretation)",IF(AND(R529&gt;0,S529&lt;0),"Short covering (interpretation)",IF(AND(R529&lt;0,S529&lt;0),"Long unwinding (interpretation)","Neutral")))))</f>
        <v>Long buildup (interpretation)</v>
      </c>
      <c r="V529" s="52" t="str">
        <f aca="false">TEXT(B529,"yyyy-mm")</f>
        <v>2025-09</v>
      </c>
      <c r="W529" s="52" t="n">
        <f aca="false">1+COUNTIFS($B$2:$B$756,B529,$C$2:$C$756,"&lt;"&amp;C529)</f>
        <v>2</v>
      </c>
      <c r="X529" s="53" t="n">
        <f aca="false">IF(AND(ISNUMBER(P529),Q529&gt;0),P529*365/Q529,"")</f>
        <v>0.0583441557615074</v>
      </c>
      <c r="Y529" s="42" t="n">
        <f aca="false">IF(AND(C530=C529,ISNUMBER(R530)),R530,"")</f>
        <v>0.0669397702402597</v>
      </c>
      <c r="Z529" s="52" t="n">
        <f aca="false">IF(AND(W529=1,Q529&gt;Basis_Analysis!$B$3,ISNUMBER(Y529)),1,0)</f>
        <v>0</v>
      </c>
      <c r="AA529" s="43" t="str">
        <f aca="false">IF(W529=1,IF(SUMIFS($L$2:$L$756,$B$2:$B$756,B529,$W$2:$W$756,2)&gt;0,SUMIFS($L$2:$L$756,$B$2:$B$756,B529,$W$2:$W$756,2),""),"")</f>
        <v/>
      </c>
      <c r="AB529" s="54" t="str">
        <f aca="false">IF(AND(W529=1,ISNUMBER(AA529)),L529/(L529+AA529),"")</f>
        <v/>
      </c>
    </row>
    <row r="530" customFormat="false" ht="15" hidden="false" customHeight="true" outlineLevel="0" collapsed="false">
      <c r="A530" s="1" t="s">
        <v>274</v>
      </c>
      <c r="B530" s="46" t="n">
        <v>45905</v>
      </c>
      <c r="C530" s="46" t="n">
        <v>45958</v>
      </c>
      <c r="D530" s="47" t="n">
        <v>24989.4</v>
      </c>
      <c r="E530" s="47" t="n">
        <v>25040.5</v>
      </c>
      <c r="F530" s="47" t="n">
        <v>24840.1</v>
      </c>
      <c r="G530" s="47" t="n">
        <v>24964.5</v>
      </c>
      <c r="H530" s="47" t="n">
        <v>24957.4</v>
      </c>
      <c r="I530" s="47" t="n">
        <v>24964.5</v>
      </c>
      <c r="J530" s="48" t="n">
        <v>4303</v>
      </c>
      <c r="K530" s="47" t="n">
        <v>80465.52</v>
      </c>
      <c r="L530" s="48" t="n">
        <v>1218375</v>
      </c>
      <c r="M530" s="48" t="n">
        <v>84825</v>
      </c>
      <c r="N530" s="47" t="n">
        <v>24741</v>
      </c>
      <c r="O530" s="47" t="n">
        <f aca="false">IF(AND(ISNUMBER(G530),ISNUMBER(N530)),G530-N530,"")</f>
        <v>223.5</v>
      </c>
      <c r="P530" s="49" t="n">
        <f aca="false">IF(ISNUMBER(O530),O530/N530,"")</f>
        <v>0.00903358797138353</v>
      </c>
      <c r="Q530" s="50" t="n">
        <f aca="false">C530-B530</f>
        <v>53</v>
      </c>
      <c r="R530" s="51" t="n">
        <f aca="false">IF(AND(C530=C529,ISNUMBER(G530),ISNUMBER(G529)),(G530/G529-1)*100,"")</f>
        <v>0.0669397702402597</v>
      </c>
      <c r="S530" s="51" t="n">
        <f aca="false">IF(AND(C530=C529,ISNUMBER(L530),ISNUMBER(L529)),(L530/L529-1)*100,"")</f>
        <v>7.48312822548631</v>
      </c>
      <c r="T530" s="51" t="n">
        <f aca="false">IF(AND(C530=C529,ISNUMBER(G530),ISNUMBER(G529)),G530-G529,"")</f>
        <v>16.7000000000007</v>
      </c>
      <c r="U530" s="1" t="str">
        <f aca="false">IF(OR(NOT(ISNUMBER(R530)),NOT(ISNUMBER(S530))),"Not classified",IF(AND(R530&gt;0,S530&gt;0),"Long buildup (interpretation)",IF(AND(R530&lt;0,S530&gt;0),"Short buildup (interpretation)",IF(AND(R530&gt;0,S530&lt;0),"Short covering (interpretation)",IF(AND(R530&lt;0,S530&lt;0),"Long unwinding (interpretation)","Neutral")))))</f>
        <v>Long buildup (interpretation)</v>
      </c>
      <c r="V530" s="52" t="str">
        <f aca="false">TEXT(B530,"yyyy-mm")</f>
        <v>2025-09</v>
      </c>
      <c r="W530" s="52" t="n">
        <f aca="false">1+COUNTIFS($B$2:$B$756,B530,$C$2:$C$756,"&lt;"&amp;C530)</f>
        <v>2</v>
      </c>
      <c r="X530" s="53" t="n">
        <f aca="false">IF(AND(ISNUMBER(P530),Q530&gt;0),P530*365/Q530,"")</f>
        <v>0.0622124454633017</v>
      </c>
      <c r="Y530" s="42" t="n">
        <f aca="false">IF(AND(C531=C530,ISNUMBER(R531)),R531,"")</f>
        <v>0.171844018506295</v>
      </c>
      <c r="Z530" s="52" t="n">
        <f aca="false">IF(AND(W530=1,Q530&gt;Basis_Analysis!$B$3,ISNUMBER(Y530)),1,0)</f>
        <v>0</v>
      </c>
      <c r="AA530" s="43" t="str">
        <f aca="false">IF(W530=1,IF(SUMIFS($L$2:$L$756,$B$2:$B$756,B530,$W$2:$W$756,2)&gt;0,SUMIFS($L$2:$L$756,$B$2:$B$756,B530,$W$2:$W$756,2),""),"")</f>
        <v/>
      </c>
      <c r="AB530" s="54" t="str">
        <f aca="false">IF(AND(W530=1,ISNUMBER(AA530)),L530/(L530+AA530),"")</f>
        <v/>
      </c>
    </row>
    <row r="531" customFormat="false" ht="15" hidden="false" customHeight="true" outlineLevel="0" collapsed="false">
      <c r="A531" s="1" t="s">
        <v>274</v>
      </c>
      <c r="B531" s="46" t="n">
        <v>45908</v>
      </c>
      <c r="C531" s="46" t="n">
        <v>45958</v>
      </c>
      <c r="D531" s="47" t="n">
        <v>25020.1</v>
      </c>
      <c r="E531" s="47" t="n">
        <v>25093.9</v>
      </c>
      <c r="F531" s="47" t="n">
        <v>24975</v>
      </c>
      <c r="G531" s="47" t="n">
        <v>25007.4</v>
      </c>
      <c r="H531" s="47" t="n">
        <v>25025.8</v>
      </c>
      <c r="I531" s="47" t="n">
        <v>25007.4</v>
      </c>
      <c r="J531" s="48" t="n">
        <v>4055</v>
      </c>
      <c r="K531" s="47" t="n">
        <v>76138.48</v>
      </c>
      <c r="L531" s="48" t="n">
        <v>1253100</v>
      </c>
      <c r="M531" s="48" t="n">
        <v>34725</v>
      </c>
      <c r="N531" s="47" t="n">
        <v>24773.15</v>
      </c>
      <c r="O531" s="47" t="n">
        <f aca="false">IF(AND(ISNUMBER(G531),ISNUMBER(N531)),G531-N531,"")</f>
        <v>234.25</v>
      </c>
      <c r="P531" s="49" t="n">
        <f aca="false">IF(ISNUMBER(O531),O531/N531,"")</f>
        <v>0.00945580194686586</v>
      </c>
      <c r="Q531" s="50" t="n">
        <f aca="false">C531-B531</f>
        <v>50</v>
      </c>
      <c r="R531" s="51" t="n">
        <f aca="false">IF(AND(C531=C530,ISNUMBER(G531),ISNUMBER(G530)),(G531/G530-1)*100,"")</f>
        <v>0.171844018506295</v>
      </c>
      <c r="S531" s="51" t="n">
        <f aca="false">IF(AND(C531=C530,ISNUMBER(L531),ISNUMBER(L530)),(L531/L530-1)*100,"")</f>
        <v>2.85010772545398</v>
      </c>
      <c r="T531" s="51" t="n">
        <f aca="false">IF(AND(C531=C530,ISNUMBER(G531),ISNUMBER(G530)),G531-G530,"")</f>
        <v>42.9000000000015</v>
      </c>
      <c r="U531" s="1" t="str">
        <f aca="false">IF(OR(NOT(ISNUMBER(R531)),NOT(ISNUMBER(S531))),"Not classified",IF(AND(R531&gt;0,S531&gt;0),"Long buildup (interpretation)",IF(AND(R531&lt;0,S531&gt;0),"Short buildup (interpretation)",IF(AND(R531&gt;0,S531&lt;0),"Short covering (interpretation)",IF(AND(R531&lt;0,S531&lt;0),"Long unwinding (interpretation)","Neutral")))))</f>
        <v>Long buildup (interpretation)</v>
      </c>
      <c r="V531" s="52" t="str">
        <f aca="false">TEXT(B531,"yyyy-mm")</f>
        <v>2025-09</v>
      </c>
      <c r="W531" s="52" t="n">
        <f aca="false">1+COUNTIFS($B$2:$B$756,B531,$C$2:$C$756,"&lt;"&amp;C531)</f>
        <v>2</v>
      </c>
      <c r="X531" s="53" t="n">
        <f aca="false">IF(AND(ISNUMBER(P531),Q531&gt;0),P531*365/Q531,"")</f>
        <v>0.0690273542121208</v>
      </c>
      <c r="Y531" s="42" t="n">
        <f aca="false">IF(AND(C532=C531,ISNUMBER(R532)),R532,"")</f>
        <v>0.231531466685841</v>
      </c>
      <c r="Z531" s="52" t="n">
        <f aca="false">IF(AND(W531=1,Q531&gt;Basis_Analysis!$B$3,ISNUMBER(Y531)),1,0)</f>
        <v>0</v>
      </c>
      <c r="AA531" s="43" t="str">
        <f aca="false">IF(W531=1,IF(SUMIFS($L$2:$L$756,$B$2:$B$756,B531,$W$2:$W$756,2)&gt;0,SUMIFS($L$2:$L$756,$B$2:$B$756,B531,$W$2:$W$756,2),""),"")</f>
        <v/>
      </c>
      <c r="AB531" s="54" t="str">
        <f aca="false">IF(AND(W531=1,ISNUMBER(AA531)),L531/(L531+AA531),"")</f>
        <v/>
      </c>
    </row>
    <row r="532" customFormat="false" ht="15" hidden="false" customHeight="true" outlineLevel="0" collapsed="false">
      <c r="A532" s="1" t="s">
        <v>274</v>
      </c>
      <c r="B532" s="46" t="n">
        <v>45909</v>
      </c>
      <c r="C532" s="46" t="n">
        <v>45958</v>
      </c>
      <c r="D532" s="47" t="n">
        <v>25007.4</v>
      </c>
      <c r="E532" s="47" t="n">
        <v>25080</v>
      </c>
      <c r="F532" s="47" t="n">
        <v>25007.4</v>
      </c>
      <c r="G532" s="47" t="n">
        <v>25065.3</v>
      </c>
      <c r="H532" s="47" t="n">
        <v>25068</v>
      </c>
      <c r="I532" s="47" t="n">
        <v>25065.3</v>
      </c>
      <c r="J532" s="48" t="n">
        <v>2302</v>
      </c>
      <c r="K532" s="47" t="n">
        <v>43264.42</v>
      </c>
      <c r="L532" s="48" t="n">
        <v>1273650</v>
      </c>
      <c r="M532" s="48" t="n">
        <v>20550</v>
      </c>
      <c r="N532" s="47" t="n">
        <v>24868.6</v>
      </c>
      <c r="O532" s="47" t="n">
        <f aca="false">IF(AND(ISNUMBER(G532),ISNUMBER(N532)),G532-N532,"")</f>
        <v>196.700000000001</v>
      </c>
      <c r="P532" s="49" t="n">
        <f aca="false">IF(ISNUMBER(O532),O532/N532,"")</f>
        <v>0.00790957271418579</v>
      </c>
      <c r="Q532" s="50" t="n">
        <f aca="false">C532-B532</f>
        <v>49</v>
      </c>
      <c r="R532" s="51" t="n">
        <f aca="false">IF(AND(C532=C531,ISNUMBER(G532),ISNUMBER(G531)),(G532/G531-1)*100,"")</f>
        <v>0.231531466685841</v>
      </c>
      <c r="S532" s="51" t="n">
        <f aca="false">IF(AND(C532=C531,ISNUMBER(L532),ISNUMBER(L531)),(L532/L531-1)*100,"")</f>
        <v>1.63993296624372</v>
      </c>
      <c r="T532" s="51" t="n">
        <f aca="false">IF(AND(C532=C531,ISNUMBER(G532),ISNUMBER(G531)),G532-G531,"")</f>
        <v>57.8999999999978</v>
      </c>
      <c r="U532" s="1" t="str">
        <f aca="false">IF(OR(NOT(ISNUMBER(R532)),NOT(ISNUMBER(S532))),"Not classified",IF(AND(R532&gt;0,S532&gt;0),"Long buildup (interpretation)",IF(AND(R532&lt;0,S532&gt;0),"Short buildup (interpretation)",IF(AND(R532&gt;0,S532&lt;0),"Short covering (interpretation)",IF(AND(R532&lt;0,S532&lt;0),"Long unwinding (interpretation)","Neutral")))))</f>
        <v>Long buildup (interpretation)</v>
      </c>
      <c r="V532" s="52" t="str">
        <f aca="false">TEXT(B532,"yyyy-mm")</f>
        <v>2025-09</v>
      </c>
      <c r="W532" s="52" t="n">
        <f aca="false">1+COUNTIFS($B$2:$B$756,B532,$C$2:$C$756,"&lt;"&amp;C532)</f>
        <v>2</v>
      </c>
      <c r="X532" s="53" t="n">
        <f aca="false">IF(AND(ISNUMBER(P532),Q532&gt;0),P532*365/Q532,"")</f>
        <v>0.0589182457281186</v>
      </c>
      <c r="Y532" s="42" t="n">
        <f aca="false">IF(AND(C533=C532,ISNUMBER(R533)),R533,"")</f>
        <v>0.491915117712538</v>
      </c>
      <c r="Z532" s="52" t="n">
        <f aca="false">IF(AND(W532=1,Q532&gt;Basis_Analysis!$B$3,ISNUMBER(Y532)),1,0)</f>
        <v>0</v>
      </c>
      <c r="AA532" s="43" t="str">
        <f aca="false">IF(W532=1,IF(SUMIFS($L$2:$L$756,$B$2:$B$756,B532,$W$2:$W$756,2)&gt;0,SUMIFS($L$2:$L$756,$B$2:$B$756,B532,$W$2:$W$756,2),""),"")</f>
        <v/>
      </c>
      <c r="AB532" s="54" t="str">
        <f aca="false">IF(AND(W532=1,ISNUMBER(AA532)),L532/(L532+AA532),"")</f>
        <v/>
      </c>
    </row>
    <row r="533" customFormat="false" ht="15" hidden="false" customHeight="true" outlineLevel="0" collapsed="false">
      <c r="A533" s="1" t="s">
        <v>274</v>
      </c>
      <c r="B533" s="46" t="n">
        <v>45910</v>
      </c>
      <c r="C533" s="46" t="n">
        <v>45958</v>
      </c>
      <c r="D533" s="47" t="n">
        <v>25150</v>
      </c>
      <c r="E533" s="47" t="n">
        <v>25239.9</v>
      </c>
      <c r="F533" s="47" t="n">
        <v>25122.6</v>
      </c>
      <c r="G533" s="47" t="n">
        <v>25188.6</v>
      </c>
      <c r="H533" s="47" t="n">
        <v>25193</v>
      </c>
      <c r="I533" s="47" t="n">
        <v>25188.6</v>
      </c>
      <c r="J533" s="48" t="n">
        <v>5055</v>
      </c>
      <c r="K533" s="47" t="n">
        <v>95483.12</v>
      </c>
      <c r="L533" s="48" t="n">
        <v>1303500</v>
      </c>
      <c r="M533" s="48" t="n">
        <v>29850</v>
      </c>
      <c r="N533" s="47" t="n">
        <v>24973.1</v>
      </c>
      <c r="O533" s="47" t="n">
        <f aca="false">IF(AND(ISNUMBER(G533),ISNUMBER(N533)),G533-N533,"")</f>
        <v>215.5</v>
      </c>
      <c r="P533" s="49" t="n">
        <f aca="false">IF(ISNUMBER(O533),O533/N533,"")</f>
        <v>0.0086292851107792</v>
      </c>
      <c r="Q533" s="50" t="n">
        <f aca="false">C533-B533</f>
        <v>48</v>
      </c>
      <c r="R533" s="51" t="n">
        <f aca="false">IF(AND(C533=C532,ISNUMBER(G533),ISNUMBER(G532)),(G533/G532-1)*100,"")</f>
        <v>0.491915117712538</v>
      </c>
      <c r="S533" s="51" t="n">
        <f aca="false">IF(AND(C533=C532,ISNUMBER(L533),ISNUMBER(L532)),(L533/L532-1)*100,"")</f>
        <v>2.3436579908138</v>
      </c>
      <c r="T533" s="51" t="n">
        <f aca="false">IF(AND(C533=C532,ISNUMBER(G533),ISNUMBER(G532)),G533-G532,"")</f>
        <v>123.299999999999</v>
      </c>
      <c r="U533" s="1" t="str">
        <f aca="false">IF(OR(NOT(ISNUMBER(R533)),NOT(ISNUMBER(S533))),"Not classified",IF(AND(R533&gt;0,S533&gt;0),"Long buildup (interpretation)",IF(AND(R533&lt;0,S533&gt;0),"Short buildup (interpretation)",IF(AND(R533&gt;0,S533&lt;0),"Short covering (interpretation)",IF(AND(R533&lt;0,S533&lt;0),"Long unwinding (interpretation)","Neutral")))))</f>
        <v>Long buildup (interpretation)</v>
      </c>
      <c r="V533" s="52" t="str">
        <f aca="false">TEXT(B533,"yyyy-mm")</f>
        <v>2025-09</v>
      </c>
      <c r="W533" s="52" t="n">
        <f aca="false">1+COUNTIFS($B$2:$B$756,B533,$C$2:$C$756,"&lt;"&amp;C533)</f>
        <v>2</v>
      </c>
      <c r="X533" s="53" t="n">
        <f aca="false">IF(AND(ISNUMBER(P533),Q533&gt;0),P533*365/Q533,"")</f>
        <v>0.0656185221965502</v>
      </c>
      <c r="Y533" s="42" t="n">
        <f aca="false">IF(AND(C534=C533,ISNUMBER(R534)),R534,"")</f>
        <v>0.13299667309814</v>
      </c>
      <c r="Z533" s="52" t="n">
        <f aca="false">IF(AND(W533=1,Q533&gt;Basis_Analysis!$B$3,ISNUMBER(Y533)),1,0)</f>
        <v>0</v>
      </c>
      <c r="AA533" s="43" t="str">
        <f aca="false">IF(W533=1,IF(SUMIFS($L$2:$L$756,$B$2:$B$756,B533,$W$2:$W$756,2)&gt;0,SUMIFS($L$2:$L$756,$B$2:$B$756,B533,$W$2:$W$756,2),""),"")</f>
        <v/>
      </c>
      <c r="AB533" s="54" t="str">
        <f aca="false">IF(AND(W533=1,ISNUMBER(AA533)),L533/(L533+AA533),"")</f>
        <v/>
      </c>
    </row>
    <row r="534" customFormat="false" ht="15" hidden="false" customHeight="true" outlineLevel="0" collapsed="false">
      <c r="A534" s="1" t="s">
        <v>274</v>
      </c>
      <c r="B534" s="46" t="n">
        <v>45911</v>
      </c>
      <c r="C534" s="46" t="n">
        <v>45958</v>
      </c>
      <c r="D534" s="47" t="n">
        <v>25178.3</v>
      </c>
      <c r="E534" s="47" t="n">
        <v>25233.9</v>
      </c>
      <c r="F534" s="47" t="n">
        <v>25167.9</v>
      </c>
      <c r="G534" s="47" t="n">
        <v>25222.1</v>
      </c>
      <c r="H534" s="47" t="n">
        <v>25222.1</v>
      </c>
      <c r="I534" s="47" t="n">
        <v>25222.1</v>
      </c>
      <c r="J534" s="48" t="n">
        <v>2373</v>
      </c>
      <c r="K534" s="47" t="n">
        <v>44861.18</v>
      </c>
      <c r="L534" s="48" t="n">
        <v>1350450</v>
      </c>
      <c r="M534" s="48" t="n">
        <v>46950</v>
      </c>
      <c r="N534" s="47" t="n">
        <v>25005.5</v>
      </c>
      <c r="O534" s="47" t="n">
        <f aca="false">IF(AND(ISNUMBER(G534),ISNUMBER(N534)),G534-N534,"")</f>
        <v>216.599999999999</v>
      </c>
      <c r="P534" s="49" t="n">
        <f aca="false">IF(ISNUMBER(O534),O534/N534,"")</f>
        <v>0.00866209433924531</v>
      </c>
      <c r="Q534" s="50" t="n">
        <f aca="false">C534-B534</f>
        <v>47</v>
      </c>
      <c r="R534" s="51" t="n">
        <f aca="false">IF(AND(C534=C533,ISNUMBER(G534),ISNUMBER(G533)),(G534/G533-1)*100,"")</f>
        <v>0.13299667309814</v>
      </c>
      <c r="S534" s="51" t="n">
        <f aca="false">IF(AND(C534=C533,ISNUMBER(L534),ISNUMBER(L533)),(L534/L533-1)*100,"")</f>
        <v>3.60184119677791</v>
      </c>
      <c r="T534" s="51" t="n">
        <f aca="false">IF(AND(C534=C533,ISNUMBER(G534),ISNUMBER(G533)),G534-G533,"")</f>
        <v>33.5</v>
      </c>
      <c r="U534" s="1" t="str">
        <f aca="false">IF(OR(NOT(ISNUMBER(R534)),NOT(ISNUMBER(S534))),"Not classified",IF(AND(R534&gt;0,S534&gt;0),"Long buildup (interpretation)",IF(AND(R534&lt;0,S534&gt;0),"Short buildup (interpretation)",IF(AND(R534&gt;0,S534&lt;0),"Short covering (interpretation)",IF(AND(R534&lt;0,S534&lt;0),"Long unwinding (interpretation)","Neutral")))))</f>
        <v>Long buildup (interpretation)</v>
      </c>
      <c r="V534" s="52" t="str">
        <f aca="false">TEXT(B534,"yyyy-mm")</f>
        <v>2025-09</v>
      </c>
      <c r="W534" s="52" t="n">
        <f aca="false">1+COUNTIFS($B$2:$B$756,B534,$C$2:$C$756,"&lt;"&amp;C534)</f>
        <v>2</v>
      </c>
      <c r="X534" s="53" t="n">
        <f aca="false">IF(AND(ISNUMBER(P534),Q534&gt;0),P534*365/Q534,"")</f>
        <v>0.0672694560388199</v>
      </c>
      <c r="Y534" s="42" t="n">
        <f aca="false">IF(AND(C535=C534,ISNUMBER(R535)),R535,"")</f>
        <v>0.395288259106108</v>
      </c>
      <c r="Z534" s="52" t="n">
        <f aca="false">IF(AND(W534=1,Q534&gt;Basis_Analysis!$B$3,ISNUMBER(Y534)),1,0)</f>
        <v>0</v>
      </c>
      <c r="AA534" s="43" t="str">
        <f aca="false">IF(W534=1,IF(SUMIFS($L$2:$L$756,$B$2:$B$756,B534,$W$2:$W$756,2)&gt;0,SUMIFS($L$2:$L$756,$B$2:$B$756,B534,$W$2:$W$756,2),""),"")</f>
        <v/>
      </c>
      <c r="AB534" s="54" t="str">
        <f aca="false">IF(AND(W534=1,ISNUMBER(AA534)),L534/(L534+AA534),"")</f>
        <v/>
      </c>
    </row>
    <row r="535" customFormat="false" ht="15" hidden="false" customHeight="true" outlineLevel="0" collapsed="false">
      <c r="A535" s="1" t="s">
        <v>274</v>
      </c>
      <c r="B535" s="46" t="n">
        <v>45912</v>
      </c>
      <c r="C535" s="46" t="n">
        <v>45958</v>
      </c>
      <c r="D535" s="47" t="n">
        <v>25257.6</v>
      </c>
      <c r="E535" s="47" t="n">
        <v>25338</v>
      </c>
      <c r="F535" s="47" t="n">
        <v>25245.6</v>
      </c>
      <c r="G535" s="47" t="n">
        <v>25321.8</v>
      </c>
      <c r="H535" s="47" t="n">
        <v>25327.8</v>
      </c>
      <c r="I535" s="47" t="n">
        <v>25321.8</v>
      </c>
      <c r="J535" s="48" t="n">
        <v>4372</v>
      </c>
      <c r="K535" s="47" t="n">
        <v>82972.38</v>
      </c>
      <c r="L535" s="48" t="n">
        <v>1439025</v>
      </c>
      <c r="M535" s="48" t="n">
        <v>88575</v>
      </c>
      <c r="N535" s="47" t="n">
        <v>25114</v>
      </c>
      <c r="O535" s="47" t="n">
        <f aca="false">IF(AND(ISNUMBER(G535),ISNUMBER(N535)),G535-N535,"")</f>
        <v>207.799999999999</v>
      </c>
      <c r="P535" s="49" t="n">
        <f aca="false">IF(ISNUMBER(O535),O535/N535,"")</f>
        <v>0.00827426933184675</v>
      </c>
      <c r="Q535" s="50" t="n">
        <f aca="false">C535-B535</f>
        <v>46</v>
      </c>
      <c r="R535" s="51" t="n">
        <f aca="false">IF(AND(C535=C534,ISNUMBER(G535),ISNUMBER(G534)),(G535/G534-1)*100,"")</f>
        <v>0.395288259106108</v>
      </c>
      <c r="S535" s="51" t="n">
        <f aca="false">IF(AND(C535=C534,ISNUMBER(L535),ISNUMBER(L534)),(L535/L534-1)*100,"")</f>
        <v>6.5589248028435</v>
      </c>
      <c r="T535" s="51" t="n">
        <f aca="false">IF(AND(C535=C534,ISNUMBER(G535),ISNUMBER(G534)),G535-G534,"")</f>
        <v>99.7000000000007</v>
      </c>
      <c r="U535" s="1" t="str">
        <f aca="false">IF(OR(NOT(ISNUMBER(R535)),NOT(ISNUMBER(S535))),"Not classified",IF(AND(R535&gt;0,S535&gt;0),"Long buildup (interpretation)",IF(AND(R535&lt;0,S535&gt;0),"Short buildup (interpretation)",IF(AND(R535&gt;0,S535&lt;0),"Short covering (interpretation)",IF(AND(R535&lt;0,S535&lt;0),"Long unwinding (interpretation)","Neutral")))))</f>
        <v>Long buildup (interpretation)</v>
      </c>
      <c r="V535" s="52" t="str">
        <f aca="false">TEXT(B535,"yyyy-mm")</f>
        <v>2025-09</v>
      </c>
      <c r="W535" s="52" t="n">
        <f aca="false">1+COUNTIFS($B$2:$B$756,B535,$C$2:$C$756,"&lt;"&amp;C535)</f>
        <v>2</v>
      </c>
      <c r="X535" s="53" t="n">
        <f aca="false">IF(AND(ISNUMBER(P535),Q535&gt;0),P535*365/Q535,"")</f>
        <v>0.0656545283940014</v>
      </c>
      <c r="Y535" s="42" t="n">
        <f aca="false">IF(AND(C536=C535,ISNUMBER(R536)),R536,"")</f>
        <v>-0.149278487311322</v>
      </c>
      <c r="Z535" s="52" t="n">
        <f aca="false">IF(AND(W535=1,Q535&gt;Basis_Analysis!$B$3,ISNUMBER(Y535)),1,0)</f>
        <v>0</v>
      </c>
      <c r="AA535" s="43" t="str">
        <f aca="false">IF(W535=1,IF(SUMIFS($L$2:$L$756,$B$2:$B$756,B535,$W$2:$W$756,2)&gt;0,SUMIFS($L$2:$L$756,$B$2:$B$756,B535,$W$2:$W$756,2),""),"")</f>
        <v/>
      </c>
      <c r="AB535" s="54" t="str">
        <f aca="false">IF(AND(W535=1,ISNUMBER(AA535)),L535/(L535+AA535),"")</f>
        <v/>
      </c>
    </row>
    <row r="536" customFormat="false" ht="15" hidden="false" customHeight="true" outlineLevel="0" collapsed="false">
      <c r="A536" s="1" t="s">
        <v>274</v>
      </c>
      <c r="B536" s="46" t="n">
        <v>45915</v>
      </c>
      <c r="C536" s="46" t="n">
        <v>45958</v>
      </c>
      <c r="D536" s="47" t="n">
        <v>25319.9</v>
      </c>
      <c r="E536" s="47" t="n">
        <v>25321.1</v>
      </c>
      <c r="F536" s="47" t="n">
        <v>25271.2</v>
      </c>
      <c r="G536" s="47" t="n">
        <v>25284</v>
      </c>
      <c r="H536" s="47" t="n">
        <v>25281</v>
      </c>
      <c r="I536" s="47" t="n">
        <v>25284</v>
      </c>
      <c r="J536" s="48" t="n">
        <v>2845</v>
      </c>
      <c r="K536" s="47" t="n">
        <v>53966.35</v>
      </c>
      <c r="L536" s="48" t="n">
        <v>1495725</v>
      </c>
      <c r="M536" s="48" t="n">
        <v>56700</v>
      </c>
      <c r="N536" s="47" t="n">
        <v>25069.2</v>
      </c>
      <c r="O536" s="47" t="n">
        <f aca="false">IF(AND(ISNUMBER(G536),ISNUMBER(N536)),G536-N536,"")</f>
        <v>214.799999999999</v>
      </c>
      <c r="P536" s="49" t="n">
        <f aca="false">IF(ISNUMBER(O536),O536/N536,"")</f>
        <v>0.00856828299267624</v>
      </c>
      <c r="Q536" s="50" t="n">
        <f aca="false">C536-B536</f>
        <v>43</v>
      </c>
      <c r="R536" s="51" t="n">
        <f aca="false">IF(AND(C536=C535,ISNUMBER(G536),ISNUMBER(G535)),(G536/G535-1)*100,"")</f>
        <v>-0.149278487311322</v>
      </c>
      <c r="S536" s="51" t="n">
        <f aca="false">IF(AND(C536=C535,ISNUMBER(L536),ISNUMBER(L535)),(L536/L535-1)*100,"")</f>
        <v>3.94016782196278</v>
      </c>
      <c r="T536" s="51" t="n">
        <f aca="false">IF(AND(C536=C535,ISNUMBER(G536),ISNUMBER(G535)),G536-G535,"")</f>
        <v>-37.7999999999993</v>
      </c>
      <c r="U536" s="1" t="str">
        <f aca="false">IF(OR(NOT(ISNUMBER(R536)),NOT(ISNUMBER(S536))),"Not classified",IF(AND(R536&gt;0,S536&gt;0),"Long buildup (interpretation)",IF(AND(R536&lt;0,S536&gt;0),"Short buildup (interpretation)",IF(AND(R536&gt;0,S536&lt;0),"Short covering (interpretation)",IF(AND(R536&lt;0,S536&lt;0),"Long unwinding (interpretation)","Neutral")))))</f>
        <v>Short buildup (interpretation)</v>
      </c>
      <c r="V536" s="52" t="str">
        <f aca="false">TEXT(B536,"yyyy-mm")</f>
        <v>2025-09</v>
      </c>
      <c r="W536" s="52" t="n">
        <f aca="false">1+COUNTIFS($B$2:$B$756,B536,$C$2:$C$756,"&lt;"&amp;C536)</f>
        <v>2</v>
      </c>
      <c r="X536" s="53" t="n">
        <f aca="false">IF(AND(ISNUMBER(P536),Q536&gt;0),P536*365/Q536,"")</f>
        <v>0.0727307742401588</v>
      </c>
      <c r="Y536" s="42" t="n">
        <f aca="false">IF(AND(C537=C536,ISNUMBER(R537)),R537,"")</f>
        <v>0.654959658281906</v>
      </c>
      <c r="Z536" s="52" t="n">
        <f aca="false">IF(AND(W536=1,Q536&gt;Basis_Analysis!$B$3,ISNUMBER(Y536)),1,0)</f>
        <v>0</v>
      </c>
      <c r="AA536" s="43" t="str">
        <f aca="false">IF(W536=1,IF(SUMIFS($L$2:$L$756,$B$2:$B$756,B536,$W$2:$W$756,2)&gt;0,SUMIFS($L$2:$L$756,$B$2:$B$756,B536,$W$2:$W$756,2),""),"")</f>
        <v/>
      </c>
      <c r="AB536" s="54" t="str">
        <f aca="false">IF(AND(W536=1,ISNUMBER(AA536)),L536/(L536+AA536),"")</f>
        <v/>
      </c>
    </row>
    <row r="537" customFormat="false" ht="15" hidden="false" customHeight="true" outlineLevel="0" collapsed="false">
      <c r="A537" s="1" t="s">
        <v>274</v>
      </c>
      <c r="B537" s="46" t="n">
        <v>45916</v>
      </c>
      <c r="C537" s="46" t="n">
        <v>45958</v>
      </c>
      <c r="D537" s="47" t="n">
        <v>25250.1</v>
      </c>
      <c r="E537" s="47" t="n">
        <v>25470</v>
      </c>
      <c r="F537" s="47" t="n">
        <v>25250.1</v>
      </c>
      <c r="G537" s="47" t="n">
        <v>25449.6</v>
      </c>
      <c r="H537" s="47" t="n">
        <v>25468.9</v>
      </c>
      <c r="I537" s="47" t="n">
        <v>25449.6</v>
      </c>
      <c r="J537" s="48" t="n">
        <v>6956</v>
      </c>
      <c r="K537" s="47" t="n">
        <v>132460.85</v>
      </c>
      <c r="L537" s="48" t="n">
        <v>1587750</v>
      </c>
      <c r="M537" s="48" t="n">
        <v>92025</v>
      </c>
      <c r="N537" s="47" t="n">
        <v>25239.1</v>
      </c>
      <c r="O537" s="47" t="n">
        <f aca="false">IF(AND(ISNUMBER(G537),ISNUMBER(N537)),G537-N537,"")</f>
        <v>210.5</v>
      </c>
      <c r="P537" s="49" t="n">
        <f aca="false">IF(ISNUMBER(O537),O537/N537,"")</f>
        <v>0.00834023400200483</v>
      </c>
      <c r="Q537" s="50" t="n">
        <f aca="false">C537-B537</f>
        <v>42</v>
      </c>
      <c r="R537" s="51" t="n">
        <f aca="false">IF(AND(C537=C536,ISNUMBER(G537),ISNUMBER(G536)),(G537/G536-1)*100,"")</f>
        <v>0.654959658281906</v>
      </c>
      <c r="S537" s="51" t="n">
        <f aca="false">IF(AND(C537=C536,ISNUMBER(L537),ISNUMBER(L536)),(L537/L536-1)*100,"")</f>
        <v>6.15253472396329</v>
      </c>
      <c r="T537" s="51" t="n">
        <f aca="false">IF(AND(C537=C536,ISNUMBER(G537),ISNUMBER(G536)),G537-G536,"")</f>
        <v>165.599999999999</v>
      </c>
      <c r="U537" s="1" t="str">
        <f aca="false">IF(OR(NOT(ISNUMBER(R537)),NOT(ISNUMBER(S537))),"Not classified",IF(AND(R537&gt;0,S537&gt;0),"Long buildup (interpretation)",IF(AND(R537&lt;0,S537&gt;0),"Short buildup (interpretation)",IF(AND(R537&gt;0,S537&lt;0),"Short covering (interpretation)",IF(AND(R537&lt;0,S537&lt;0),"Long unwinding (interpretation)","Neutral")))))</f>
        <v>Long buildup (interpretation)</v>
      </c>
      <c r="V537" s="52" t="str">
        <f aca="false">TEXT(B537,"yyyy-mm")</f>
        <v>2025-09</v>
      </c>
      <c r="W537" s="52" t="n">
        <f aca="false">1+COUNTIFS($B$2:$B$756,B537,$C$2:$C$756,"&lt;"&amp;C537)</f>
        <v>2</v>
      </c>
      <c r="X537" s="53" t="n">
        <f aca="false">IF(AND(ISNUMBER(P537),Q537&gt;0),P537*365/Q537,"")</f>
        <v>0.0724806050174229</v>
      </c>
      <c r="Y537" s="42" t="n">
        <f aca="false">IF(AND(C538=C537,ISNUMBER(R538)),R538,"")</f>
        <v>0.355211869734706</v>
      </c>
      <c r="Z537" s="52" t="n">
        <f aca="false">IF(AND(W537=1,Q537&gt;Basis_Analysis!$B$3,ISNUMBER(Y537)),1,0)</f>
        <v>0</v>
      </c>
      <c r="AA537" s="43" t="str">
        <f aca="false">IF(W537=1,IF(SUMIFS($L$2:$L$756,$B$2:$B$756,B537,$W$2:$W$756,2)&gt;0,SUMIFS($L$2:$L$756,$B$2:$B$756,B537,$W$2:$W$756,2),""),"")</f>
        <v/>
      </c>
      <c r="AB537" s="54" t="str">
        <f aca="false">IF(AND(W537=1,ISNUMBER(AA537)),L537/(L537+AA537),"")</f>
        <v/>
      </c>
    </row>
    <row r="538" customFormat="false" ht="15" hidden="false" customHeight="true" outlineLevel="0" collapsed="false">
      <c r="A538" s="1" t="s">
        <v>274</v>
      </c>
      <c r="B538" s="46" t="n">
        <v>45917</v>
      </c>
      <c r="C538" s="46" t="n">
        <v>45958</v>
      </c>
      <c r="D538" s="47" t="n">
        <v>25500</v>
      </c>
      <c r="E538" s="47" t="n">
        <v>25599.9</v>
      </c>
      <c r="F538" s="47" t="n">
        <v>25490</v>
      </c>
      <c r="G538" s="47" t="n">
        <v>25540</v>
      </c>
      <c r="H538" s="47" t="n">
        <v>25545</v>
      </c>
      <c r="I538" s="47" t="n">
        <v>25540</v>
      </c>
      <c r="J538" s="48" t="n">
        <v>7285</v>
      </c>
      <c r="K538" s="47" t="n">
        <v>139480.93</v>
      </c>
      <c r="L538" s="48" t="n">
        <v>1772700</v>
      </c>
      <c r="M538" s="48" t="n">
        <v>184950</v>
      </c>
      <c r="N538" s="47" t="n">
        <v>25330.25</v>
      </c>
      <c r="O538" s="47" t="n">
        <f aca="false">IF(AND(ISNUMBER(G538),ISNUMBER(N538)),G538-N538,"")</f>
        <v>209.75</v>
      </c>
      <c r="P538" s="49" t="n">
        <f aca="false">IF(ISNUMBER(O538),O538/N538,"")</f>
        <v>0.00828061310093663</v>
      </c>
      <c r="Q538" s="50" t="n">
        <f aca="false">C538-B538</f>
        <v>41</v>
      </c>
      <c r="R538" s="51" t="n">
        <f aca="false">IF(AND(C538=C537,ISNUMBER(G538),ISNUMBER(G537)),(G538/G537-1)*100,"")</f>
        <v>0.355211869734706</v>
      </c>
      <c r="S538" s="51" t="n">
        <f aca="false">IF(AND(C538=C537,ISNUMBER(L538),ISNUMBER(L537)),(L538/L537-1)*100,"")</f>
        <v>11.6485592820028</v>
      </c>
      <c r="T538" s="51" t="n">
        <f aca="false">IF(AND(C538=C537,ISNUMBER(G538),ISNUMBER(G537)),G538-G537,"")</f>
        <v>90.4000000000015</v>
      </c>
      <c r="U538" s="1" t="str">
        <f aca="false">IF(OR(NOT(ISNUMBER(R538)),NOT(ISNUMBER(S538))),"Not classified",IF(AND(R538&gt;0,S538&gt;0),"Long buildup (interpretation)",IF(AND(R538&lt;0,S538&gt;0),"Short buildup (interpretation)",IF(AND(R538&gt;0,S538&lt;0),"Short covering (interpretation)",IF(AND(R538&lt;0,S538&lt;0),"Long unwinding (interpretation)","Neutral")))))</f>
        <v>Long buildup (interpretation)</v>
      </c>
      <c r="V538" s="52" t="str">
        <f aca="false">TEXT(B538,"yyyy-mm")</f>
        <v>2025-09</v>
      </c>
      <c r="W538" s="52" t="n">
        <f aca="false">1+COUNTIFS($B$2:$B$756,B538,$C$2:$C$756,"&lt;"&amp;C538)</f>
        <v>2</v>
      </c>
      <c r="X538" s="53" t="n">
        <f aca="false">IF(AND(ISNUMBER(P538),Q538&gt;0),P538*365/Q538,"")</f>
        <v>0.0737176532156554</v>
      </c>
      <c r="Y538" s="42" t="n">
        <f aca="false">IF(AND(C539=C538,ISNUMBER(R539)),R539,"")</f>
        <v>0.34886452623335</v>
      </c>
      <c r="Z538" s="52" t="n">
        <f aca="false">IF(AND(W538=1,Q538&gt;Basis_Analysis!$B$3,ISNUMBER(Y538)),1,0)</f>
        <v>0</v>
      </c>
      <c r="AA538" s="43" t="str">
        <f aca="false">IF(W538=1,IF(SUMIFS($L$2:$L$756,$B$2:$B$756,B538,$W$2:$W$756,2)&gt;0,SUMIFS($L$2:$L$756,$B$2:$B$756,B538,$W$2:$W$756,2),""),"")</f>
        <v/>
      </c>
      <c r="AB538" s="54" t="str">
        <f aca="false">IF(AND(W538=1,ISNUMBER(AA538)),L538/(L538+AA538),"")</f>
        <v/>
      </c>
    </row>
    <row r="539" customFormat="false" ht="15" hidden="false" customHeight="true" outlineLevel="0" collapsed="false">
      <c r="A539" s="1" t="s">
        <v>274</v>
      </c>
      <c r="B539" s="46" t="n">
        <v>45918</v>
      </c>
      <c r="C539" s="46" t="n">
        <v>45958</v>
      </c>
      <c r="D539" s="47" t="n">
        <v>25601</v>
      </c>
      <c r="E539" s="47" t="n">
        <v>25640</v>
      </c>
      <c r="F539" s="47" t="n">
        <v>25555.2</v>
      </c>
      <c r="G539" s="47" t="n">
        <v>25629.1</v>
      </c>
      <c r="H539" s="47" t="n">
        <v>25630</v>
      </c>
      <c r="I539" s="47" t="n">
        <v>25629.1</v>
      </c>
      <c r="J539" s="48" t="n">
        <v>10164</v>
      </c>
      <c r="K539" s="47" t="n">
        <v>195225.2</v>
      </c>
      <c r="L539" s="48" t="n">
        <v>1943700</v>
      </c>
      <c r="M539" s="48" t="n">
        <v>171000</v>
      </c>
      <c r="N539" s="47" t="n">
        <v>25423.6</v>
      </c>
      <c r="O539" s="47" t="n">
        <f aca="false">IF(AND(ISNUMBER(G539),ISNUMBER(N539)),G539-N539,"")</f>
        <v>205.5</v>
      </c>
      <c r="P539" s="49" t="n">
        <f aca="false">IF(ISNUMBER(O539),O539/N539,"")</f>
        <v>0.00808304095407417</v>
      </c>
      <c r="Q539" s="50" t="n">
        <f aca="false">C539-B539</f>
        <v>40</v>
      </c>
      <c r="R539" s="51" t="n">
        <f aca="false">IF(AND(C539=C538,ISNUMBER(G539),ISNUMBER(G538)),(G539/G538-1)*100,"")</f>
        <v>0.34886452623335</v>
      </c>
      <c r="S539" s="51" t="n">
        <f aca="false">IF(AND(C539=C538,ISNUMBER(L539),ISNUMBER(L538)),(L539/L538-1)*100,"")</f>
        <v>9.64630225080385</v>
      </c>
      <c r="T539" s="51" t="n">
        <f aca="false">IF(AND(C539=C538,ISNUMBER(G539),ISNUMBER(G538)),G539-G538,"")</f>
        <v>89.0999999999985</v>
      </c>
      <c r="U539" s="1" t="str">
        <f aca="false">IF(OR(NOT(ISNUMBER(R539)),NOT(ISNUMBER(S539))),"Not classified",IF(AND(R539&gt;0,S539&gt;0),"Long buildup (interpretation)",IF(AND(R539&lt;0,S539&gt;0),"Short buildup (interpretation)",IF(AND(R539&gt;0,S539&lt;0),"Short covering (interpretation)",IF(AND(R539&lt;0,S539&lt;0),"Long unwinding (interpretation)","Neutral")))))</f>
        <v>Long buildup (interpretation)</v>
      </c>
      <c r="V539" s="52" t="str">
        <f aca="false">TEXT(B539,"yyyy-mm")</f>
        <v>2025-09</v>
      </c>
      <c r="W539" s="52" t="n">
        <f aca="false">1+COUNTIFS($B$2:$B$756,B539,$C$2:$C$756,"&lt;"&amp;C539)</f>
        <v>2</v>
      </c>
      <c r="X539" s="53" t="n">
        <f aca="false">IF(AND(ISNUMBER(P539),Q539&gt;0),P539*365/Q539,"")</f>
        <v>0.0737577487059268</v>
      </c>
      <c r="Y539" s="42" t="n">
        <f aca="false">IF(AND(C540=C539,ISNUMBER(R540)),R540,"")</f>
        <v>-0.369111673839495</v>
      </c>
      <c r="Z539" s="52" t="n">
        <f aca="false">IF(AND(W539=1,Q539&gt;Basis_Analysis!$B$3,ISNUMBER(Y539)),1,0)</f>
        <v>0</v>
      </c>
      <c r="AA539" s="43" t="str">
        <f aca="false">IF(W539=1,IF(SUMIFS($L$2:$L$756,$B$2:$B$756,B539,$W$2:$W$756,2)&gt;0,SUMIFS($L$2:$L$756,$B$2:$B$756,B539,$W$2:$W$756,2),""),"")</f>
        <v/>
      </c>
      <c r="AB539" s="54" t="str">
        <f aca="false">IF(AND(W539=1,ISNUMBER(AA539)),L539/(L539+AA539),"")</f>
        <v/>
      </c>
    </row>
    <row r="540" customFormat="false" ht="15" hidden="false" customHeight="true" outlineLevel="0" collapsed="false">
      <c r="A540" s="1" t="s">
        <v>274</v>
      </c>
      <c r="B540" s="46" t="n">
        <v>45919</v>
      </c>
      <c r="C540" s="46" t="n">
        <v>45958</v>
      </c>
      <c r="D540" s="47" t="n">
        <v>25629.1</v>
      </c>
      <c r="E540" s="47" t="n">
        <v>25629.1</v>
      </c>
      <c r="F540" s="47" t="n">
        <v>25475</v>
      </c>
      <c r="G540" s="47" t="n">
        <v>25534.5</v>
      </c>
      <c r="H540" s="47" t="n">
        <v>25541</v>
      </c>
      <c r="I540" s="47" t="n">
        <v>25534.5</v>
      </c>
      <c r="J540" s="48" t="n">
        <v>11666</v>
      </c>
      <c r="K540" s="47" t="n">
        <v>223303.02</v>
      </c>
      <c r="L540" s="48" t="n">
        <v>2314575</v>
      </c>
      <c r="M540" s="48" t="n">
        <v>370875</v>
      </c>
      <c r="N540" s="47" t="n">
        <v>25327.05</v>
      </c>
      <c r="O540" s="47" t="n">
        <f aca="false">IF(AND(ISNUMBER(G540),ISNUMBER(N540)),G540-N540,"")</f>
        <v>207.450000000001</v>
      </c>
      <c r="P540" s="49" t="n">
        <f aca="false">IF(ISNUMBER(O540),O540/N540,"")</f>
        <v>0.00819084733516145</v>
      </c>
      <c r="Q540" s="50" t="n">
        <f aca="false">C540-B540</f>
        <v>39</v>
      </c>
      <c r="R540" s="51" t="n">
        <f aca="false">IF(AND(C540=C539,ISNUMBER(G540),ISNUMBER(G539)),(G540/G539-1)*100,"")</f>
        <v>-0.369111673839495</v>
      </c>
      <c r="S540" s="51" t="n">
        <f aca="false">IF(AND(C540=C539,ISNUMBER(L540),ISNUMBER(L539)),(L540/L539-1)*100,"")</f>
        <v>19.0808766784998</v>
      </c>
      <c r="T540" s="51" t="n">
        <f aca="false">IF(AND(C540=C539,ISNUMBER(G540),ISNUMBER(G539)),G540-G539,"")</f>
        <v>-94.5999999999985</v>
      </c>
      <c r="U540" s="1" t="str">
        <f aca="false">IF(OR(NOT(ISNUMBER(R540)),NOT(ISNUMBER(S540))),"Not classified",IF(AND(R540&gt;0,S540&gt;0),"Long buildup (interpretation)",IF(AND(R540&lt;0,S540&gt;0),"Short buildup (interpretation)",IF(AND(R540&gt;0,S540&lt;0),"Short covering (interpretation)",IF(AND(R540&lt;0,S540&lt;0),"Long unwinding (interpretation)","Neutral")))))</f>
        <v>Short buildup (interpretation)</v>
      </c>
      <c r="V540" s="52" t="str">
        <f aca="false">TEXT(B540,"yyyy-mm")</f>
        <v>2025-09</v>
      </c>
      <c r="W540" s="52" t="n">
        <f aca="false">1+COUNTIFS($B$2:$B$756,B540,$C$2:$C$756,"&lt;"&amp;C540)</f>
        <v>2</v>
      </c>
      <c r="X540" s="53" t="n">
        <f aca="false">IF(AND(ISNUMBER(P540),Q540&gt;0),P540*365/Q540,"")</f>
        <v>0.0766579301880494</v>
      </c>
      <c r="Y540" s="42" t="n">
        <f aca="false">IF(AND(C541=C540,ISNUMBER(R541)),R541,"")</f>
        <v>-0.513423015919634</v>
      </c>
      <c r="Z540" s="52" t="n">
        <f aca="false">IF(AND(W540=1,Q540&gt;Basis_Analysis!$B$3,ISNUMBER(Y540)),1,0)</f>
        <v>0</v>
      </c>
      <c r="AA540" s="43" t="str">
        <f aca="false">IF(W540=1,IF(SUMIFS($L$2:$L$756,$B$2:$B$756,B540,$W$2:$W$756,2)&gt;0,SUMIFS($L$2:$L$756,$B$2:$B$756,B540,$W$2:$W$756,2),""),"")</f>
        <v/>
      </c>
      <c r="AB540" s="54" t="str">
        <f aca="false">IF(AND(W540=1,ISNUMBER(AA540)),L540/(L540+AA540),"")</f>
        <v/>
      </c>
    </row>
    <row r="541" customFormat="false" ht="15" hidden="false" customHeight="true" outlineLevel="0" collapsed="false">
      <c r="A541" s="1" t="s">
        <v>274</v>
      </c>
      <c r="B541" s="46" t="n">
        <v>45922</v>
      </c>
      <c r="C541" s="46" t="n">
        <v>45958</v>
      </c>
      <c r="D541" s="47" t="n">
        <v>25469.7</v>
      </c>
      <c r="E541" s="47" t="n">
        <v>25515</v>
      </c>
      <c r="F541" s="47" t="n">
        <v>25375</v>
      </c>
      <c r="G541" s="47" t="n">
        <v>25403.4</v>
      </c>
      <c r="H541" s="47" t="n">
        <v>25408.8</v>
      </c>
      <c r="I541" s="47" t="n">
        <v>25403.4</v>
      </c>
      <c r="J541" s="48" t="n">
        <v>9992</v>
      </c>
      <c r="K541" s="47" t="n">
        <v>190704.06</v>
      </c>
      <c r="L541" s="48" t="n">
        <v>2633550</v>
      </c>
      <c r="M541" s="48" t="n">
        <v>318975</v>
      </c>
      <c r="N541" s="47" t="n">
        <v>25202.35</v>
      </c>
      <c r="O541" s="47" t="n">
        <f aca="false">IF(AND(ISNUMBER(G541),ISNUMBER(N541)),G541-N541,"")</f>
        <v>201.050000000003</v>
      </c>
      <c r="P541" s="49" t="n">
        <f aca="false">IF(ISNUMBER(O541),O541/N541,"")</f>
        <v>0.0079774306761077</v>
      </c>
      <c r="Q541" s="50" t="n">
        <f aca="false">C541-B541</f>
        <v>36</v>
      </c>
      <c r="R541" s="51" t="n">
        <f aca="false">IF(AND(C541=C540,ISNUMBER(G541),ISNUMBER(G540)),(G541/G540-1)*100,"")</f>
        <v>-0.513423015919634</v>
      </c>
      <c r="S541" s="51" t="n">
        <f aca="false">IF(AND(C541=C540,ISNUMBER(L541),ISNUMBER(L540)),(L541/L540-1)*100,"")</f>
        <v>13.7811477269045</v>
      </c>
      <c r="T541" s="51" t="n">
        <f aca="false">IF(AND(C541=C540,ISNUMBER(G541),ISNUMBER(G540)),G541-G540,"")</f>
        <v>-131.099999999999</v>
      </c>
      <c r="U541" s="1" t="str">
        <f aca="false">IF(OR(NOT(ISNUMBER(R541)),NOT(ISNUMBER(S541))),"Not classified",IF(AND(R541&gt;0,S541&gt;0),"Long buildup (interpretation)",IF(AND(R541&lt;0,S541&gt;0),"Short buildup (interpretation)",IF(AND(R541&gt;0,S541&lt;0),"Short covering (interpretation)",IF(AND(R541&lt;0,S541&lt;0),"Long unwinding (interpretation)","Neutral")))))</f>
        <v>Short buildup (interpretation)</v>
      </c>
      <c r="V541" s="52" t="str">
        <f aca="false">TEXT(B541,"yyyy-mm")</f>
        <v>2025-09</v>
      </c>
      <c r="W541" s="52" t="n">
        <f aca="false">1+COUNTIFS($B$2:$B$756,B541,$C$2:$C$756,"&lt;"&amp;C541)</f>
        <v>2</v>
      </c>
      <c r="X541" s="53" t="n">
        <f aca="false">IF(AND(ISNUMBER(P541),Q541&gt;0),P541*365/Q541,"")</f>
        <v>0.0808822832438698</v>
      </c>
      <c r="Y541" s="42" t="n">
        <f aca="false">IF(AND(C542=C541,ISNUMBER(R542)),R542,"")</f>
        <v>-0.0791232669642761</v>
      </c>
      <c r="Z541" s="52" t="n">
        <f aca="false">IF(AND(W541=1,Q541&gt;Basis_Analysis!$B$3,ISNUMBER(Y541)),1,0)</f>
        <v>0</v>
      </c>
      <c r="AA541" s="43" t="str">
        <f aca="false">IF(W541=1,IF(SUMIFS($L$2:$L$756,$B$2:$B$756,B541,$W$2:$W$756,2)&gt;0,SUMIFS($L$2:$L$756,$B$2:$B$756,B541,$W$2:$W$756,2),""),"")</f>
        <v/>
      </c>
      <c r="AB541" s="54" t="str">
        <f aca="false">IF(AND(W541=1,ISNUMBER(AA541)),L541/(L541+AA541),"")</f>
        <v/>
      </c>
    </row>
    <row r="542" customFormat="false" ht="15" hidden="false" customHeight="true" outlineLevel="0" collapsed="false">
      <c r="A542" s="1" t="s">
        <v>274</v>
      </c>
      <c r="B542" s="46" t="n">
        <v>45923</v>
      </c>
      <c r="C542" s="46" t="n">
        <v>45958</v>
      </c>
      <c r="D542" s="47" t="n">
        <v>25412.7</v>
      </c>
      <c r="E542" s="47" t="n">
        <v>25458.9</v>
      </c>
      <c r="F542" s="47" t="n">
        <v>25282.9</v>
      </c>
      <c r="G542" s="47" t="n">
        <v>25383.3</v>
      </c>
      <c r="H542" s="47" t="n">
        <v>25384.1</v>
      </c>
      <c r="I542" s="47" t="n">
        <v>25383.3</v>
      </c>
      <c r="J542" s="48" t="n">
        <v>13636</v>
      </c>
      <c r="K542" s="47" t="n">
        <v>259474.87</v>
      </c>
      <c r="L542" s="48" t="n">
        <v>2876775</v>
      </c>
      <c r="M542" s="48" t="n">
        <v>243225</v>
      </c>
      <c r="N542" s="47" t="n">
        <v>25169.5</v>
      </c>
      <c r="O542" s="47" t="n">
        <f aca="false">IF(AND(ISNUMBER(G542),ISNUMBER(N542)),G542-N542,"")</f>
        <v>213.799999999999</v>
      </c>
      <c r="P542" s="49" t="n">
        <f aca="false">IF(ISNUMBER(O542),O542/N542,"")</f>
        <v>0.00849440791434074</v>
      </c>
      <c r="Q542" s="50" t="n">
        <f aca="false">C542-B542</f>
        <v>35</v>
      </c>
      <c r="R542" s="51" t="n">
        <f aca="false">IF(AND(C542=C541,ISNUMBER(G542),ISNUMBER(G541)),(G542/G541-1)*100,"")</f>
        <v>-0.0791232669642761</v>
      </c>
      <c r="S542" s="51" t="n">
        <f aca="false">IF(AND(C542=C541,ISNUMBER(L542),ISNUMBER(L541)),(L542/L541-1)*100,"")</f>
        <v>9.23563251124908</v>
      </c>
      <c r="T542" s="51" t="n">
        <f aca="false">IF(AND(C542=C541,ISNUMBER(G542),ISNUMBER(G541)),G542-G541,"")</f>
        <v>-20.1000000000022</v>
      </c>
      <c r="U542" s="1" t="str">
        <f aca="false">IF(OR(NOT(ISNUMBER(R542)),NOT(ISNUMBER(S542))),"Not classified",IF(AND(R542&gt;0,S542&gt;0),"Long buildup (interpretation)",IF(AND(R542&lt;0,S542&gt;0),"Short buildup (interpretation)",IF(AND(R542&gt;0,S542&lt;0),"Short covering (interpretation)",IF(AND(R542&lt;0,S542&lt;0),"Long unwinding (interpretation)","Neutral")))))</f>
        <v>Short buildup (interpretation)</v>
      </c>
      <c r="V542" s="52" t="str">
        <f aca="false">TEXT(B542,"yyyy-mm")</f>
        <v>2025-09</v>
      </c>
      <c r="W542" s="52" t="n">
        <f aca="false">1+COUNTIFS($B$2:$B$756,B542,$C$2:$C$756,"&lt;"&amp;C542)</f>
        <v>2</v>
      </c>
      <c r="X542" s="53" t="n">
        <f aca="false">IF(AND(ISNUMBER(P542),Q542&gt;0),P542*365/Q542,"")</f>
        <v>0.0885845396781249</v>
      </c>
      <c r="Y542" s="42" t="n">
        <f aca="false">IF(AND(C543=C542,ISNUMBER(R543)),R543,"")</f>
        <v>-0.581090717125044</v>
      </c>
      <c r="Z542" s="52" t="n">
        <f aca="false">IF(AND(W542=1,Q542&gt;Basis_Analysis!$B$3,ISNUMBER(Y542)),1,0)</f>
        <v>0</v>
      </c>
      <c r="AA542" s="43" t="str">
        <f aca="false">IF(W542=1,IF(SUMIFS($L$2:$L$756,$B$2:$B$756,B542,$W$2:$W$756,2)&gt;0,SUMIFS($L$2:$L$756,$B$2:$B$756,B542,$W$2:$W$756,2),""),"")</f>
        <v/>
      </c>
      <c r="AB542" s="54" t="str">
        <f aca="false">IF(AND(W542=1,ISNUMBER(AA542)),L542/(L542+AA542),"")</f>
        <v/>
      </c>
    </row>
    <row r="543" customFormat="false" ht="15" hidden="false" customHeight="true" outlineLevel="0" collapsed="false">
      <c r="A543" s="1" t="s">
        <v>274</v>
      </c>
      <c r="B543" s="46" t="n">
        <v>45924</v>
      </c>
      <c r="C543" s="46" t="n">
        <v>45958</v>
      </c>
      <c r="D543" s="47" t="n">
        <v>25338.4</v>
      </c>
      <c r="E543" s="47" t="n">
        <v>25338.5</v>
      </c>
      <c r="F543" s="47" t="n">
        <v>25209</v>
      </c>
      <c r="G543" s="47" t="n">
        <v>25235.8</v>
      </c>
      <c r="H543" s="47" t="n">
        <v>25237</v>
      </c>
      <c r="I543" s="47" t="n">
        <v>25235.8</v>
      </c>
      <c r="J543" s="48" t="n">
        <v>22234</v>
      </c>
      <c r="K543" s="47" t="n">
        <v>421325.74</v>
      </c>
      <c r="L543" s="48" t="n">
        <v>3687525</v>
      </c>
      <c r="M543" s="48" t="n">
        <v>810750</v>
      </c>
      <c r="N543" s="47" t="n">
        <v>25056.9</v>
      </c>
      <c r="O543" s="47" t="n">
        <f aca="false">IF(AND(ISNUMBER(G543),ISNUMBER(N543)),G543-N543,"")</f>
        <v>178.899999999998</v>
      </c>
      <c r="P543" s="49" t="n">
        <f aca="false">IF(ISNUMBER(O543),O543/N543,"")</f>
        <v>0.00713974992916114</v>
      </c>
      <c r="Q543" s="50" t="n">
        <f aca="false">C543-B543</f>
        <v>34</v>
      </c>
      <c r="R543" s="51" t="n">
        <f aca="false">IF(AND(C543=C542,ISNUMBER(G543),ISNUMBER(G542)),(G543/G542-1)*100,"")</f>
        <v>-0.581090717125044</v>
      </c>
      <c r="S543" s="51" t="n">
        <f aca="false">IF(AND(C543=C542,ISNUMBER(L543),ISNUMBER(L542)),(L543/L542-1)*100,"")</f>
        <v>28.1826003076362</v>
      </c>
      <c r="T543" s="51" t="n">
        <f aca="false">IF(AND(C543=C542,ISNUMBER(G543),ISNUMBER(G542)),G543-G542,"")</f>
        <v>-147.5</v>
      </c>
      <c r="U543" s="1" t="str">
        <f aca="false">IF(OR(NOT(ISNUMBER(R543)),NOT(ISNUMBER(S543))),"Not classified",IF(AND(R543&gt;0,S543&gt;0),"Long buildup (interpretation)",IF(AND(R543&lt;0,S543&gt;0),"Short buildup (interpretation)",IF(AND(R543&gt;0,S543&lt;0),"Short covering (interpretation)",IF(AND(R543&lt;0,S543&lt;0),"Long unwinding (interpretation)","Neutral")))))</f>
        <v>Short buildup (interpretation)</v>
      </c>
      <c r="V543" s="52" t="str">
        <f aca="false">TEXT(B543,"yyyy-mm")</f>
        <v>2025-09</v>
      </c>
      <c r="W543" s="52" t="n">
        <f aca="false">1+COUNTIFS($B$2:$B$756,B543,$C$2:$C$756,"&lt;"&amp;C543)</f>
        <v>2</v>
      </c>
      <c r="X543" s="53" t="n">
        <f aca="false">IF(AND(ISNUMBER(P543),Q543&gt;0),P543*365/Q543,"")</f>
        <v>0.0766473154159946</v>
      </c>
      <c r="Y543" s="42" t="n">
        <f aca="false">IF(AND(C544=C543,ISNUMBER(R544)),R544,"")</f>
        <v>-0.563088945070089</v>
      </c>
      <c r="Z543" s="52" t="n">
        <f aca="false">IF(AND(W543=1,Q543&gt;Basis_Analysis!$B$3,ISNUMBER(Y543)),1,0)</f>
        <v>0</v>
      </c>
      <c r="AA543" s="43" t="str">
        <f aca="false">IF(W543=1,IF(SUMIFS($L$2:$L$756,$B$2:$B$756,B543,$W$2:$W$756,2)&gt;0,SUMIFS($L$2:$L$756,$B$2:$B$756,B543,$W$2:$W$756,2),""),"")</f>
        <v/>
      </c>
      <c r="AB543" s="54" t="str">
        <f aca="false">IF(AND(W543=1,ISNUMBER(AA543)),L543/(L543+AA543),"")</f>
        <v/>
      </c>
    </row>
    <row r="544" customFormat="false" ht="15" hidden="false" customHeight="true" outlineLevel="0" collapsed="false">
      <c r="A544" s="1" t="s">
        <v>274</v>
      </c>
      <c r="B544" s="46" t="n">
        <v>45925</v>
      </c>
      <c r="C544" s="46" t="n">
        <v>45958</v>
      </c>
      <c r="D544" s="47" t="n">
        <v>25237</v>
      </c>
      <c r="E544" s="47" t="n">
        <v>25256.9</v>
      </c>
      <c r="F544" s="47" t="n">
        <v>25081</v>
      </c>
      <c r="G544" s="47" t="n">
        <v>25093.7</v>
      </c>
      <c r="H544" s="47" t="n">
        <v>25087.4</v>
      </c>
      <c r="I544" s="47" t="n">
        <v>25093.7</v>
      </c>
      <c r="J544" s="48" t="n">
        <v>45831</v>
      </c>
      <c r="K544" s="47" t="n">
        <v>864490.15</v>
      </c>
      <c r="L544" s="48" t="n">
        <v>6004500</v>
      </c>
      <c r="M544" s="48" t="n">
        <v>2316975</v>
      </c>
      <c r="N544" s="47" t="n">
        <v>24890.85</v>
      </c>
      <c r="O544" s="47" t="n">
        <f aca="false">IF(AND(ISNUMBER(G544),ISNUMBER(N544)),G544-N544,"")</f>
        <v>202.850000000002</v>
      </c>
      <c r="P544" s="49" t="n">
        <f aca="false">IF(ISNUMBER(O544),O544/N544,"")</f>
        <v>0.00814958107095588</v>
      </c>
      <c r="Q544" s="50" t="n">
        <f aca="false">C544-B544</f>
        <v>33</v>
      </c>
      <c r="R544" s="51" t="n">
        <f aca="false">IF(AND(C544=C543,ISNUMBER(G544),ISNUMBER(G543)),(G544/G543-1)*100,"")</f>
        <v>-0.563088945070089</v>
      </c>
      <c r="S544" s="51" t="n">
        <f aca="false">IF(AND(C544=C543,ISNUMBER(L544),ISNUMBER(L543)),(L544/L543-1)*100,"")</f>
        <v>62.8327943539366</v>
      </c>
      <c r="T544" s="51" t="n">
        <f aca="false">IF(AND(C544=C543,ISNUMBER(G544),ISNUMBER(G543)),G544-G543,"")</f>
        <v>-142.099999999999</v>
      </c>
      <c r="U544" s="1" t="str">
        <f aca="false">IF(OR(NOT(ISNUMBER(R544)),NOT(ISNUMBER(S544))),"Not classified",IF(AND(R544&gt;0,S544&gt;0),"Long buildup (interpretation)",IF(AND(R544&lt;0,S544&gt;0),"Short buildup (interpretation)",IF(AND(R544&gt;0,S544&lt;0),"Short covering (interpretation)",IF(AND(R544&lt;0,S544&lt;0),"Long unwinding (interpretation)","Neutral")))))</f>
        <v>Short buildup (interpretation)</v>
      </c>
      <c r="V544" s="52" t="str">
        <f aca="false">TEXT(B544,"yyyy-mm")</f>
        <v>2025-09</v>
      </c>
      <c r="W544" s="52" t="n">
        <f aca="false">1+COUNTIFS($B$2:$B$756,B544,$C$2:$C$756,"&lt;"&amp;C544)</f>
        <v>2</v>
      </c>
      <c r="X544" s="53" t="n">
        <f aca="false">IF(AND(ISNUMBER(P544),Q544&gt;0),P544*365/Q544,"")</f>
        <v>0.0901393057848151</v>
      </c>
      <c r="Y544" s="42" t="n">
        <f aca="false">IF(AND(C545=C544,ISNUMBER(R545)),R545,"")</f>
        <v>-1.12259252322297</v>
      </c>
      <c r="Z544" s="52" t="n">
        <f aca="false">IF(AND(W544=1,Q544&gt;Basis_Analysis!$B$3,ISNUMBER(Y544)),1,0)</f>
        <v>0</v>
      </c>
      <c r="AA544" s="43" t="str">
        <f aca="false">IF(W544=1,IF(SUMIFS($L$2:$L$756,$B$2:$B$756,B544,$W$2:$W$756,2)&gt;0,SUMIFS($L$2:$L$756,$B$2:$B$756,B544,$W$2:$W$756,2),""),"")</f>
        <v/>
      </c>
      <c r="AB544" s="54" t="str">
        <f aca="false">IF(AND(W544=1,ISNUMBER(AA544)),L544/(L544+AA544),"")</f>
        <v/>
      </c>
    </row>
    <row r="545" customFormat="false" ht="15" hidden="false" customHeight="true" outlineLevel="0" collapsed="false">
      <c r="A545" s="1" t="s">
        <v>274</v>
      </c>
      <c r="B545" s="46" t="n">
        <v>45926</v>
      </c>
      <c r="C545" s="46" t="n">
        <v>45958</v>
      </c>
      <c r="D545" s="47" t="n">
        <v>25100</v>
      </c>
      <c r="E545" s="47" t="n">
        <v>25100</v>
      </c>
      <c r="F545" s="47" t="n">
        <v>24785.5</v>
      </c>
      <c r="G545" s="47" t="n">
        <v>24812</v>
      </c>
      <c r="H545" s="47" t="n">
        <v>24819.7</v>
      </c>
      <c r="I545" s="47" t="n">
        <v>24812</v>
      </c>
      <c r="J545" s="48" t="n">
        <v>74058</v>
      </c>
      <c r="K545" s="47" t="n">
        <v>1383149.09</v>
      </c>
      <c r="L545" s="48" t="n">
        <v>9768150</v>
      </c>
      <c r="M545" s="48" t="n">
        <v>3763650</v>
      </c>
      <c r="N545" s="47" t="n">
        <v>24654.7</v>
      </c>
      <c r="O545" s="47" t="n">
        <f aca="false">IF(AND(ISNUMBER(G545),ISNUMBER(N545)),G545-N545,"")</f>
        <v>157.299999999999</v>
      </c>
      <c r="P545" s="49" t="n">
        <f aca="false">IF(ISNUMBER(O545),O545/N545,"")</f>
        <v>0.0063801222484962</v>
      </c>
      <c r="Q545" s="50" t="n">
        <f aca="false">C545-B545</f>
        <v>32</v>
      </c>
      <c r="R545" s="51" t="n">
        <f aca="false">IF(AND(C545=C544,ISNUMBER(G545),ISNUMBER(G544)),(G545/G544-1)*100,"")</f>
        <v>-1.12259252322297</v>
      </c>
      <c r="S545" s="51" t="n">
        <f aca="false">IF(AND(C545=C544,ISNUMBER(L545),ISNUMBER(L544)),(L545/L544-1)*100,"")</f>
        <v>62.6804896327754</v>
      </c>
      <c r="T545" s="51" t="n">
        <f aca="false">IF(AND(C545=C544,ISNUMBER(G545),ISNUMBER(G544)),G545-G544,"")</f>
        <v>-281.700000000001</v>
      </c>
      <c r="U545" s="1" t="str">
        <f aca="false">IF(OR(NOT(ISNUMBER(R545)),NOT(ISNUMBER(S545))),"Not classified",IF(AND(R545&gt;0,S545&gt;0),"Long buildup (interpretation)",IF(AND(R545&lt;0,S545&gt;0),"Short buildup (interpretation)",IF(AND(R545&gt;0,S545&lt;0),"Short covering (interpretation)",IF(AND(R545&lt;0,S545&lt;0),"Long unwinding (interpretation)","Neutral")))))</f>
        <v>Short buildup (interpretation)</v>
      </c>
      <c r="V545" s="52" t="str">
        <f aca="false">TEXT(B545,"yyyy-mm")</f>
        <v>2025-09</v>
      </c>
      <c r="W545" s="52" t="n">
        <f aca="false">1+COUNTIFS($B$2:$B$756,B545,$C$2:$C$756,"&lt;"&amp;C545)</f>
        <v>2</v>
      </c>
      <c r="X545" s="53" t="n">
        <f aca="false">IF(AND(ISNUMBER(P545),Q545&gt;0),P545*365/Q545,"")</f>
        <v>0.0727732693969098</v>
      </c>
      <c r="Y545" s="42" t="n">
        <f aca="false">IF(AND(C546=C545,ISNUMBER(R546)),R546,"")</f>
        <v>-0.0112848621634631</v>
      </c>
      <c r="Z545" s="52" t="n">
        <f aca="false">IF(AND(W545=1,Q545&gt;Basis_Analysis!$B$3,ISNUMBER(Y545)),1,0)</f>
        <v>0</v>
      </c>
      <c r="AA545" s="43" t="str">
        <f aca="false">IF(W545=1,IF(SUMIFS($L$2:$L$756,$B$2:$B$756,B545,$W$2:$W$756,2)&gt;0,SUMIFS($L$2:$L$756,$B$2:$B$756,B545,$W$2:$W$756,2),""),"")</f>
        <v/>
      </c>
      <c r="AB545" s="54" t="str">
        <f aca="false">IF(AND(W545=1,ISNUMBER(AA545)),L545/(L545+AA545),"")</f>
        <v/>
      </c>
    </row>
    <row r="546" customFormat="false" ht="15" hidden="false" customHeight="true" outlineLevel="0" collapsed="false">
      <c r="A546" s="1" t="s">
        <v>274</v>
      </c>
      <c r="B546" s="46" t="n">
        <v>45929</v>
      </c>
      <c r="C546" s="46" t="n">
        <v>45958</v>
      </c>
      <c r="D546" s="47" t="n">
        <v>24865.4</v>
      </c>
      <c r="E546" s="47" t="n">
        <v>24965.1</v>
      </c>
      <c r="F546" s="47" t="n">
        <v>24770</v>
      </c>
      <c r="G546" s="47" t="n">
        <v>24809.2</v>
      </c>
      <c r="H546" s="47" t="n">
        <v>24825</v>
      </c>
      <c r="I546" s="47" t="n">
        <v>24809.2</v>
      </c>
      <c r="J546" s="48" t="n">
        <v>91741</v>
      </c>
      <c r="K546" s="47" t="n">
        <v>1710521.66</v>
      </c>
      <c r="L546" s="48" t="n">
        <v>14005500</v>
      </c>
      <c r="M546" s="48" t="n">
        <v>4237350</v>
      </c>
      <c r="N546" s="47" t="n">
        <v>24634.9</v>
      </c>
      <c r="O546" s="47" t="n">
        <f aca="false">IF(AND(ISNUMBER(G546),ISNUMBER(N546)),G546-N546,"")</f>
        <v>174.299999999999</v>
      </c>
      <c r="P546" s="49" t="n">
        <f aca="false">IF(ISNUMBER(O546),O546/N546,"")</f>
        <v>0.00707532809144747</v>
      </c>
      <c r="Q546" s="50" t="n">
        <f aca="false">C546-B546</f>
        <v>29</v>
      </c>
      <c r="R546" s="51" t="n">
        <f aca="false">IF(AND(C546=C545,ISNUMBER(G546),ISNUMBER(G545)),(G546/G545-1)*100,"")</f>
        <v>-0.0112848621634631</v>
      </c>
      <c r="S546" s="51" t="n">
        <f aca="false">IF(AND(C546=C545,ISNUMBER(L546),ISNUMBER(L545)),(L546/L545-1)*100,"")</f>
        <v>43.3792478616729</v>
      </c>
      <c r="T546" s="51" t="n">
        <f aca="false">IF(AND(C546=C545,ISNUMBER(G546),ISNUMBER(G545)),G546-G545,"")</f>
        <v>-2.79999999999927</v>
      </c>
      <c r="U546" s="1" t="str">
        <f aca="false">IF(OR(NOT(ISNUMBER(R546)),NOT(ISNUMBER(S546))),"Not classified",IF(AND(R546&gt;0,S546&gt;0),"Long buildup (interpretation)",IF(AND(R546&lt;0,S546&gt;0),"Short buildup (interpretation)",IF(AND(R546&gt;0,S546&lt;0),"Short covering (interpretation)",IF(AND(R546&lt;0,S546&lt;0),"Long unwinding (interpretation)","Neutral")))))</f>
        <v>Short buildup (interpretation)</v>
      </c>
      <c r="V546" s="52" t="str">
        <f aca="false">TEXT(B546,"yyyy-mm")</f>
        <v>2025-09</v>
      </c>
      <c r="W546" s="52" t="n">
        <f aca="false">1+COUNTIFS($B$2:$B$756,B546,$C$2:$C$756,"&lt;"&amp;C546)</f>
        <v>2</v>
      </c>
      <c r="X546" s="53" t="n">
        <f aca="false">IF(AND(ISNUMBER(P546),Q546&gt;0),P546*365/Q546,"")</f>
        <v>0.0890515432199423</v>
      </c>
      <c r="Y546" s="42" t="n">
        <f aca="false">IF(AND(C547=C546,ISNUMBER(R547)),R547,"")</f>
        <v>-0.124550569949866</v>
      </c>
      <c r="Z546" s="52" t="n">
        <f aca="false">IF(AND(W546=1,Q546&gt;Basis_Analysis!$B$3,ISNUMBER(Y546)),1,0)</f>
        <v>0</v>
      </c>
      <c r="AA546" s="43" t="str">
        <f aca="false">IF(W546=1,IF(SUMIFS($L$2:$L$756,$B$2:$B$756,B546,$W$2:$W$756,2)&gt;0,SUMIFS($L$2:$L$756,$B$2:$B$756,B546,$W$2:$W$756,2),""),"")</f>
        <v/>
      </c>
      <c r="AB546" s="54" t="str">
        <f aca="false">IF(AND(W546=1,ISNUMBER(AA546)),L546/(L546+AA546),"")</f>
        <v/>
      </c>
    </row>
    <row r="547" customFormat="false" ht="15" hidden="false" customHeight="true" outlineLevel="0" collapsed="false">
      <c r="A547" s="1" t="s">
        <v>274</v>
      </c>
      <c r="B547" s="46" t="n">
        <v>45930</v>
      </c>
      <c r="C547" s="46" t="n">
        <v>45958</v>
      </c>
      <c r="D547" s="47" t="n">
        <v>24830</v>
      </c>
      <c r="E547" s="47" t="n">
        <v>24873.9</v>
      </c>
      <c r="F547" s="47" t="n">
        <v>24725</v>
      </c>
      <c r="G547" s="47" t="n">
        <v>24778.3</v>
      </c>
      <c r="H547" s="47" t="n">
        <v>24787</v>
      </c>
      <c r="I547" s="47" t="n">
        <v>24778.3</v>
      </c>
      <c r="J547" s="48" t="n">
        <v>84151</v>
      </c>
      <c r="K547" s="47" t="n">
        <v>1564560.45</v>
      </c>
      <c r="L547" s="48" t="n">
        <v>17107125</v>
      </c>
      <c r="M547" s="48" t="n">
        <v>3101625</v>
      </c>
      <c r="N547" s="47" t="n">
        <v>24611.1</v>
      </c>
      <c r="O547" s="47" t="n">
        <f aca="false">IF(AND(ISNUMBER(G547),ISNUMBER(N547)),G547-N547,"")</f>
        <v>167.200000000001</v>
      </c>
      <c r="P547" s="49" t="n">
        <f aca="false">IF(ISNUMBER(O547),O547/N547,"")</f>
        <v>0.0067936825253646</v>
      </c>
      <c r="Q547" s="50" t="n">
        <f aca="false">C547-B547</f>
        <v>28</v>
      </c>
      <c r="R547" s="51" t="n">
        <f aca="false">IF(AND(C547=C546,ISNUMBER(G547),ISNUMBER(G546)),(G547/G546-1)*100,"")</f>
        <v>-0.124550569949866</v>
      </c>
      <c r="S547" s="51" t="n">
        <f aca="false">IF(AND(C547=C546,ISNUMBER(L547),ISNUMBER(L546)),(L547/L546-1)*100,"")</f>
        <v>22.1457641640784</v>
      </c>
      <c r="T547" s="51" t="n">
        <f aca="false">IF(AND(C547=C546,ISNUMBER(G547),ISNUMBER(G546)),G547-G546,"")</f>
        <v>-30.9000000000015</v>
      </c>
      <c r="U547" s="1" t="str">
        <f aca="false">IF(OR(NOT(ISNUMBER(R547)),NOT(ISNUMBER(S547))),"Not classified",IF(AND(R547&gt;0,S547&gt;0),"Long buildup (interpretation)",IF(AND(R547&lt;0,S547&gt;0),"Short buildup (interpretation)",IF(AND(R547&gt;0,S547&lt;0),"Short covering (interpretation)",IF(AND(R547&lt;0,S547&lt;0),"Long unwinding (interpretation)","Neutral")))))</f>
        <v>Short buildup (interpretation)</v>
      </c>
      <c r="V547" s="52" t="str">
        <f aca="false">TEXT(B547,"yyyy-mm")</f>
        <v>2025-09</v>
      </c>
      <c r="W547" s="52" t="n">
        <f aca="false">1+COUNTIFS($B$2:$B$756,B547,$C$2:$C$756,"&lt;"&amp;C547)</f>
        <v>2</v>
      </c>
      <c r="X547" s="53" t="n">
        <f aca="false">IF(AND(ISNUMBER(P547),Q547&gt;0),P547*365/Q547,"")</f>
        <v>0.0885605043485028</v>
      </c>
      <c r="Y547" s="42" t="n">
        <f aca="false">IF(AND(C548=C547,ISNUMBER(R548)),R548,"")</f>
        <v>0.762360613924296</v>
      </c>
      <c r="Z547" s="52" t="n">
        <f aca="false">IF(AND(W547=1,Q547&gt;Basis_Analysis!$B$3,ISNUMBER(Y547)),1,0)</f>
        <v>0</v>
      </c>
      <c r="AA547" s="43" t="str">
        <f aca="false">IF(W547=1,IF(SUMIFS($L$2:$L$756,$B$2:$B$756,B547,$W$2:$W$756,2)&gt;0,SUMIFS($L$2:$L$756,$B$2:$B$756,B547,$W$2:$W$756,2),""),"")</f>
        <v/>
      </c>
      <c r="AB547" s="54" t="str">
        <f aca="false">IF(AND(W547=1,ISNUMBER(AA547)),L547/(L547+AA547),"")</f>
        <v/>
      </c>
    </row>
    <row r="548" customFormat="false" ht="15" hidden="false" customHeight="true" outlineLevel="0" collapsed="false">
      <c r="A548" s="1" t="s">
        <v>274</v>
      </c>
      <c r="B548" s="46" t="n">
        <v>45931</v>
      </c>
      <c r="C548" s="46" t="n">
        <v>45958</v>
      </c>
      <c r="D548" s="47" t="n">
        <v>24751.8</v>
      </c>
      <c r="E548" s="47" t="n">
        <v>24986.5</v>
      </c>
      <c r="F548" s="47" t="n">
        <v>24725</v>
      </c>
      <c r="G548" s="47" t="n">
        <v>24967.2</v>
      </c>
      <c r="H548" s="47" t="n">
        <v>24982.8</v>
      </c>
      <c r="I548" s="47" t="n">
        <v>24967.2</v>
      </c>
      <c r="J548" s="48" t="n">
        <v>76529</v>
      </c>
      <c r="K548" s="47" t="n">
        <v>1428176.21</v>
      </c>
      <c r="L548" s="48" t="n">
        <v>17259900</v>
      </c>
      <c r="M548" s="48" t="n">
        <v>152775</v>
      </c>
      <c r="N548" s="47" t="n">
        <v>24836.3</v>
      </c>
      <c r="O548" s="47" t="n">
        <f aca="false">IF(AND(ISNUMBER(G548),ISNUMBER(N548)),G548-N548,"")</f>
        <v>130.900000000001</v>
      </c>
      <c r="P548" s="49" t="n">
        <f aca="false">IF(ISNUMBER(O548),O548/N548,"")</f>
        <v>0.00527051130804514</v>
      </c>
      <c r="Q548" s="50" t="n">
        <f aca="false">C548-B548</f>
        <v>27</v>
      </c>
      <c r="R548" s="51" t="n">
        <f aca="false">IF(AND(C548=C547,ISNUMBER(G548),ISNUMBER(G547)),(G548/G547-1)*100,"")</f>
        <v>0.762360613924296</v>
      </c>
      <c r="S548" s="51" t="n">
        <f aca="false">IF(AND(C548=C547,ISNUMBER(L548),ISNUMBER(L547)),(L548/L547-1)*100,"")</f>
        <v>0.893048948902875</v>
      </c>
      <c r="T548" s="51" t="n">
        <f aca="false">IF(AND(C548=C547,ISNUMBER(G548),ISNUMBER(G547)),G548-G547,"")</f>
        <v>188.900000000001</v>
      </c>
      <c r="U548" s="1" t="str">
        <f aca="false">IF(OR(NOT(ISNUMBER(R548)),NOT(ISNUMBER(S548))),"Not classified",IF(AND(R548&gt;0,S548&gt;0),"Long buildup (interpretation)",IF(AND(R548&lt;0,S548&gt;0),"Short buildup (interpretation)",IF(AND(R548&gt;0,S548&lt;0),"Short covering (interpretation)",IF(AND(R548&lt;0,S548&lt;0),"Long unwinding (interpretation)","Neutral")))))</f>
        <v>Long buildup (interpretation)</v>
      </c>
      <c r="V548" s="52" t="str">
        <f aca="false">TEXT(B548,"yyyy-mm")</f>
        <v>2025-10</v>
      </c>
      <c r="W548" s="52" t="n">
        <f aca="false">1+COUNTIFS($B$2:$B$756,B548,$C$2:$C$756,"&lt;"&amp;C548)</f>
        <v>1</v>
      </c>
      <c r="X548" s="53" t="n">
        <f aca="false">IF(AND(ISNUMBER(P548),Q548&gt;0),P548*365/Q548,"")</f>
        <v>0.0712495047198695</v>
      </c>
      <c r="Y548" s="42" t="n">
        <f aca="false">IF(AND(C549=C548,ISNUMBER(R549)),R549,"")</f>
        <v>0.157807042840208</v>
      </c>
      <c r="Z548" s="52" t="n">
        <f aca="false">IF(AND(W548=1,Q548&gt;Basis_Analysis!$B$3,ISNUMBER(Y548)),1,0)</f>
        <v>1</v>
      </c>
      <c r="AA548" s="43" t="n">
        <f aca="false">IF(W548=1,IF(SUMIFS($L$2:$L$756,$B$2:$B$756,B548,$W$2:$W$756,2)&gt;0,SUMIFS($L$2:$L$756,$B$2:$B$756,B548,$W$2:$W$756,2),""),"")</f>
        <v>1057050</v>
      </c>
      <c r="AB548" s="54" t="n">
        <f aca="false">IF(AND(W548=1,ISNUMBER(AA548)),L548/(L548+AA548),"")</f>
        <v>0.942291156551719</v>
      </c>
    </row>
    <row r="549" customFormat="false" ht="15" hidden="false" customHeight="true" outlineLevel="0" collapsed="false">
      <c r="A549" s="1" t="s">
        <v>274</v>
      </c>
      <c r="B549" s="46" t="n">
        <v>45933</v>
      </c>
      <c r="C549" s="46" t="n">
        <v>45958</v>
      </c>
      <c r="D549" s="47" t="n">
        <v>24950.4</v>
      </c>
      <c r="E549" s="47" t="n">
        <v>25020</v>
      </c>
      <c r="F549" s="47" t="n">
        <v>24878.6</v>
      </c>
      <c r="G549" s="47" t="n">
        <v>25006.6</v>
      </c>
      <c r="H549" s="47" t="n">
        <v>25007.1</v>
      </c>
      <c r="I549" s="47" t="n">
        <v>25006.6</v>
      </c>
      <c r="J549" s="48" t="n">
        <v>60919</v>
      </c>
      <c r="K549" s="47" t="n">
        <v>1140072.78</v>
      </c>
      <c r="L549" s="48" t="n">
        <v>18015450</v>
      </c>
      <c r="M549" s="48" t="n">
        <v>755550</v>
      </c>
      <c r="N549" s="47" t="n">
        <v>24894.25</v>
      </c>
      <c r="O549" s="47" t="n">
        <f aca="false">IF(AND(ISNUMBER(G549),ISNUMBER(N549)),G549-N549,"")</f>
        <v>112.349999999999</v>
      </c>
      <c r="P549" s="49" t="n">
        <f aca="false">IF(ISNUMBER(O549),O549/N549,"")</f>
        <v>0.00451309037227466</v>
      </c>
      <c r="Q549" s="50" t="n">
        <f aca="false">C549-B549</f>
        <v>25</v>
      </c>
      <c r="R549" s="51" t="n">
        <f aca="false">IF(AND(C549=C548,ISNUMBER(G549),ISNUMBER(G548)),(G549/G548-1)*100,"")</f>
        <v>0.157807042840208</v>
      </c>
      <c r="S549" s="51" t="n">
        <f aca="false">IF(AND(C549=C548,ISNUMBER(L549),ISNUMBER(L548)),(L549/L548-1)*100,"")</f>
        <v>4.37748770270976</v>
      </c>
      <c r="T549" s="51" t="n">
        <f aca="false">IF(AND(C549=C548,ISNUMBER(G549),ISNUMBER(G548)),G549-G548,"")</f>
        <v>39.3999999999978</v>
      </c>
      <c r="U549" s="1" t="str">
        <f aca="false">IF(OR(NOT(ISNUMBER(R549)),NOT(ISNUMBER(S549))),"Not classified",IF(AND(R549&gt;0,S549&gt;0),"Long buildup (interpretation)",IF(AND(R549&lt;0,S549&gt;0),"Short buildup (interpretation)",IF(AND(R549&gt;0,S549&lt;0),"Short covering (interpretation)",IF(AND(R549&lt;0,S549&lt;0),"Long unwinding (interpretation)","Neutral")))))</f>
        <v>Long buildup (interpretation)</v>
      </c>
      <c r="V549" s="52" t="str">
        <f aca="false">TEXT(B549,"yyyy-mm")</f>
        <v>2025-10</v>
      </c>
      <c r="W549" s="52" t="n">
        <f aca="false">1+COUNTIFS($B$2:$B$756,B549,$C$2:$C$756,"&lt;"&amp;C549)</f>
        <v>1</v>
      </c>
      <c r="X549" s="53" t="n">
        <f aca="false">IF(AND(ISNUMBER(P549),Q549&gt;0),P549*365/Q549,"")</f>
        <v>0.0658911194352101</v>
      </c>
      <c r="Y549" s="42" t="n">
        <f aca="false">IF(AND(C550=C549,ISNUMBER(R550)),R550,"")</f>
        <v>0.715011237033436</v>
      </c>
      <c r="Z549" s="52" t="n">
        <f aca="false">IF(AND(W549=1,Q549&gt;Basis_Analysis!$B$3,ISNUMBER(Y549)),1,0)</f>
        <v>1</v>
      </c>
      <c r="AA549" s="43" t="n">
        <f aca="false">IF(W549=1,IF(SUMIFS($L$2:$L$756,$B$2:$B$756,B549,$W$2:$W$756,2)&gt;0,SUMIFS($L$2:$L$756,$B$2:$B$756,B549,$W$2:$W$756,2),""),"")</f>
        <v>1069950</v>
      </c>
      <c r="AB549" s="54" t="n">
        <f aca="false">IF(AND(W549=1,ISNUMBER(AA549)),L549/(L549+AA549),"")</f>
        <v>0.943938822345877</v>
      </c>
    </row>
    <row r="550" customFormat="false" ht="15" hidden="false" customHeight="true" outlineLevel="0" collapsed="false">
      <c r="A550" s="1" t="s">
        <v>274</v>
      </c>
      <c r="B550" s="46" t="n">
        <v>45936</v>
      </c>
      <c r="C550" s="46" t="n">
        <v>45958</v>
      </c>
      <c r="D550" s="47" t="n">
        <v>24990</v>
      </c>
      <c r="E550" s="47" t="n">
        <v>25199.1</v>
      </c>
      <c r="F550" s="47" t="n">
        <v>24973.2</v>
      </c>
      <c r="G550" s="47" t="n">
        <v>25185.4</v>
      </c>
      <c r="H550" s="47" t="n">
        <v>25181.1</v>
      </c>
      <c r="I550" s="47" t="n">
        <v>25185.4</v>
      </c>
      <c r="J550" s="48" t="n">
        <v>73598</v>
      </c>
      <c r="K550" s="47" t="n">
        <v>1385816.63</v>
      </c>
      <c r="L550" s="48" t="n">
        <v>18296400</v>
      </c>
      <c r="M550" s="48" t="n">
        <v>280950</v>
      </c>
      <c r="N550" s="47" t="n">
        <v>25077.65</v>
      </c>
      <c r="O550" s="47" t="n">
        <f aca="false">IF(AND(ISNUMBER(G550),ISNUMBER(N550)),G550-N550,"")</f>
        <v>107.75</v>
      </c>
      <c r="P550" s="49" t="n">
        <f aca="false">IF(ISNUMBER(O550),O550/N550,"")</f>
        <v>0.00429665459084085</v>
      </c>
      <c r="Q550" s="50" t="n">
        <f aca="false">C550-B550</f>
        <v>22</v>
      </c>
      <c r="R550" s="51" t="n">
        <f aca="false">IF(AND(C550=C549,ISNUMBER(G550),ISNUMBER(G549)),(G550/G549-1)*100,"")</f>
        <v>0.715011237033436</v>
      </c>
      <c r="S550" s="51" t="n">
        <f aca="false">IF(AND(C550=C549,ISNUMBER(L550),ISNUMBER(L549)),(L550/L549-1)*100,"")</f>
        <v>1.55949476699166</v>
      </c>
      <c r="T550" s="51" t="n">
        <f aca="false">IF(AND(C550=C549,ISNUMBER(G550),ISNUMBER(G549)),G550-G549,"")</f>
        <v>178.800000000003</v>
      </c>
      <c r="U550" s="1" t="str">
        <f aca="false">IF(OR(NOT(ISNUMBER(R550)),NOT(ISNUMBER(S550))),"Not classified",IF(AND(R550&gt;0,S550&gt;0),"Long buildup (interpretation)",IF(AND(R550&lt;0,S550&gt;0),"Short buildup (interpretation)",IF(AND(R550&gt;0,S550&lt;0),"Short covering (interpretation)",IF(AND(R550&lt;0,S550&lt;0),"Long unwinding (interpretation)","Neutral")))))</f>
        <v>Long buildup (interpretation)</v>
      </c>
      <c r="V550" s="52" t="str">
        <f aca="false">TEXT(B550,"yyyy-mm")</f>
        <v>2025-10</v>
      </c>
      <c r="W550" s="52" t="n">
        <f aca="false">1+COUNTIFS($B$2:$B$756,B550,$C$2:$C$756,"&lt;"&amp;C550)</f>
        <v>1</v>
      </c>
      <c r="X550" s="53" t="n">
        <f aca="false">IF(AND(ISNUMBER(P550),Q550&gt;0),P550*365/Q550,"")</f>
        <v>0.0712854057116777</v>
      </c>
      <c r="Y550" s="42" t="n">
        <f aca="false">IF(AND(C551=C550,ISNUMBER(R551)),R551,"")</f>
        <v>0.158425119315142</v>
      </c>
      <c r="Z550" s="52" t="n">
        <f aca="false">IF(AND(W550=1,Q550&gt;Basis_Analysis!$B$3,ISNUMBER(Y550)),1,0)</f>
        <v>1</v>
      </c>
      <c r="AA550" s="43" t="n">
        <f aca="false">IF(W550=1,IF(SUMIFS($L$2:$L$756,$B$2:$B$756,B550,$W$2:$W$756,2)&gt;0,SUMIFS($L$2:$L$756,$B$2:$B$756,B550,$W$2:$W$756,2),""),"")</f>
        <v>1101375</v>
      </c>
      <c r="AB550" s="54" t="n">
        <f aca="false">IF(AND(W550=1,ISNUMBER(AA550)),L550/(L550+AA550),"")</f>
        <v>0.943221580825636</v>
      </c>
    </row>
    <row r="551" customFormat="false" ht="15" hidden="false" customHeight="true" outlineLevel="0" collapsed="false">
      <c r="A551" s="1" t="s">
        <v>274</v>
      </c>
      <c r="B551" s="46" t="n">
        <v>45937</v>
      </c>
      <c r="C551" s="46" t="n">
        <v>45958</v>
      </c>
      <c r="D551" s="47" t="n">
        <v>25198</v>
      </c>
      <c r="E551" s="47" t="n">
        <v>25318</v>
      </c>
      <c r="F551" s="47" t="n">
        <v>25180</v>
      </c>
      <c r="G551" s="47" t="n">
        <v>25225.3</v>
      </c>
      <c r="H551" s="47" t="n">
        <v>25229</v>
      </c>
      <c r="I551" s="47" t="n">
        <v>25225.3</v>
      </c>
      <c r="J551" s="48" t="n">
        <v>64467</v>
      </c>
      <c r="K551" s="47" t="n">
        <v>1220871.05</v>
      </c>
      <c r="L551" s="48" t="n">
        <v>18017475</v>
      </c>
      <c r="M551" s="48" t="n">
        <v>-278925</v>
      </c>
      <c r="N551" s="47" t="n">
        <v>25108.3</v>
      </c>
      <c r="O551" s="47" t="n">
        <f aca="false">IF(AND(ISNUMBER(G551),ISNUMBER(N551)),G551-N551,"")</f>
        <v>117</v>
      </c>
      <c r="P551" s="49" t="n">
        <f aca="false">IF(ISNUMBER(O551),O551/N551,"")</f>
        <v>0.00465981368710745</v>
      </c>
      <c r="Q551" s="50" t="n">
        <f aca="false">C551-B551</f>
        <v>21</v>
      </c>
      <c r="R551" s="51" t="n">
        <f aca="false">IF(AND(C551=C550,ISNUMBER(G551),ISNUMBER(G550)),(G551/G550-1)*100,"")</f>
        <v>0.158425119315142</v>
      </c>
      <c r="S551" s="51" t="n">
        <f aca="false">IF(AND(C551=C550,ISNUMBER(L551),ISNUMBER(L550)),(L551/L550-1)*100,"")</f>
        <v>-1.52448022561815</v>
      </c>
      <c r="T551" s="51" t="n">
        <f aca="false">IF(AND(C551=C550,ISNUMBER(G551),ISNUMBER(G550)),G551-G550,"")</f>
        <v>39.8999999999978</v>
      </c>
      <c r="U551" s="1" t="str">
        <f aca="false">IF(OR(NOT(ISNUMBER(R551)),NOT(ISNUMBER(S551))),"Not classified",IF(AND(R551&gt;0,S551&gt;0),"Long buildup (interpretation)",IF(AND(R551&lt;0,S551&gt;0),"Short buildup (interpretation)",IF(AND(R551&gt;0,S551&lt;0),"Short covering (interpretation)",IF(AND(R551&lt;0,S551&lt;0),"Long unwinding (interpretation)","Neutral")))))</f>
        <v>Short covering (interpretation)</v>
      </c>
      <c r="V551" s="52" t="str">
        <f aca="false">TEXT(B551,"yyyy-mm")</f>
        <v>2025-10</v>
      </c>
      <c r="W551" s="52" t="n">
        <f aca="false">1+COUNTIFS($B$2:$B$756,B551,$C$2:$C$756,"&lt;"&amp;C551)</f>
        <v>1</v>
      </c>
      <c r="X551" s="53" t="n">
        <f aca="false">IF(AND(ISNUMBER(P551),Q551&gt;0),P551*365/Q551,"")</f>
        <v>0.0809919997997247</v>
      </c>
      <c r="Y551" s="42" t="n">
        <f aca="false">IF(AND(C552=C551,ISNUMBER(R552)),R552,"")</f>
        <v>-0.41585233872341</v>
      </c>
      <c r="Z551" s="52" t="n">
        <f aca="false">IF(AND(W551=1,Q551&gt;Basis_Analysis!$B$3,ISNUMBER(Y551)),1,0)</f>
        <v>1</v>
      </c>
      <c r="AA551" s="43" t="n">
        <f aca="false">IF(W551=1,IF(SUMIFS($L$2:$L$756,$B$2:$B$756,B551,$W$2:$W$756,2)&gt;0,SUMIFS($L$2:$L$756,$B$2:$B$756,B551,$W$2:$W$756,2),""),"")</f>
        <v>1105950</v>
      </c>
      <c r="AB551" s="54" t="n">
        <f aca="false">IF(AND(W551=1,ISNUMBER(AA551)),L551/(L551+AA551),"")</f>
        <v>0.94216778636672</v>
      </c>
    </row>
    <row r="552" customFormat="false" ht="15" hidden="false" customHeight="true" outlineLevel="0" collapsed="false">
      <c r="A552" s="1" t="s">
        <v>274</v>
      </c>
      <c r="B552" s="46" t="n">
        <v>45938</v>
      </c>
      <c r="C552" s="46" t="n">
        <v>45958</v>
      </c>
      <c r="D552" s="47" t="n">
        <v>25206.9</v>
      </c>
      <c r="E552" s="47" t="n">
        <v>25289.8</v>
      </c>
      <c r="F552" s="47" t="n">
        <v>25085</v>
      </c>
      <c r="G552" s="47" t="n">
        <v>25120.4</v>
      </c>
      <c r="H552" s="47" t="n">
        <v>25112.5</v>
      </c>
      <c r="I552" s="47" t="n">
        <v>25120.4</v>
      </c>
      <c r="J552" s="48" t="n">
        <v>73678</v>
      </c>
      <c r="K552" s="47" t="n">
        <v>1390824.68</v>
      </c>
      <c r="L552" s="48" t="n">
        <v>17699550</v>
      </c>
      <c r="M552" s="48" t="n">
        <v>-317925</v>
      </c>
      <c r="N552" s="47" t="n">
        <v>25046.15</v>
      </c>
      <c r="O552" s="47" t="n">
        <f aca="false">IF(AND(ISNUMBER(G552),ISNUMBER(N552)),G552-N552,"")</f>
        <v>74.25</v>
      </c>
      <c r="P552" s="49" t="n">
        <f aca="false">IF(ISNUMBER(O552),O552/N552,"")</f>
        <v>0.00296452748226773</v>
      </c>
      <c r="Q552" s="50" t="n">
        <f aca="false">C552-B552</f>
        <v>20</v>
      </c>
      <c r="R552" s="51" t="n">
        <f aca="false">IF(AND(C552=C551,ISNUMBER(G552),ISNUMBER(G551)),(G552/G551-1)*100,"")</f>
        <v>-0.41585233872341</v>
      </c>
      <c r="S552" s="51" t="n">
        <f aca="false">IF(AND(C552=C551,ISNUMBER(L552),ISNUMBER(L551)),(L552/L551-1)*100,"")</f>
        <v>-1.76453692873169</v>
      </c>
      <c r="T552" s="51" t="n">
        <f aca="false">IF(AND(C552=C551,ISNUMBER(G552),ISNUMBER(G551)),G552-G551,"")</f>
        <v>-104.899999999998</v>
      </c>
      <c r="U552" s="1" t="str">
        <f aca="false">IF(OR(NOT(ISNUMBER(R552)),NOT(ISNUMBER(S552))),"Not classified",IF(AND(R552&gt;0,S552&gt;0),"Long buildup (interpretation)",IF(AND(R552&lt;0,S552&gt;0),"Short buildup (interpretation)",IF(AND(R552&gt;0,S552&lt;0),"Short covering (interpretation)",IF(AND(R552&lt;0,S552&lt;0),"Long unwinding (interpretation)","Neutral")))))</f>
        <v>Long unwinding (interpretation)</v>
      </c>
      <c r="V552" s="52" t="str">
        <f aca="false">TEXT(B552,"yyyy-mm")</f>
        <v>2025-10</v>
      </c>
      <c r="W552" s="52" t="n">
        <f aca="false">1+COUNTIFS($B$2:$B$756,B552,$C$2:$C$756,"&lt;"&amp;C552)</f>
        <v>1</v>
      </c>
      <c r="X552" s="53" t="n">
        <f aca="false">IF(AND(ISNUMBER(P552),Q552&gt;0),P552*365/Q552,"")</f>
        <v>0.0541026265513861</v>
      </c>
      <c r="Y552" s="42" t="n">
        <f aca="false">IF(AND(C553=C552,ISNUMBER(R553)),R553,"")</f>
        <v>0.610659065938424</v>
      </c>
      <c r="Z552" s="52" t="n">
        <f aca="false">IF(AND(W552=1,Q552&gt;Basis_Analysis!$B$3,ISNUMBER(Y552)),1,0)</f>
        <v>1</v>
      </c>
      <c r="AA552" s="43" t="n">
        <f aca="false">IF(W552=1,IF(SUMIFS($L$2:$L$756,$B$2:$B$756,B552,$W$2:$W$756,2)&gt;0,SUMIFS($L$2:$L$756,$B$2:$B$756,B552,$W$2:$W$756,2),""),"")</f>
        <v>1135800</v>
      </c>
      <c r="AB552" s="54" t="n">
        <f aca="false">IF(AND(W552=1,ISNUMBER(AA552)),L552/(L552+AA552),"")</f>
        <v>0.939698492462312</v>
      </c>
    </row>
    <row r="553" customFormat="false" ht="15" hidden="false" customHeight="true" outlineLevel="0" collapsed="false">
      <c r="A553" s="1" t="s">
        <v>274</v>
      </c>
      <c r="B553" s="46" t="n">
        <v>45939</v>
      </c>
      <c r="C553" s="46" t="n">
        <v>45958</v>
      </c>
      <c r="D553" s="47" t="n">
        <v>25150</v>
      </c>
      <c r="E553" s="47" t="n">
        <v>25291</v>
      </c>
      <c r="F553" s="47" t="n">
        <v>25124</v>
      </c>
      <c r="G553" s="47" t="n">
        <v>25273.8</v>
      </c>
      <c r="H553" s="47" t="n">
        <v>25280</v>
      </c>
      <c r="I553" s="47" t="n">
        <v>25273.8</v>
      </c>
      <c r="J553" s="48" t="n">
        <v>67283</v>
      </c>
      <c r="K553" s="47" t="n">
        <v>1273019.27</v>
      </c>
      <c r="L553" s="48" t="n">
        <v>17510175</v>
      </c>
      <c r="M553" s="48" t="n">
        <v>-189375</v>
      </c>
      <c r="N553" s="47" t="n">
        <v>25181.8</v>
      </c>
      <c r="O553" s="47" t="n">
        <f aca="false">IF(AND(ISNUMBER(G553),ISNUMBER(N553)),G553-N553,"")</f>
        <v>92</v>
      </c>
      <c r="P553" s="49" t="n">
        <f aca="false">IF(ISNUMBER(O553),O553/N553,"")</f>
        <v>0.0036534322407453</v>
      </c>
      <c r="Q553" s="50" t="n">
        <f aca="false">C553-B553</f>
        <v>19</v>
      </c>
      <c r="R553" s="51" t="n">
        <f aca="false">IF(AND(C553=C552,ISNUMBER(G553),ISNUMBER(G552)),(G553/G552-1)*100,"")</f>
        <v>0.610659065938424</v>
      </c>
      <c r="S553" s="51" t="n">
        <f aca="false">IF(AND(C553=C552,ISNUMBER(L553),ISNUMBER(L552)),(L553/L552-1)*100,"")</f>
        <v>-1.06994245616414</v>
      </c>
      <c r="T553" s="51" t="n">
        <f aca="false">IF(AND(C553=C552,ISNUMBER(G553),ISNUMBER(G552)),G553-G552,"")</f>
        <v>153.399999999998</v>
      </c>
      <c r="U553" s="1" t="str">
        <f aca="false">IF(OR(NOT(ISNUMBER(R553)),NOT(ISNUMBER(S553))),"Not classified",IF(AND(R553&gt;0,S553&gt;0),"Long buildup (interpretation)",IF(AND(R553&lt;0,S553&gt;0),"Short buildup (interpretation)",IF(AND(R553&gt;0,S553&lt;0),"Short covering (interpretation)",IF(AND(R553&lt;0,S553&lt;0),"Long unwinding (interpretation)","Neutral")))))</f>
        <v>Short covering (interpretation)</v>
      </c>
      <c r="V553" s="52" t="str">
        <f aca="false">TEXT(B553,"yyyy-mm")</f>
        <v>2025-10</v>
      </c>
      <c r="W553" s="52" t="n">
        <f aca="false">1+COUNTIFS($B$2:$B$756,B553,$C$2:$C$756,"&lt;"&amp;C553)</f>
        <v>1</v>
      </c>
      <c r="X553" s="53" t="n">
        <f aca="false">IF(AND(ISNUMBER(P553),Q553&gt;0),P553*365/Q553,"")</f>
        <v>0.0701843562037913</v>
      </c>
      <c r="Y553" s="42" t="n">
        <f aca="false">IF(AND(C554=C553,ISNUMBER(R554)),R554,"")</f>
        <v>0.542854655809566</v>
      </c>
      <c r="Z553" s="52" t="n">
        <f aca="false">IF(AND(W553=1,Q553&gt;Basis_Analysis!$B$3,ISNUMBER(Y553)),1,0)</f>
        <v>1</v>
      </c>
      <c r="AA553" s="43" t="n">
        <f aca="false">IF(W553=1,IF(SUMIFS($L$2:$L$756,$B$2:$B$756,B553,$W$2:$W$756,2)&gt;0,SUMIFS($L$2:$L$756,$B$2:$B$756,B553,$W$2:$W$756,2),""),"")</f>
        <v>1147050</v>
      </c>
      <c r="AB553" s="54" t="n">
        <f aca="false">IF(AND(W553=1,ISNUMBER(AA553)),L553/(L553+AA553),"")</f>
        <v>0.938519795950362</v>
      </c>
    </row>
    <row r="554" customFormat="false" ht="15" hidden="false" customHeight="true" outlineLevel="0" collapsed="false">
      <c r="A554" s="1" t="s">
        <v>274</v>
      </c>
      <c r="B554" s="46" t="n">
        <v>45940</v>
      </c>
      <c r="C554" s="46" t="n">
        <v>45958</v>
      </c>
      <c r="D554" s="47" t="n">
        <v>25250</v>
      </c>
      <c r="E554" s="47" t="n">
        <v>25464.3</v>
      </c>
      <c r="F554" s="47" t="n">
        <v>25250</v>
      </c>
      <c r="G554" s="47" t="n">
        <v>25411</v>
      </c>
      <c r="H554" s="47" t="n">
        <v>25415</v>
      </c>
      <c r="I554" s="47" t="n">
        <v>25411</v>
      </c>
      <c r="J554" s="48" t="n">
        <v>58958</v>
      </c>
      <c r="K554" s="47" t="n">
        <v>1122980.58</v>
      </c>
      <c r="L554" s="48" t="n">
        <v>17289075</v>
      </c>
      <c r="M554" s="48" t="n">
        <v>-221100</v>
      </c>
      <c r="N554" s="47" t="n">
        <v>25285.35</v>
      </c>
      <c r="O554" s="47" t="n">
        <f aca="false">IF(AND(ISNUMBER(G554),ISNUMBER(N554)),G554-N554,"")</f>
        <v>125.650000000001</v>
      </c>
      <c r="P554" s="49" t="n">
        <f aca="false">IF(ISNUMBER(O554),O554/N554,"")</f>
        <v>0.0049692806308792</v>
      </c>
      <c r="Q554" s="50" t="n">
        <f aca="false">C554-B554</f>
        <v>18</v>
      </c>
      <c r="R554" s="51" t="n">
        <f aca="false">IF(AND(C554=C553,ISNUMBER(G554),ISNUMBER(G553)),(G554/G553-1)*100,"")</f>
        <v>0.542854655809566</v>
      </c>
      <c r="S554" s="51" t="n">
        <f aca="false">IF(AND(C554=C553,ISNUMBER(L554),ISNUMBER(L553)),(L554/L553-1)*100,"")</f>
        <v>-1.26269440482463</v>
      </c>
      <c r="T554" s="51" t="n">
        <f aca="false">IF(AND(C554=C553,ISNUMBER(G554),ISNUMBER(G553)),G554-G553,"")</f>
        <v>137.200000000001</v>
      </c>
      <c r="U554" s="1" t="str">
        <f aca="false">IF(OR(NOT(ISNUMBER(R554)),NOT(ISNUMBER(S554))),"Not classified",IF(AND(R554&gt;0,S554&gt;0),"Long buildup (interpretation)",IF(AND(R554&lt;0,S554&gt;0),"Short buildup (interpretation)",IF(AND(R554&gt;0,S554&lt;0),"Short covering (interpretation)",IF(AND(R554&lt;0,S554&lt;0),"Long unwinding (interpretation)","Neutral")))))</f>
        <v>Short covering (interpretation)</v>
      </c>
      <c r="V554" s="52" t="str">
        <f aca="false">TEXT(B554,"yyyy-mm")</f>
        <v>2025-10</v>
      </c>
      <c r="W554" s="52" t="n">
        <f aca="false">1+COUNTIFS($B$2:$B$756,B554,$C$2:$C$756,"&lt;"&amp;C554)</f>
        <v>1</v>
      </c>
      <c r="X554" s="53" t="n">
        <f aca="false">IF(AND(ISNUMBER(P554),Q554&gt;0),P554*365/Q554,"")</f>
        <v>0.100765968348384</v>
      </c>
      <c r="Y554" s="42" t="n">
        <f aca="false">IF(AND(C555=C554,ISNUMBER(R555)),R555,"")</f>
        <v>-0.400220377002092</v>
      </c>
      <c r="Z554" s="52" t="n">
        <f aca="false">IF(AND(W554=1,Q554&gt;Basis_Analysis!$B$3,ISNUMBER(Y554)),1,0)</f>
        <v>1</v>
      </c>
      <c r="AA554" s="43" t="n">
        <f aca="false">IF(W554=1,IF(SUMIFS($L$2:$L$756,$B$2:$B$756,B554,$W$2:$W$756,2)&gt;0,SUMIFS($L$2:$L$756,$B$2:$B$756,B554,$W$2:$W$756,2),""),"")</f>
        <v>1245375</v>
      </c>
      <c r="AB554" s="54" t="n">
        <f aca="false">IF(AND(W554=1,ISNUMBER(AA554)),L554/(L554+AA554),"")</f>
        <v>0.932807555659866</v>
      </c>
    </row>
    <row r="555" customFormat="false" ht="15" hidden="false" customHeight="true" outlineLevel="0" collapsed="false">
      <c r="A555" s="1" t="s">
        <v>274</v>
      </c>
      <c r="B555" s="46" t="n">
        <v>45943</v>
      </c>
      <c r="C555" s="46" t="n">
        <v>45958</v>
      </c>
      <c r="D555" s="47" t="n">
        <v>25340</v>
      </c>
      <c r="E555" s="47" t="n">
        <v>25345.1</v>
      </c>
      <c r="F555" s="47" t="n">
        <v>25230.3</v>
      </c>
      <c r="G555" s="47" t="n">
        <v>25309.3</v>
      </c>
      <c r="H555" s="47" t="n">
        <v>25321.9</v>
      </c>
      <c r="I555" s="47" t="n">
        <v>25309.3</v>
      </c>
      <c r="J555" s="48" t="n">
        <v>72042</v>
      </c>
      <c r="K555" s="47" t="n">
        <v>1366469.62</v>
      </c>
      <c r="L555" s="48" t="n">
        <v>17247225</v>
      </c>
      <c r="M555" s="48" t="n">
        <v>-41850</v>
      </c>
      <c r="N555" s="47" t="n">
        <v>25227.35</v>
      </c>
      <c r="O555" s="47" t="n">
        <f aca="false">IF(AND(ISNUMBER(G555),ISNUMBER(N555)),G555-N555,"")</f>
        <v>81.9500000000007</v>
      </c>
      <c r="P555" s="49" t="n">
        <f aca="false">IF(ISNUMBER(O555),O555/N555,"")</f>
        <v>0.0032484585182352</v>
      </c>
      <c r="Q555" s="50" t="n">
        <f aca="false">C555-B555</f>
        <v>15</v>
      </c>
      <c r="R555" s="51" t="n">
        <f aca="false">IF(AND(C555=C554,ISNUMBER(G555),ISNUMBER(G554)),(G555/G554-1)*100,"")</f>
        <v>-0.400220377002092</v>
      </c>
      <c r="S555" s="51" t="n">
        <f aca="false">IF(AND(C555=C554,ISNUMBER(L555),ISNUMBER(L554)),(L555/L554-1)*100,"")</f>
        <v>-0.242060376278086</v>
      </c>
      <c r="T555" s="51" t="n">
        <f aca="false">IF(AND(C555=C554,ISNUMBER(G555),ISNUMBER(G554)),G555-G554,"")</f>
        <v>-101.700000000001</v>
      </c>
      <c r="U555" s="1" t="str">
        <f aca="false">IF(OR(NOT(ISNUMBER(R555)),NOT(ISNUMBER(S555))),"Not classified",IF(AND(R555&gt;0,S555&gt;0),"Long buildup (interpretation)",IF(AND(R555&lt;0,S555&gt;0),"Short buildup (interpretation)",IF(AND(R555&gt;0,S555&lt;0),"Short covering (interpretation)",IF(AND(R555&lt;0,S555&lt;0),"Long unwinding (interpretation)","Neutral")))))</f>
        <v>Long unwinding (interpretation)</v>
      </c>
      <c r="V555" s="52" t="str">
        <f aca="false">TEXT(B555,"yyyy-mm")</f>
        <v>2025-10</v>
      </c>
      <c r="W555" s="52" t="n">
        <f aca="false">1+COUNTIFS($B$2:$B$756,B555,$C$2:$C$756,"&lt;"&amp;C555)</f>
        <v>1</v>
      </c>
      <c r="X555" s="53" t="n">
        <f aca="false">IF(AND(ISNUMBER(P555),Q555&gt;0),P555*365/Q555,"")</f>
        <v>0.0790458239437232</v>
      </c>
      <c r="Y555" s="42" t="n">
        <f aca="false">IF(AND(C556=C555,ISNUMBER(R556)),R556,"")</f>
        <v>-0.408150363700299</v>
      </c>
      <c r="Z555" s="52" t="n">
        <f aca="false">IF(AND(W555=1,Q555&gt;Basis_Analysis!$B$3,ISNUMBER(Y555)),1,0)</f>
        <v>1</v>
      </c>
      <c r="AA555" s="43" t="n">
        <f aca="false">IF(W555=1,IF(SUMIFS($L$2:$L$756,$B$2:$B$756,B555,$W$2:$W$756,2)&gt;0,SUMIFS($L$2:$L$756,$B$2:$B$756,B555,$W$2:$W$756,2),""),"")</f>
        <v>1328700</v>
      </c>
      <c r="AB555" s="54" t="n">
        <f aca="false">IF(AND(W555=1,ISNUMBER(AA555)),L555/(L555+AA555),"")</f>
        <v>0.928471933429964</v>
      </c>
    </row>
    <row r="556" customFormat="false" ht="15" hidden="false" customHeight="true" outlineLevel="0" collapsed="false">
      <c r="A556" s="1" t="s">
        <v>274</v>
      </c>
      <c r="B556" s="46" t="n">
        <v>45944</v>
      </c>
      <c r="C556" s="46" t="n">
        <v>45958</v>
      </c>
      <c r="D556" s="47" t="n">
        <v>25378.1</v>
      </c>
      <c r="E556" s="47" t="n">
        <v>25378.1</v>
      </c>
      <c r="F556" s="47" t="n">
        <v>25123.2</v>
      </c>
      <c r="G556" s="47" t="n">
        <v>25206</v>
      </c>
      <c r="H556" s="47" t="n">
        <v>25185.5</v>
      </c>
      <c r="I556" s="47" t="n">
        <v>25206</v>
      </c>
      <c r="J556" s="48" t="n">
        <v>91414</v>
      </c>
      <c r="K556" s="47" t="n">
        <v>1730092.49</v>
      </c>
      <c r="L556" s="48" t="n">
        <v>17773650</v>
      </c>
      <c r="M556" s="48" t="n">
        <v>526425</v>
      </c>
      <c r="N556" s="47" t="n">
        <v>25145.5</v>
      </c>
      <c r="O556" s="47" t="n">
        <f aca="false">IF(AND(ISNUMBER(G556),ISNUMBER(N556)),G556-N556,"")</f>
        <v>60.5</v>
      </c>
      <c r="P556" s="49" t="n">
        <f aca="false">IF(ISNUMBER(O556),O556/N556,"")</f>
        <v>0.00240599709689607</v>
      </c>
      <c r="Q556" s="50" t="n">
        <f aca="false">C556-B556</f>
        <v>14</v>
      </c>
      <c r="R556" s="51" t="n">
        <f aca="false">IF(AND(C556=C555,ISNUMBER(G556),ISNUMBER(G555)),(G556/G555-1)*100,"")</f>
        <v>-0.408150363700299</v>
      </c>
      <c r="S556" s="51" t="n">
        <f aca="false">IF(AND(C556=C555,ISNUMBER(L556),ISNUMBER(L555)),(L556/L555-1)*100,"")</f>
        <v>3.05223014137057</v>
      </c>
      <c r="T556" s="51" t="n">
        <f aca="false">IF(AND(C556=C555,ISNUMBER(G556),ISNUMBER(G555)),G556-G555,"")</f>
        <v>-103.299999999999</v>
      </c>
      <c r="U556" s="1" t="str">
        <f aca="false">IF(OR(NOT(ISNUMBER(R556)),NOT(ISNUMBER(S556))),"Not classified",IF(AND(R556&gt;0,S556&gt;0),"Long buildup (interpretation)",IF(AND(R556&lt;0,S556&gt;0),"Short buildup (interpretation)",IF(AND(R556&gt;0,S556&lt;0),"Short covering (interpretation)",IF(AND(R556&lt;0,S556&lt;0),"Long unwinding (interpretation)","Neutral")))))</f>
        <v>Short buildup (interpretation)</v>
      </c>
      <c r="V556" s="52" t="str">
        <f aca="false">TEXT(B556,"yyyy-mm")</f>
        <v>2025-10</v>
      </c>
      <c r="W556" s="52" t="n">
        <f aca="false">1+COUNTIFS($B$2:$B$756,B556,$C$2:$C$756,"&lt;"&amp;C556)</f>
        <v>1</v>
      </c>
      <c r="X556" s="53" t="n">
        <f aca="false">IF(AND(ISNUMBER(P556),Q556&gt;0),P556*365/Q556,"")</f>
        <v>0.0627277814547903</v>
      </c>
      <c r="Y556" s="42" t="n">
        <f aca="false">IF(AND(C557=C556,ISNUMBER(R557)),R557,"")</f>
        <v>0.8680472903277</v>
      </c>
      <c r="Z556" s="52" t="n">
        <f aca="false">IF(AND(W556=1,Q556&gt;Basis_Analysis!$B$3,ISNUMBER(Y556)),1,0)</f>
        <v>1</v>
      </c>
      <c r="AA556" s="43" t="n">
        <f aca="false">IF(W556=1,IF(SUMIFS($L$2:$L$756,$B$2:$B$756,B556,$W$2:$W$756,2)&gt;0,SUMIFS($L$2:$L$756,$B$2:$B$756,B556,$W$2:$W$756,2),""),"")</f>
        <v>1460250</v>
      </c>
      <c r="AB556" s="54" t="n">
        <f aca="false">IF(AND(W556=1,ISNUMBER(AA556)),L556/(L556+AA556),"")</f>
        <v>0.924079359880212</v>
      </c>
    </row>
    <row r="557" customFormat="false" ht="15" hidden="false" customHeight="true" outlineLevel="0" collapsed="false">
      <c r="A557" s="1" t="s">
        <v>274</v>
      </c>
      <c r="B557" s="46" t="n">
        <v>45945</v>
      </c>
      <c r="C557" s="46" t="n">
        <v>45958</v>
      </c>
      <c r="D557" s="47" t="n">
        <v>25261</v>
      </c>
      <c r="E557" s="47" t="n">
        <v>25460</v>
      </c>
      <c r="F557" s="47" t="n">
        <v>25250</v>
      </c>
      <c r="G557" s="47" t="n">
        <v>25424.8</v>
      </c>
      <c r="H557" s="47" t="n">
        <v>25435</v>
      </c>
      <c r="I557" s="47" t="n">
        <v>25424.8</v>
      </c>
      <c r="J557" s="48" t="n">
        <v>77119</v>
      </c>
      <c r="K557" s="47" t="n">
        <v>1468193.51</v>
      </c>
      <c r="L557" s="48" t="n">
        <v>17931750</v>
      </c>
      <c r="M557" s="48" t="n">
        <v>158100</v>
      </c>
      <c r="N557" s="47" t="n">
        <v>25323.55</v>
      </c>
      <c r="O557" s="47" t="n">
        <f aca="false">IF(AND(ISNUMBER(G557),ISNUMBER(N557)),G557-N557,"")</f>
        <v>101.25</v>
      </c>
      <c r="P557" s="49" t="n">
        <f aca="false">IF(ISNUMBER(O557),O557/N557,"")</f>
        <v>0.00399825458910777</v>
      </c>
      <c r="Q557" s="50" t="n">
        <f aca="false">C557-B557</f>
        <v>13</v>
      </c>
      <c r="R557" s="51" t="n">
        <f aca="false">IF(AND(C557=C556,ISNUMBER(G557),ISNUMBER(G556)),(G557/G556-1)*100,"")</f>
        <v>0.8680472903277</v>
      </c>
      <c r="S557" s="51" t="n">
        <f aca="false">IF(AND(C557=C556,ISNUMBER(L557),ISNUMBER(L556)),(L557/L556-1)*100,"")</f>
        <v>0.889519035200981</v>
      </c>
      <c r="T557" s="51" t="n">
        <f aca="false">IF(AND(C557=C556,ISNUMBER(G557),ISNUMBER(G556)),G557-G556,"")</f>
        <v>218.799999999999</v>
      </c>
      <c r="U557" s="1" t="str">
        <f aca="false">IF(OR(NOT(ISNUMBER(R557)),NOT(ISNUMBER(S557))),"Not classified",IF(AND(R557&gt;0,S557&gt;0),"Long buildup (interpretation)",IF(AND(R557&lt;0,S557&gt;0),"Short buildup (interpretation)",IF(AND(R557&gt;0,S557&lt;0),"Short covering (interpretation)",IF(AND(R557&lt;0,S557&lt;0),"Long unwinding (interpretation)","Neutral")))))</f>
        <v>Long buildup (interpretation)</v>
      </c>
      <c r="V557" s="52" t="str">
        <f aca="false">TEXT(B557,"yyyy-mm")</f>
        <v>2025-10</v>
      </c>
      <c r="W557" s="52" t="n">
        <f aca="false">1+COUNTIFS($B$2:$B$756,B557,$C$2:$C$756,"&lt;"&amp;C557)</f>
        <v>1</v>
      </c>
      <c r="X557" s="53" t="n">
        <f aca="false">IF(AND(ISNUMBER(P557),Q557&gt;0),P557*365/Q557,"")</f>
        <v>0.112258686540333</v>
      </c>
      <c r="Y557" s="42" t="n">
        <f aca="false">IF(AND(C558=C557,ISNUMBER(R558)),R558,"")</f>
        <v>0.909741669550979</v>
      </c>
      <c r="Z557" s="52" t="n">
        <f aca="false">IF(AND(W557=1,Q557&gt;Basis_Analysis!$B$3,ISNUMBER(Y557)),1,0)</f>
        <v>1</v>
      </c>
      <c r="AA557" s="43" t="n">
        <f aca="false">IF(W557=1,IF(SUMIFS($L$2:$L$756,$B$2:$B$756,B557,$W$2:$W$756,2)&gt;0,SUMIFS($L$2:$L$756,$B$2:$B$756,B557,$W$2:$W$756,2),""),"")</f>
        <v>1920450</v>
      </c>
      <c r="AB557" s="54" t="n">
        <f aca="false">IF(AND(W557=1,ISNUMBER(AA557)),L557/(L557+AA557),"")</f>
        <v>0.903262610693021</v>
      </c>
    </row>
    <row r="558" customFormat="false" ht="15" hidden="false" customHeight="true" outlineLevel="0" collapsed="false">
      <c r="A558" s="1" t="s">
        <v>274</v>
      </c>
      <c r="B558" s="46" t="n">
        <v>45946</v>
      </c>
      <c r="C558" s="46" t="n">
        <v>45958</v>
      </c>
      <c r="D558" s="47" t="n">
        <v>25462</v>
      </c>
      <c r="E558" s="47" t="n">
        <v>25699.4</v>
      </c>
      <c r="F558" s="47" t="n">
        <v>25460</v>
      </c>
      <c r="G558" s="47" t="n">
        <v>25656.1</v>
      </c>
      <c r="H558" s="47" t="n">
        <v>25648.4</v>
      </c>
      <c r="I558" s="47" t="n">
        <v>25656.1</v>
      </c>
      <c r="J558" s="48" t="n">
        <v>83652</v>
      </c>
      <c r="K558" s="47" t="n">
        <v>1605810.8</v>
      </c>
      <c r="L558" s="48" t="n">
        <v>17756925</v>
      </c>
      <c r="M558" s="48" t="n">
        <v>-174825</v>
      </c>
      <c r="N558" s="47" t="n">
        <v>25585.3</v>
      </c>
      <c r="O558" s="47" t="n">
        <f aca="false">IF(AND(ISNUMBER(G558),ISNUMBER(N558)),G558-N558,"")</f>
        <v>70.7999999999993</v>
      </c>
      <c r="P558" s="49" t="n">
        <f aca="false">IF(ISNUMBER(O558),O558/N558,"")</f>
        <v>0.00276721398615609</v>
      </c>
      <c r="Q558" s="50" t="n">
        <f aca="false">C558-B558</f>
        <v>12</v>
      </c>
      <c r="R558" s="51" t="n">
        <f aca="false">IF(AND(C558=C557,ISNUMBER(G558),ISNUMBER(G557)),(G558/G557-1)*100,"")</f>
        <v>0.909741669550979</v>
      </c>
      <c r="S558" s="51" t="n">
        <f aca="false">IF(AND(C558=C557,ISNUMBER(L558),ISNUMBER(L557)),(L558/L557-1)*100,"")</f>
        <v>-0.974946672801036</v>
      </c>
      <c r="T558" s="51" t="n">
        <f aca="false">IF(AND(C558=C557,ISNUMBER(G558),ISNUMBER(G557)),G558-G557,"")</f>
        <v>231.299999999999</v>
      </c>
      <c r="U558" s="1" t="str">
        <f aca="false">IF(OR(NOT(ISNUMBER(R558)),NOT(ISNUMBER(S558))),"Not classified",IF(AND(R558&gt;0,S558&gt;0),"Long buildup (interpretation)",IF(AND(R558&lt;0,S558&gt;0),"Short buildup (interpretation)",IF(AND(R558&gt;0,S558&lt;0),"Short covering (interpretation)",IF(AND(R558&lt;0,S558&lt;0),"Long unwinding (interpretation)","Neutral")))))</f>
        <v>Short covering (interpretation)</v>
      </c>
      <c r="V558" s="52" t="str">
        <f aca="false">TEXT(B558,"yyyy-mm")</f>
        <v>2025-10</v>
      </c>
      <c r="W558" s="52" t="n">
        <f aca="false">1+COUNTIFS($B$2:$B$756,B558,$C$2:$C$756,"&lt;"&amp;C558)</f>
        <v>1</v>
      </c>
      <c r="X558" s="53" t="n">
        <f aca="false">IF(AND(ISNUMBER(P558),Q558&gt;0),P558*365/Q558,"")</f>
        <v>0.0841694254122476</v>
      </c>
      <c r="Y558" s="42" t="n">
        <f aca="false">IF(AND(C559=C558,ISNUMBER(R559)),R559,"")</f>
        <v>0.396396958228262</v>
      </c>
      <c r="Z558" s="52" t="n">
        <f aca="false">IF(AND(W558=1,Q558&gt;Basis_Analysis!$B$3,ISNUMBER(Y558)),1,0)</f>
        <v>1</v>
      </c>
      <c r="AA558" s="43" t="n">
        <f aca="false">IF(W558=1,IF(SUMIFS($L$2:$L$756,$B$2:$B$756,B558,$W$2:$W$756,2)&gt;0,SUMIFS($L$2:$L$756,$B$2:$B$756,B558,$W$2:$W$756,2),""),"")</f>
        <v>2180925</v>
      </c>
      <c r="AB558" s="54" t="n">
        <f aca="false">IF(AND(W558=1,ISNUMBER(AA558)),L558/(L558+AA558),"")</f>
        <v>0.890613832484445</v>
      </c>
    </row>
    <row r="559" customFormat="false" ht="15" hidden="false" customHeight="true" outlineLevel="0" collapsed="false">
      <c r="A559" s="1" t="s">
        <v>274</v>
      </c>
      <c r="B559" s="46" t="n">
        <v>45947</v>
      </c>
      <c r="C559" s="46" t="n">
        <v>45958</v>
      </c>
      <c r="D559" s="47" t="n">
        <v>25621.8</v>
      </c>
      <c r="E559" s="47" t="n">
        <v>25849</v>
      </c>
      <c r="F559" s="47" t="n">
        <v>25592</v>
      </c>
      <c r="G559" s="47" t="n">
        <v>25757.8</v>
      </c>
      <c r="H559" s="47" t="n">
        <v>25751.2</v>
      </c>
      <c r="I559" s="47" t="n">
        <v>25757.8</v>
      </c>
      <c r="J559" s="48" t="n">
        <v>102562</v>
      </c>
      <c r="K559" s="47" t="n">
        <v>1979528.91</v>
      </c>
      <c r="L559" s="48" t="n">
        <v>16718400</v>
      </c>
      <c r="M559" s="48" t="n">
        <v>-1038525</v>
      </c>
      <c r="N559" s="47" t="n">
        <v>25709.85</v>
      </c>
      <c r="O559" s="47" t="n">
        <f aca="false">IF(AND(ISNUMBER(G559),ISNUMBER(N559)),G559-N559,"")</f>
        <v>47.9500000000007</v>
      </c>
      <c r="P559" s="49" t="n">
        <f aca="false">IF(ISNUMBER(O559),O559/N559,"")</f>
        <v>0.0018650439423023</v>
      </c>
      <c r="Q559" s="50" t="n">
        <f aca="false">C559-B559</f>
        <v>11</v>
      </c>
      <c r="R559" s="51" t="n">
        <f aca="false">IF(AND(C559=C558,ISNUMBER(G559),ISNUMBER(G558)),(G559/G558-1)*100,"")</f>
        <v>0.396396958228262</v>
      </c>
      <c r="S559" s="51" t="n">
        <f aca="false">IF(AND(C559=C558,ISNUMBER(L559),ISNUMBER(L558)),(L559/L558-1)*100,"")</f>
        <v>-5.84856330699149</v>
      </c>
      <c r="T559" s="51" t="n">
        <f aca="false">IF(AND(C559=C558,ISNUMBER(G559),ISNUMBER(G558)),G559-G558,"")</f>
        <v>101.700000000001</v>
      </c>
      <c r="U559" s="1" t="str">
        <f aca="false">IF(OR(NOT(ISNUMBER(R559)),NOT(ISNUMBER(S559))),"Not classified",IF(AND(R559&gt;0,S559&gt;0),"Long buildup (interpretation)",IF(AND(R559&lt;0,S559&gt;0),"Short buildup (interpretation)",IF(AND(R559&gt;0,S559&lt;0),"Short covering (interpretation)",IF(AND(R559&lt;0,S559&lt;0),"Long unwinding (interpretation)","Neutral")))))</f>
        <v>Short covering (interpretation)</v>
      </c>
      <c r="V559" s="52" t="str">
        <f aca="false">TEXT(B559,"yyyy-mm")</f>
        <v>2025-10</v>
      </c>
      <c r="W559" s="52" t="n">
        <f aca="false">1+COUNTIFS($B$2:$B$756,B559,$C$2:$C$756,"&lt;"&amp;C559)</f>
        <v>1</v>
      </c>
      <c r="X559" s="53" t="n">
        <f aca="false">IF(AND(ISNUMBER(P559),Q559&gt;0),P559*365/Q559,"")</f>
        <v>0.0618855489945763</v>
      </c>
      <c r="Y559" s="42" t="n">
        <f aca="false">IF(AND(C560=C559,ISNUMBER(R560)),R560,"")</f>
        <v>0.610688801062209</v>
      </c>
      <c r="Z559" s="52" t="n">
        <f aca="false">IF(AND(W559=1,Q559&gt;Basis_Analysis!$B$3,ISNUMBER(Y559)),1,0)</f>
        <v>1</v>
      </c>
      <c r="AA559" s="43" t="n">
        <f aca="false">IF(W559=1,IF(SUMIFS($L$2:$L$756,$B$2:$B$756,B559,$W$2:$W$756,2)&gt;0,SUMIFS($L$2:$L$756,$B$2:$B$756,B559,$W$2:$W$756,2),""),"")</f>
        <v>2352300</v>
      </c>
      <c r="AB559" s="54" t="n">
        <f aca="false">IF(AND(W559=1,ISNUMBER(AA559)),L559/(L559+AA559),"")</f>
        <v>0.876653714861017</v>
      </c>
    </row>
    <row r="560" customFormat="false" ht="15" hidden="false" customHeight="true" outlineLevel="0" collapsed="false">
      <c r="A560" s="1" t="s">
        <v>274</v>
      </c>
      <c r="B560" s="46" t="n">
        <v>45950</v>
      </c>
      <c r="C560" s="46" t="n">
        <v>45958</v>
      </c>
      <c r="D560" s="47" t="n">
        <v>25880.2</v>
      </c>
      <c r="E560" s="47" t="n">
        <v>25969.5</v>
      </c>
      <c r="F560" s="47" t="n">
        <v>25833</v>
      </c>
      <c r="G560" s="47" t="n">
        <v>25915.1</v>
      </c>
      <c r="H560" s="47" t="n">
        <v>25930.2</v>
      </c>
      <c r="I560" s="47" t="n">
        <v>25915.1</v>
      </c>
      <c r="J560" s="48" t="n">
        <v>73153</v>
      </c>
      <c r="K560" s="47" t="n">
        <v>1421359.88</v>
      </c>
      <c r="L560" s="48" t="n">
        <v>17353425</v>
      </c>
      <c r="M560" s="48" t="n">
        <v>635025</v>
      </c>
      <c r="N560" s="47" t="n">
        <v>25843.15</v>
      </c>
      <c r="O560" s="47" t="n">
        <f aca="false">IF(AND(ISNUMBER(G560),ISNUMBER(N560)),G560-N560,"")</f>
        <v>71.9499999999971</v>
      </c>
      <c r="P560" s="49" t="n">
        <f aca="false">IF(ISNUMBER(O560),O560/N560,"")</f>
        <v>0.00278410333105667</v>
      </c>
      <c r="Q560" s="50" t="n">
        <f aca="false">C560-B560</f>
        <v>8</v>
      </c>
      <c r="R560" s="51" t="n">
        <f aca="false">IF(AND(C560=C559,ISNUMBER(G560),ISNUMBER(G559)),(G560/G559-1)*100,"")</f>
        <v>0.610688801062209</v>
      </c>
      <c r="S560" s="51" t="n">
        <f aca="false">IF(AND(C560=C559,ISNUMBER(L560),ISNUMBER(L559)),(L560/L559-1)*100,"")</f>
        <v>3.79835989089865</v>
      </c>
      <c r="T560" s="51" t="n">
        <f aca="false">IF(AND(C560=C559,ISNUMBER(G560),ISNUMBER(G559)),G560-G559,"")</f>
        <v>157.299999999999</v>
      </c>
      <c r="U560" s="1" t="str">
        <f aca="false">IF(OR(NOT(ISNUMBER(R560)),NOT(ISNUMBER(S560))),"Not classified",IF(AND(R560&gt;0,S560&gt;0),"Long buildup (interpretation)",IF(AND(R560&lt;0,S560&gt;0),"Short buildup (interpretation)",IF(AND(R560&gt;0,S560&lt;0),"Short covering (interpretation)",IF(AND(R560&lt;0,S560&lt;0),"Long unwinding (interpretation)","Neutral")))))</f>
        <v>Long buildup (interpretation)</v>
      </c>
      <c r="V560" s="52" t="str">
        <f aca="false">TEXT(B560,"yyyy-mm")</f>
        <v>2025-10</v>
      </c>
      <c r="W560" s="52" t="n">
        <f aca="false">1+COUNTIFS($B$2:$B$756,B560,$C$2:$C$756,"&lt;"&amp;C560)</f>
        <v>1</v>
      </c>
      <c r="X560" s="53" t="n">
        <f aca="false">IF(AND(ISNUMBER(P560),Q560&gt;0),P560*365/Q560,"")</f>
        <v>0.12702471447946</v>
      </c>
      <c r="Y560" s="42" t="n">
        <f aca="false">IF(AND(C561=C560,ISNUMBER(R561)),R561,"")</f>
        <v>-0.0339570366311492</v>
      </c>
      <c r="Z560" s="52" t="n">
        <f aca="false">IF(AND(W560=1,Q560&gt;Basis_Analysis!$B$3,ISNUMBER(Y560)),1,0)</f>
        <v>1</v>
      </c>
      <c r="AA560" s="43" t="n">
        <f aca="false">IF(W560=1,IF(SUMIFS($L$2:$L$756,$B$2:$B$756,B560,$W$2:$W$756,2)&gt;0,SUMIFS($L$2:$L$756,$B$2:$B$756,B560,$W$2:$W$756,2),""),"")</f>
        <v>2728650</v>
      </c>
      <c r="AB560" s="54" t="n">
        <f aca="false">IF(AND(W560=1,ISNUMBER(AA560)),L560/(L560+AA560),"")</f>
        <v>0.864125096634685</v>
      </c>
    </row>
    <row r="561" customFormat="false" ht="15" hidden="false" customHeight="true" outlineLevel="0" collapsed="false">
      <c r="A561" s="1" t="s">
        <v>274</v>
      </c>
      <c r="B561" s="46" t="n">
        <v>45951</v>
      </c>
      <c r="C561" s="46" t="n">
        <v>45958</v>
      </c>
      <c r="D561" s="47" t="n">
        <v>25960</v>
      </c>
      <c r="E561" s="47" t="n">
        <v>25975</v>
      </c>
      <c r="F561" s="47" t="n">
        <v>25865.1</v>
      </c>
      <c r="G561" s="47" t="n">
        <v>25906.3</v>
      </c>
      <c r="H561" s="47" t="n">
        <v>25865.1</v>
      </c>
      <c r="I561" s="47" t="n">
        <v>25906.3</v>
      </c>
      <c r="J561" s="48" t="n">
        <v>16378</v>
      </c>
      <c r="K561" s="47" t="n">
        <v>318459.8</v>
      </c>
      <c r="L561" s="48" t="n">
        <v>17435700</v>
      </c>
      <c r="M561" s="48" t="n">
        <v>82275</v>
      </c>
      <c r="N561" s="47" t="n">
        <v>25868.6</v>
      </c>
      <c r="O561" s="47" t="n">
        <f aca="false">IF(AND(ISNUMBER(G561),ISNUMBER(N561)),G561-N561,"")</f>
        <v>37.7000000000007</v>
      </c>
      <c r="P561" s="49" t="n">
        <f aca="false">IF(ISNUMBER(O561),O561/N561,"")</f>
        <v>0.00145736530001626</v>
      </c>
      <c r="Q561" s="50" t="n">
        <f aca="false">C561-B561</f>
        <v>7</v>
      </c>
      <c r="R561" s="51" t="n">
        <f aca="false">IF(AND(C561=C560,ISNUMBER(G561),ISNUMBER(G560)),(G561/G560-1)*100,"")</f>
        <v>-0.0339570366311492</v>
      </c>
      <c r="S561" s="51" t="n">
        <f aca="false">IF(AND(C561=C560,ISNUMBER(L561),ISNUMBER(L560)),(L561/L560-1)*100,"")</f>
        <v>0.474113899705686</v>
      </c>
      <c r="T561" s="51" t="n">
        <f aca="false">IF(AND(C561=C560,ISNUMBER(G561),ISNUMBER(G560)),G561-G560,"")</f>
        <v>-8.79999999999927</v>
      </c>
      <c r="U561" s="1" t="str">
        <f aca="false">IF(OR(NOT(ISNUMBER(R561)),NOT(ISNUMBER(S561))),"Not classified",IF(AND(R561&gt;0,S561&gt;0),"Long buildup (interpretation)",IF(AND(R561&lt;0,S561&gt;0),"Short buildup (interpretation)",IF(AND(R561&gt;0,S561&lt;0),"Short covering (interpretation)",IF(AND(R561&lt;0,S561&lt;0),"Long unwinding (interpretation)","Neutral")))))</f>
        <v>Short buildup (interpretation)</v>
      </c>
      <c r="V561" s="52" t="str">
        <f aca="false">TEXT(B561,"yyyy-mm")</f>
        <v>2025-10</v>
      </c>
      <c r="W561" s="52" t="n">
        <f aca="false">1+COUNTIFS($B$2:$B$756,B561,$C$2:$C$756,"&lt;"&amp;C561)</f>
        <v>1</v>
      </c>
      <c r="X561" s="53" t="n">
        <f aca="false">IF(AND(ISNUMBER(P561),Q561&gt;0),P561*365/Q561,"")</f>
        <v>0.0759911906437052</v>
      </c>
      <c r="Y561" s="42" t="n">
        <f aca="false">IF(AND(C562=C561,ISNUMBER(R562)),R562,"")</f>
        <v>0.272520583796232</v>
      </c>
      <c r="Z561" s="52" t="n">
        <f aca="false">IF(AND(W561=1,Q561&gt;Basis_Analysis!$B$3,ISNUMBER(Y561)),1,0)</f>
        <v>1</v>
      </c>
      <c r="AA561" s="43" t="n">
        <f aca="false">IF(W561=1,IF(SUMIFS($L$2:$L$756,$B$2:$B$756,B561,$W$2:$W$756,2)&gt;0,SUMIFS($L$2:$L$756,$B$2:$B$756,B561,$W$2:$W$756,2),""),"")</f>
        <v>2768025</v>
      </c>
      <c r="AB561" s="54" t="n">
        <f aca="false">IF(AND(W561=1,ISNUMBER(AA561)),L561/(L561+AA561),"")</f>
        <v>0.862994324066478</v>
      </c>
    </row>
    <row r="562" customFormat="false" ht="15" hidden="false" customHeight="true" outlineLevel="0" collapsed="false">
      <c r="A562" s="1" t="s">
        <v>274</v>
      </c>
      <c r="B562" s="46" t="n">
        <v>45953</v>
      </c>
      <c r="C562" s="46" t="n">
        <v>45958</v>
      </c>
      <c r="D562" s="47" t="n">
        <v>26161.1</v>
      </c>
      <c r="E562" s="47" t="n">
        <v>26205</v>
      </c>
      <c r="F562" s="47" t="n">
        <v>25940</v>
      </c>
      <c r="G562" s="47" t="n">
        <v>25976.9</v>
      </c>
      <c r="H562" s="47" t="n">
        <v>25950</v>
      </c>
      <c r="I562" s="47" t="n">
        <v>25976.9</v>
      </c>
      <c r="J562" s="48" t="n">
        <v>111709</v>
      </c>
      <c r="K562" s="47" t="n">
        <v>2186386.57</v>
      </c>
      <c r="L562" s="48" t="n">
        <v>15719250</v>
      </c>
      <c r="M562" s="48" t="n">
        <v>-1716450</v>
      </c>
      <c r="N562" s="47" t="n">
        <v>25891.4</v>
      </c>
      <c r="O562" s="47" t="n">
        <f aca="false">IF(AND(ISNUMBER(G562),ISNUMBER(N562)),G562-N562,"")</f>
        <v>85.5</v>
      </c>
      <c r="P562" s="49" t="n">
        <f aca="false">IF(ISNUMBER(O562),O562/N562,"")</f>
        <v>0.00330225480275304</v>
      </c>
      <c r="Q562" s="50" t="n">
        <f aca="false">C562-B562</f>
        <v>5</v>
      </c>
      <c r="R562" s="51" t="n">
        <f aca="false">IF(AND(C562=C561,ISNUMBER(G562),ISNUMBER(G561)),(G562/G561-1)*100,"")</f>
        <v>0.272520583796232</v>
      </c>
      <c r="S562" s="51" t="n">
        <f aca="false">IF(AND(C562=C561,ISNUMBER(L562),ISNUMBER(L561)),(L562/L561-1)*100,"")</f>
        <v>-9.84445706223438</v>
      </c>
      <c r="T562" s="51" t="n">
        <f aca="false">IF(AND(C562=C561,ISNUMBER(G562),ISNUMBER(G561)),G562-G561,"")</f>
        <v>70.6000000000022</v>
      </c>
      <c r="U562" s="1" t="str">
        <f aca="false">IF(OR(NOT(ISNUMBER(R562)),NOT(ISNUMBER(S562))),"Not classified",IF(AND(R562&gt;0,S562&gt;0),"Long buildup (interpretation)",IF(AND(R562&lt;0,S562&gt;0),"Short buildup (interpretation)",IF(AND(R562&gt;0,S562&lt;0),"Short covering (interpretation)",IF(AND(R562&lt;0,S562&lt;0),"Long unwinding (interpretation)","Neutral")))))</f>
        <v>Short covering (interpretation)</v>
      </c>
      <c r="V562" s="52" t="str">
        <f aca="false">TEXT(B562,"yyyy-mm")</f>
        <v>2025-10</v>
      </c>
      <c r="W562" s="52" t="n">
        <f aca="false">1+COUNTIFS($B$2:$B$756,B562,$C$2:$C$756,"&lt;"&amp;C562)</f>
        <v>1</v>
      </c>
      <c r="X562" s="53" t="n">
        <f aca="false">IF(AND(ISNUMBER(P562),Q562&gt;0),P562*365/Q562,"")</f>
        <v>0.241064600600972</v>
      </c>
      <c r="Y562" s="42" t="n">
        <f aca="false">IF(AND(C563=C562,ISNUMBER(R563)),R563,"")</f>
        <v>-0.624015952634849</v>
      </c>
      <c r="Z562" s="52" t="n">
        <f aca="false">IF(AND(W562=1,Q562&gt;Basis_Analysis!$B$3,ISNUMBER(Y562)),1,0)</f>
        <v>0</v>
      </c>
      <c r="AA562" s="43" t="n">
        <f aca="false">IF(W562=1,IF(SUMIFS($L$2:$L$756,$B$2:$B$756,B562,$W$2:$W$756,2)&gt;0,SUMIFS($L$2:$L$756,$B$2:$B$756,B562,$W$2:$W$756,2),""),"")</f>
        <v>3844350</v>
      </c>
      <c r="AB562" s="54" t="n">
        <f aca="false">IF(AND(W562=1,ISNUMBER(AA562)),L562/(L562+AA562),"")</f>
        <v>0.80349475556646</v>
      </c>
    </row>
    <row r="563" customFormat="false" ht="15" hidden="false" customHeight="true" outlineLevel="0" collapsed="false">
      <c r="A563" s="1" t="s">
        <v>274</v>
      </c>
      <c r="B563" s="46" t="n">
        <v>45954</v>
      </c>
      <c r="C563" s="46" t="n">
        <v>45958</v>
      </c>
      <c r="D563" s="47" t="n">
        <v>25980.2</v>
      </c>
      <c r="E563" s="47" t="n">
        <v>25999</v>
      </c>
      <c r="F563" s="47" t="n">
        <v>25733</v>
      </c>
      <c r="G563" s="47" t="n">
        <v>25814.8</v>
      </c>
      <c r="H563" s="47" t="n">
        <v>25814.3</v>
      </c>
      <c r="I563" s="47" t="n">
        <v>25814.8</v>
      </c>
      <c r="J563" s="48" t="n">
        <v>91660</v>
      </c>
      <c r="K563" s="47" t="n">
        <v>1777282.5</v>
      </c>
      <c r="L563" s="48" t="n">
        <v>12844650</v>
      </c>
      <c r="M563" s="48" t="n">
        <v>-2874600</v>
      </c>
      <c r="N563" s="47" t="n">
        <v>25795.15</v>
      </c>
      <c r="O563" s="47" t="n">
        <f aca="false">IF(AND(ISNUMBER(G563),ISNUMBER(N563)),G563-N563,"")</f>
        <v>19.6499999999978</v>
      </c>
      <c r="P563" s="49" t="n">
        <f aca="false">IF(ISNUMBER(O563),O563/N563,"")</f>
        <v>0.000761771108134584</v>
      </c>
      <c r="Q563" s="50" t="n">
        <f aca="false">C563-B563</f>
        <v>4</v>
      </c>
      <c r="R563" s="51" t="n">
        <f aca="false">IF(AND(C563=C562,ISNUMBER(G563),ISNUMBER(G562)),(G563/G562-1)*100,"")</f>
        <v>-0.624015952634849</v>
      </c>
      <c r="S563" s="51" t="n">
        <f aca="false">IF(AND(C563=C562,ISNUMBER(L563),ISNUMBER(L562)),(L563/L562-1)*100,"")</f>
        <v>-18.2871320196574</v>
      </c>
      <c r="T563" s="51" t="n">
        <f aca="false">IF(AND(C563=C562,ISNUMBER(G563),ISNUMBER(G562)),G563-G562,"")</f>
        <v>-162.100000000002</v>
      </c>
      <c r="U563" s="1" t="str">
        <f aca="false">IF(OR(NOT(ISNUMBER(R563)),NOT(ISNUMBER(S563))),"Not classified",IF(AND(R563&gt;0,S563&gt;0),"Long buildup (interpretation)",IF(AND(R563&lt;0,S563&gt;0),"Short buildup (interpretation)",IF(AND(R563&gt;0,S563&lt;0),"Short covering (interpretation)",IF(AND(R563&lt;0,S563&lt;0),"Long unwinding (interpretation)","Neutral")))))</f>
        <v>Long unwinding (interpretation)</v>
      </c>
      <c r="V563" s="52" t="str">
        <f aca="false">TEXT(B563,"yyyy-mm")</f>
        <v>2025-10</v>
      </c>
      <c r="W563" s="52" t="n">
        <f aca="false">1+COUNTIFS($B$2:$B$756,B563,$C$2:$C$756,"&lt;"&amp;C563)</f>
        <v>1</v>
      </c>
      <c r="X563" s="53" t="n">
        <f aca="false">IF(AND(ISNUMBER(P563),Q563&gt;0),P563*365/Q563,"")</f>
        <v>0.0695116136172808</v>
      </c>
      <c r="Y563" s="42" t="n">
        <f aca="false">IF(AND(C564=C563,ISNUMBER(R564)),R564,"")</f>
        <v>0.769713497683511</v>
      </c>
      <c r="Z563" s="52" t="n">
        <f aca="false">IF(AND(W563=1,Q563&gt;Basis_Analysis!$B$3,ISNUMBER(Y563)),1,0)</f>
        <v>0</v>
      </c>
      <c r="AA563" s="43" t="n">
        <f aca="false">IF(W563=1,IF(SUMIFS($L$2:$L$756,$B$2:$B$756,B563,$W$2:$W$756,2)&gt;0,SUMIFS($L$2:$L$756,$B$2:$B$756,B563,$W$2:$W$756,2),""),"")</f>
        <v>5634150</v>
      </c>
      <c r="AB563" s="54" t="n">
        <f aca="false">IF(AND(W563=1,ISNUMBER(AA563)),L563/(L563+AA563),"")</f>
        <v>0.695101954672381</v>
      </c>
    </row>
    <row r="564" customFormat="false" ht="15" hidden="false" customHeight="true" outlineLevel="0" collapsed="false">
      <c r="A564" s="1" t="s">
        <v>274</v>
      </c>
      <c r="B564" s="46" t="n">
        <v>45957</v>
      </c>
      <c r="C564" s="46" t="n">
        <v>45958</v>
      </c>
      <c r="D564" s="47" t="n">
        <v>25901</v>
      </c>
      <c r="E564" s="47" t="n">
        <v>26065.4</v>
      </c>
      <c r="F564" s="47" t="n">
        <v>25878</v>
      </c>
      <c r="G564" s="47" t="n">
        <v>26013.5</v>
      </c>
      <c r="H564" s="47" t="n">
        <v>26036.7</v>
      </c>
      <c r="I564" s="47" t="n">
        <v>26013.5</v>
      </c>
      <c r="J564" s="48" t="n">
        <v>102040</v>
      </c>
      <c r="K564" s="47" t="n">
        <v>1990207.31</v>
      </c>
      <c r="L564" s="48" t="n">
        <v>8375850</v>
      </c>
      <c r="M564" s="48" t="n">
        <v>-4468800</v>
      </c>
      <c r="N564" s="47" t="n">
        <v>25966.05</v>
      </c>
      <c r="O564" s="47" t="n">
        <f aca="false">IF(AND(ISNUMBER(G564),ISNUMBER(N564)),G564-N564,"")</f>
        <v>47.4500000000007</v>
      </c>
      <c r="P564" s="49" t="n">
        <f aca="false">IF(ISNUMBER(O564),O564/N564,"")</f>
        <v>0.00182738614460038</v>
      </c>
      <c r="Q564" s="50" t="n">
        <f aca="false">C564-B564</f>
        <v>1</v>
      </c>
      <c r="R564" s="51" t="n">
        <f aca="false">IF(AND(C564=C563,ISNUMBER(G564),ISNUMBER(G563)),(G564/G563-1)*100,"")</f>
        <v>0.769713497683511</v>
      </c>
      <c r="S564" s="51" t="n">
        <f aca="false">IF(AND(C564=C563,ISNUMBER(L564),ISNUMBER(L563)),(L564/L563-1)*100,"")</f>
        <v>-34.791138723126</v>
      </c>
      <c r="T564" s="51" t="n">
        <f aca="false">IF(AND(C564=C563,ISNUMBER(G564),ISNUMBER(G563)),G564-G563,"")</f>
        <v>198.700000000001</v>
      </c>
      <c r="U564" s="1" t="str">
        <f aca="false">IF(OR(NOT(ISNUMBER(R564)),NOT(ISNUMBER(S564))),"Not classified",IF(AND(R564&gt;0,S564&gt;0),"Long buildup (interpretation)",IF(AND(R564&lt;0,S564&gt;0),"Short buildup (interpretation)",IF(AND(R564&gt;0,S564&lt;0),"Short covering (interpretation)",IF(AND(R564&lt;0,S564&lt;0),"Long unwinding (interpretation)","Neutral")))))</f>
        <v>Short covering (interpretation)</v>
      </c>
      <c r="V564" s="52" t="str">
        <f aca="false">TEXT(B564,"yyyy-mm")</f>
        <v>2025-10</v>
      </c>
      <c r="W564" s="52" t="n">
        <f aca="false">1+COUNTIFS($B$2:$B$756,B564,$C$2:$C$756,"&lt;"&amp;C564)</f>
        <v>1</v>
      </c>
      <c r="X564" s="53" t="n">
        <f aca="false">IF(AND(ISNUMBER(P564),Q564&gt;0),P564*365/Q564,"")</f>
        <v>0.666995942779139</v>
      </c>
      <c r="Y564" s="42" t="n">
        <f aca="false">IF(AND(C565=C564,ISNUMBER(R565)),R565,"")</f>
        <v>-0.350202779326114</v>
      </c>
      <c r="Z564" s="52" t="n">
        <f aca="false">IF(AND(W564=1,Q564&gt;Basis_Analysis!$B$3,ISNUMBER(Y564)),1,0)</f>
        <v>0</v>
      </c>
      <c r="AA564" s="43" t="n">
        <f aca="false">IF(W564=1,IF(SUMIFS($L$2:$L$756,$B$2:$B$756,B564,$W$2:$W$756,2)&gt;0,SUMIFS($L$2:$L$756,$B$2:$B$756,B564,$W$2:$W$756,2),""),"")</f>
        <v>10076025</v>
      </c>
      <c r="AB564" s="54" t="n">
        <f aca="false">IF(AND(W564=1,ISNUMBER(AA564)),L564/(L564+AA564),"")</f>
        <v>0.453929478711513</v>
      </c>
    </row>
    <row r="565" customFormat="false" ht="15" hidden="false" customHeight="true" outlineLevel="0" collapsed="false">
      <c r="A565" s="1" t="s">
        <v>274</v>
      </c>
      <c r="B565" s="46" t="n">
        <v>45958</v>
      </c>
      <c r="C565" s="46" t="n">
        <v>45958</v>
      </c>
      <c r="D565" s="47" t="n">
        <v>26009.7</v>
      </c>
      <c r="E565" s="47" t="n">
        <v>26074.9</v>
      </c>
      <c r="F565" s="47" t="n">
        <v>25820</v>
      </c>
      <c r="G565" s="47" t="n">
        <v>25922.4</v>
      </c>
      <c r="H565" s="47" t="n">
        <v>25934.9</v>
      </c>
      <c r="I565" s="47" t="n">
        <v>25936.2</v>
      </c>
      <c r="J565" s="48" t="n">
        <v>95613</v>
      </c>
      <c r="K565" s="47" t="n">
        <v>1858202.27</v>
      </c>
      <c r="L565" s="48" t="n">
        <v>4845750</v>
      </c>
      <c r="M565" s="48" t="n">
        <v>-3530100</v>
      </c>
      <c r="N565" s="47" t="n">
        <v>25936.2</v>
      </c>
      <c r="O565" s="47" t="n">
        <f aca="false">IF(AND(ISNUMBER(G565),ISNUMBER(N565)),G565-N565,"")</f>
        <v>-13.7999999999993</v>
      </c>
      <c r="P565" s="49" t="n">
        <f aca="false">IF(ISNUMBER(O565),O565/N565,"")</f>
        <v>-0.000532074860619492</v>
      </c>
      <c r="Q565" s="50" t="n">
        <f aca="false">C565-B565</f>
        <v>0</v>
      </c>
      <c r="R565" s="51" t="n">
        <f aca="false">IF(AND(C565=C564,ISNUMBER(G565),ISNUMBER(G564)),(G565/G564-1)*100,"")</f>
        <v>-0.350202779326114</v>
      </c>
      <c r="S565" s="51" t="n">
        <f aca="false">IF(AND(C565=C564,ISNUMBER(L565),ISNUMBER(L564)),(L565/L564-1)*100,"")</f>
        <v>-42.1461702394384</v>
      </c>
      <c r="T565" s="51" t="n">
        <f aca="false">IF(AND(C565=C564,ISNUMBER(G565),ISNUMBER(G564)),G565-G564,"")</f>
        <v>-91.0999999999985</v>
      </c>
      <c r="U565" s="1" t="str">
        <f aca="false">IF(OR(NOT(ISNUMBER(R565)),NOT(ISNUMBER(S565))),"Not classified",IF(AND(R565&gt;0,S565&gt;0),"Long buildup (interpretation)",IF(AND(R565&lt;0,S565&gt;0),"Short buildup (interpretation)",IF(AND(R565&gt;0,S565&lt;0),"Short covering (interpretation)",IF(AND(R565&lt;0,S565&lt;0),"Long unwinding (interpretation)","Neutral")))))</f>
        <v>Long unwinding (interpretation)</v>
      </c>
      <c r="V565" s="52" t="str">
        <f aca="false">TEXT(B565,"yyyy-mm")</f>
        <v>2025-10</v>
      </c>
      <c r="W565" s="52" t="n">
        <f aca="false">1+COUNTIFS($B$2:$B$756,B565,$C$2:$C$756,"&lt;"&amp;C565)</f>
        <v>1</v>
      </c>
      <c r="X565" s="53" t="str">
        <f aca="false">IF(AND(ISNUMBER(P565),Q565&gt;0),P565*365/Q565,"")</f>
        <v/>
      </c>
      <c r="Y565" s="42" t="str">
        <f aca="false">IF(AND(C566=C565,ISNUMBER(R566)),R566,"")</f>
        <v/>
      </c>
      <c r="Z565" s="52" t="n">
        <f aca="false">IF(AND(W565=1,Q565&gt;Basis_Analysis!$B$3,ISNUMBER(Y565)),1,0)</f>
        <v>0</v>
      </c>
      <c r="AA565" s="43" t="n">
        <f aca="false">IF(W565=1,IF(SUMIFS($L$2:$L$756,$B$2:$B$756,B565,$W$2:$W$756,2)&gt;0,SUMIFS($L$2:$L$756,$B$2:$B$756,B565,$W$2:$W$756,2),""),"")</f>
        <v>14262375</v>
      </c>
      <c r="AB565" s="54" t="n">
        <f aca="false">IF(AND(W565=1,ISNUMBER(AA565)),L565/(L565+AA565),"")</f>
        <v>0.253596310470023</v>
      </c>
    </row>
    <row r="566" customFormat="false" ht="15" hidden="false" customHeight="true" outlineLevel="0" collapsed="false">
      <c r="A566" s="1" t="s">
        <v>274</v>
      </c>
      <c r="B566" s="46" t="n">
        <v>45898</v>
      </c>
      <c r="C566" s="46" t="n">
        <v>45986</v>
      </c>
      <c r="D566" s="47" t="n">
        <v>24880</v>
      </c>
      <c r="E566" s="47" t="n">
        <v>24952</v>
      </c>
      <c r="F566" s="47" t="n">
        <v>24791.6</v>
      </c>
      <c r="G566" s="47" t="n">
        <v>24810.9</v>
      </c>
      <c r="H566" s="47" t="n">
        <v>24807</v>
      </c>
      <c r="I566" s="47" t="n">
        <v>24810.9</v>
      </c>
      <c r="J566" s="48" t="n">
        <v>1239</v>
      </c>
      <c r="K566" s="47" t="n">
        <v>23121.24</v>
      </c>
      <c r="L566" s="48" t="n">
        <v>47325</v>
      </c>
      <c r="M566" s="48" t="n">
        <v>47325</v>
      </c>
      <c r="N566" s="47" t="n">
        <v>24426.85</v>
      </c>
      <c r="O566" s="47" t="n">
        <f aca="false">IF(AND(ISNUMBER(G566),ISNUMBER(N566)),G566-N566,"")</f>
        <v>384.050000000003</v>
      </c>
      <c r="P566" s="49" t="n">
        <f aca="false">IF(ISNUMBER(O566),O566/N566,"")</f>
        <v>0.0157224529564804</v>
      </c>
      <c r="Q566" s="50" t="n">
        <f aca="false">C566-B566</f>
        <v>88</v>
      </c>
      <c r="R566" s="51" t="str">
        <f aca="false">IF(AND(C566=C565,ISNUMBER(G566),ISNUMBER(G565)),(G566/G565-1)*100,"")</f>
        <v/>
      </c>
      <c r="S566" s="51" t="str">
        <f aca="false">IF(AND(C566=C565,ISNUMBER(L566),ISNUMBER(L565)),(L566/L565-1)*100,"")</f>
        <v/>
      </c>
      <c r="T566" s="51" t="str">
        <f aca="false">IF(AND(C566=C565,ISNUMBER(G566),ISNUMBER(G565)),G566-G565,"")</f>
        <v/>
      </c>
      <c r="U566" s="1" t="str">
        <f aca="false">IF(OR(NOT(ISNUMBER(R566)),NOT(ISNUMBER(S566))),"Not classified",IF(AND(R566&gt;0,S566&gt;0),"Long buildup (interpretation)",IF(AND(R566&lt;0,S566&gt;0),"Short buildup (interpretation)",IF(AND(R566&gt;0,S566&lt;0),"Short covering (interpretation)",IF(AND(R566&lt;0,S566&lt;0),"Long unwinding (interpretation)","Neutral")))))</f>
        <v>Not classified</v>
      </c>
      <c r="V566" s="52" t="str">
        <f aca="false">TEXT(B566,"yyyy-mm")</f>
        <v>2025-08</v>
      </c>
      <c r="W566" s="52" t="n">
        <f aca="false">1+COUNTIFS($B$2:$B$756,B566,$C$2:$C$756,"&lt;"&amp;C566)</f>
        <v>3</v>
      </c>
      <c r="X566" s="53" t="n">
        <f aca="false">IF(AND(ISNUMBER(P566),Q566&gt;0),P566*365/Q566,"")</f>
        <v>0.0652124469217652</v>
      </c>
      <c r="Y566" s="42" t="n">
        <f aca="false">IF(AND(C567=C566,ISNUMBER(R567)),R567,"")</f>
        <v>0.724278442136317</v>
      </c>
      <c r="Z566" s="52" t="n">
        <f aca="false">IF(AND(W566=1,Q566&gt;Basis_Analysis!$B$3,ISNUMBER(Y566)),1,0)</f>
        <v>0</v>
      </c>
      <c r="AA566" s="43" t="str">
        <f aca="false">IF(W566=1,IF(SUMIFS($L$2:$L$756,$B$2:$B$756,B566,$W$2:$W$756,2)&gt;0,SUMIFS($L$2:$L$756,$B$2:$B$756,B566,$W$2:$W$756,2),""),"")</f>
        <v/>
      </c>
      <c r="AB566" s="54" t="str">
        <f aca="false">IF(AND(W566=1,ISNUMBER(AA566)),L566/(L566+AA566),"")</f>
        <v/>
      </c>
    </row>
    <row r="567" customFormat="false" ht="15" hidden="false" customHeight="true" outlineLevel="0" collapsed="false">
      <c r="A567" s="1" t="s">
        <v>274</v>
      </c>
      <c r="B567" s="46" t="n">
        <v>45901</v>
      </c>
      <c r="C567" s="46" t="n">
        <v>45986</v>
      </c>
      <c r="D567" s="47" t="n">
        <v>24847.1</v>
      </c>
      <c r="E567" s="47" t="n">
        <v>24998</v>
      </c>
      <c r="F567" s="47" t="n">
        <v>24839.7</v>
      </c>
      <c r="G567" s="47" t="n">
        <v>24990.6</v>
      </c>
      <c r="H567" s="47" t="n">
        <v>24995</v>
      </c>
      <c r="I567" s="47" t="n">
        <v>24990.6</v>
      </c>
      <c r="J567" s="48" t="n">
        <v>960</v>
      </c>
      <c r="K567" s="47" t="n">
        <v>17953.16</v>
      </c>
      <c r="L567" s="48" t="n">
        <v>85575</v>
      </c>
      <c r="M567" s="48" t="n">
        <v>38250</v>
      </c>
      <c r="N567" s="47" t="n">
        <v>24625.05</v>
      </c>
      <c r="O567" s="47" t="n">
        <f aca="false">IF(AND(ISNUMBER(G567),ISNUMBER(N567)),G567-N567,"")</f>
        <v>365.549999999999</v>
      </c>
      <c r="P567" s="49" t="n">
        <f aca="false">IF(ISNUMBER(O567),O567/N567,"")</f>
        <v>0.0148446399093606</v>
      </c>
      <c r="Q567" s="50" t="n">
        <f aca="false">C567-B567</f>
        <v>85</v>
      </c>
      <c r="R567" s="51" t="n">
        <f aca="false">IF(AND(C567=C566,ISNUMBER(G567),ISNUMBER(G566)),(G567/G566-1)*100,"")</f>
        <v>0.724278442136317</v>
      </c>
      <c r="S567" s="51" t="n">
        <f aca="false">IF(AND(C567=C566,ISNUMBER(L567),ISNUMBER(L566)),(L567/L566-1)*100,"")</f>
        <v>80.824088748019</v>
      </c>
      <c r="T567" s="51" t="n">
        <f aca="false">IF(AND(C567=C566,ISNUMBER(G567),ISNUMBER(G566)),G567-G566,"")</f>
        <v>179.699999999997</v>
      </c>
      <c r="U567" s="1" t="str">
        <f aca="false">IF(OR(NOT(ISNUMBER(R567)),NOT(ISNUMBER(S567))),"Not classified",IF(AND(R567&gt;0,S567&gt;0),"Long buildup (interpretation)",IF(AND(R567&lt;0,S567&gt;0),"Short buildup (interpretation)",IF(AND(R567&gt;0,S567&lt;0),"Short covering (interpretation)",IF(AND(R567&lt;0,S567&lt;0),"Long unwinding (interpretation)","Neutral")))))</f>
        <v>Long buildup (interpretation)</v>
      </c>
      <c r="V567" s="52" t="str">
        <f aca="false">TEXT(B567,"yyyy-mm")</f>
        <v>2025-09</v>
      </c>
      <c r="W567" s="52" t="n">
        <f aca="false">1+COUNTIFS($B$2:$B$756,B567,$C$2:$C$756,"&lt;"&amp;C567)</f>
        <v>3</v>
      </c>
      <c r="X567" s="53" t="n">
        <f aca="false">IF(AND(ISNUMBER(P567),Q567&gt;0),P567*365/Q567,"")</f>
        <v>0.0637446301990189</v>
      </c>
      <c r="Y567" s="42" t="n">
        <f aca="false">IF(AND(C568=C567,ISNUMBER(R568)),R568,"")</f>
        <v>-0.256496442662435</v>
      </c>
      <c r="Z567" s="52" t="n">
        <f aca="false">IF(AND(W567=1,Q567&gt;Basis_Analysis!$B$3,ISNUMBER(Y567)),1,0)</f>
        <v>0</v>
      </c>
      <c r="AA567" s="43" t="str">
        <f aca="false">IF(W567=1,IF(SUMIFS($L$2:$L$756,$B$2:$B$756,B567,$W$2:$W$756,2)&gt;0,SUMIFS($L$2:$L$756,$B$2:$B$756,B567,$W$2:$W$756,2),""),"")</f>
        <v/>
      </c>
      <c r="AB567" s="54" t="str">
        <f aca="false">IF(AND(W567=1,ISNUMBER(AA567)),L567/(L567+AA567),"")</f>
        <v/>
      </c>
    </row>
    <row r="568" customFormat="false" ht="15" hidden="false" customHeight="true" outlineLevel="0" collapsed="false">
      <c r="A568" s="1" t="s">
        <v>274</v>
      </c>
      <c r="B568" s="46" t="n">
        <v>45902</v>
      </c>
      <c r="C568" s="46" t="n">
        <v>45986</v>
      </c>
      <c r="D568" s="47" t="n">
        <v>25000</v>
      </c>
      <c r="E568" s="47" t="n">
        <v>25105.3</v>
      </c>
      <c r="F568" s="47" t="n">
        <v>24895.4</v>
      </c>
      <c r="G568" s="47" t="n">
        <v>24926.5</v>
      </c>
      <c r="H568" s="47" t="n">
        <v>24914.5</v>
      </c>
      <c r="I568" s="47" t="n">
        <v>24926.5</v>
      </c>
      <c r="J568" s="48" t="n">
        <v>2204</v>
      </c>
      <c r="K568" s="47" t="n">
        <v>41337.43</v>
      </c>
      <c r="L568" s="48" t="n">
        <v>148350</v>
      </c>
      <c r="M568" s="48" t="n">
        <v>62775</v>
      </c>
      <c r="N568" s="47" t="n">
        <v>24579.6</v>
      </c>
      <c r="O568" s="47" t="n">
        <f aca="false">IF(AND(ISNUMBER(G568),ISNUMBER(N568)),G568-N568,"")</f>
        <v>346.900000000001</v>
      </c>
      <c r="P568" s="49" t="n">
        <f aca="false">IF(ISNUMBER(O568),O568/N568,"")</f>
        <v>0.0141133297531287</v>
      </c>
      <c r="Q568" s="50" t="n">
        <f aca="false">C568-B568</f>
        <v>84</v>
      </c>
      <c r="R568" s="51" t="n">
        <f aca="false">IF(AND(C568=C567,ISNUMBER(G568),ISNUMBER(G567)),(G568/G567-1)*100,"")</f>
        <v>-0.256496442662435</v>
      </c>
      <c r="S568" s="51" t="n">
        <f aca="false">IF(AND(C568=C567,ISNUMBER(L568),ISNUMBER(L567)),(L568/L567-1)*100,"")</f>
        <v>73.3567046450482</v>
      </c>
      <c r="T568" s="51" t="n">
        <f aca="false">IF(AND(C568=C567,ISNUMBER(G568),ISNUMBER(G567)),G568-G567,"")</f>
        <v>-64.0999999999985</v>
      </c>
      <c r="U568" s="1" t="str">
        <f aca="false">IF(OR(NOT(ISNUMBER(R568)),NOT(ISNUMBER(S568))),"Not classified",IF(AND(R568&gt;0,S568&gt;0),"Long buildup (interpretation)",IF(AND(R568&lt;0,S568&gt;0),"Short buildup (interpretation)",IF(AND(R568&gt;0,S568&lt;0),"Short covering (interpretation)",IF(AND(R568&lt;0,S568&lt;0),"Long unwinding (interpretation)","Neutral")))))</f>
        <v>Short buildup (interpretation)</v>
      </c>
      <c r="V568" s="52" t="str">
        <f aca="false">TEXT(B568,"yyyy-mm")</f>
        <v>2025-09</v>
      </c>
      <c r="W568" s="52" t="n">
        <f aca="false">1+COUNTIFS($B$2:$B$756,B568,$C$2:$C$756,"&lt;"&amp;C568)</f>
        <v>3</v>
      </c>
      <c r="X568" s="53" t="n">
        <f aca="false">IF(AND(ISNUMBER(P568),Q568&gt;0),P568*365/Q568,"")</f>
        <v>0.061325778093952</v>
      </c>
      <c r="Y568" s="42" t="n">
        <f aca="false">IF(AND(C569=C568,ISNUMBER(R569)),R569,"")</f>
        <v>0.505084949752277</v>
      </c>
      <c r="Z568" s="52" t="n">
        <f aca="false">IF(AND(W568=1,Q568&gt;Basis_Analysis!$B$3,ISNUMBER(Y568)),1,0)</f>
        <v>0</v>
      </c>
      <c r="AA568" s="43" t="str">
        <f aca="false">IF(W568=1,IF(SUMIFS($L$2:$L$756,$B$2:$B$756,B568,$W$2:$W$756,2)&gt;0,SUMIFS($L$2:$L$756,$B$2:$B$756,B568,$W$2:$W$756,2),""),"")</f>
        <v/>
      </c>
      <c r="AB568" s="54" t="str">
        <f aca="false">IF(AND(W568=1,ISNUMBER(AA568)),L568/(L568+AA568),"")</f>
        <v/>
      </c>
    </row>
    <row r="569" customFormat="false" ht="15" hidden="false" customHeight="true" outlineLevel="0" collapsed="false">
      <c r="A569" s="1" t="s">
        <v>274</v>
      </c>
      <c r="B569" s="46" t="n">
        <v>45903</v>
      </c>
      <c r="C569" s="46" t="n">
        <v>45986</v>
      </c>
      <c r="D569" s="47" t="n">
        <v>24914.5</v>
      </c>
      <c r="E569" s="47" t="n">
        <v>25070</v>
      </c>
      <c r="F569" s="47" t="n">
        <v>24880</v>
      </c>
      <c r="G569" s="47" t="n">
        <v>25052.4</v>
      </c>
      <c r="H569" s="47" t="n">
        <v>25049</v>
      </c>
      <c r="I569" s="47" t="n">
        <v>25052.4</v>
      </c>
      <c r="J569" s="48" t="n">
        <v>970</v>
      </c>
      <c r="K569" s="47" t="n">
        <v>18169.23</v>
      </c>
      <c r="L569" s="48" t="n">
        <v>163575</v>
      </c>
      <c r="M569" s="48" t="n">
        <v>15225</v>
      </c>
      <c r="N569" s="47" t="n">
        <v>24715.05</v>
      </c>
      <c r="O569" s="47" t="n">
        <f aca="false">IF(AND(ISNUMBER(G569),ISNUMBER(N569)),G569-N569,"")</f>
        <v>337.350000000002</v>
      </c>
      <c r="P569" s="49" t="n">
        <f aca="false">IF(ISNUMBER(O569),O569/N569,"")</f>
        <v>0.0136495778887764</v>
      </c>
      <c r="Q569" s="50" t="n">
        <f aca="false">C569-B569</f>
        <v>83</v>
      </c>
      <c r="R569" s="51" t="n">
        <f aca="false">IF(AND(C569=C568,ISNUMBER(G569),ISNUMBER(G568)),(G569/G568-1)*100,"")</f>
        <v>0.505084949752277</v>
      </c>
      <c r="S569" s="51" t="n">
        <f aca="false">IF(AND(C569=C568,ISNUMBER(L569),ISNUMBER(L568)),(L569/L568-1)*100,"")</f>
        <v>10.262891809909</v>
      </c>
      <c r="T569" s="51" t="n">
        <f aca="false">IF(AND(C569=C568,ISNUMBER(G569),ISNUMBER(G568)),G569-G568,"")</f>
        <v>125.900000000001</v>
      </c>
      <c r="U569" s="1" t="str">
        <f aca="false">IF(OR(NOT(ISNUMBER(R569)),NOT(ISNUMBER(S569))),"Not classified",IF(AND(R569&gt;0,S569&gt;0),"Long buildup (interpretation)",IF(AND(R569&lt;0,S569&gt;0),"Short buildup (interpretation)",IF(AND(R569&gt;0,S569&lt;0),"Short covering (interpretation)",IF(AND(R569&lt;0,S569&lt;0),"Long unwinding (interpretation)","Neutral")))))</f>
        <v>Long buildup (interpretation)</v>
      </c>
      <c r="V569" s="52" t="str">
        <f aca="false">TEXT(B569,"yyyy-mm")</f>
        <v>2025-09</v>
      </c>
      <c r="W569" s="52" t="n">
        <f aca="false">1+COUNTIFS($B$2:$B$756,B569,$C$2:$C$756,"&lt;"&amp;C569)</f>
        <v>3</v>
      </c>
      <c r="X569" s="53" t="n">
        <f aca="false">IF(AND(ISNUMBER(P569),Q569&gt;0),P569*365/Q569,"")</f>
        <v>0.0600252521614864</v>
      </c>
      <c r="Y569" s="42" t="n">
        <f aca="false">IF(AND(C570=C569,ISNUMBER(R570)),R570,"")</f>
        <v>0.0694544235282812</v>
      </c>
      <c r="Z569" s="52" t="n">
        <f aca="false">IF(AND(W569=1,Q569&gt;Basis_Analysis!$B$3,ISNUMBER(Y569)),1,0)</f>
        <v>0</v>
      </c>
      <c r="AA569" s="43" t="str">
        <f aca="false">IF(W569=1,IF(SUMIFS($L$2:$L$756,$B$2:$B$756,B569,$W$2:$W$756,2)&gt;0,SUMIFS($L$2:$L$756,$B$2:$B$756,B569,$W$2:$W$756,2),""),"")</f>
        <v/>
      </c>
      <c r="AB569" s="54" t="str">
        <f aca="false">IF(AND(W569=1,ISNUMBER(AA569)),L569/(L569+AA569),"")</f>
        <v/>
      </c>
    </row>
    <row r="570" customFormat="false" ht="15" hidden="false" customHeight="true" outlineLevel="0" collapsed="false">
      <c r="A570" s="1" t="s">
        <v>274</v>
      </c>
      <c r="B570" s="46" t="n">
        <v>45904</v>
      </c>
      <c r="C570" s="46" t="n">
        <v>45986</v>
      </c>
      <c r="D570" s="47" t="n">
        <v>25200</v>
      </c>
      <c r="E570" s="47" t="n">
        <v>25264.8</v>
      </c>
      <c r="F570" s="47" t="n">
        <v>25051.1</v>
      </c>
      <c r="G570" s="47" t="n">
        <v>25069.8</v>
      </c>
      <c r="H570" s="47" t="n">
        <v>25076.2</v>
      </c>
      <c r="I570" s="47" t="n">
        <v>25069.8</v>
      </c>
      <c r="J570" s="48" t="n">
        <v>1400</v>
      </c>
      <c r="K570" s="47" t="n">
        <v>26420.74</v>
      </c>
      <c r="L570" s="48" t="n">
        <v>177450</v>
      </c>
      <c r="M570" s="48" t="n">
        <v>13875</v>
      </c>
      <c r="N570" s="47" t="n">
        <v>24734.3</v>
      </c>
      <c r="O570" s="47" t="n">
        <f aca="false">IF(AND(ISNUMBER(G570),ISNUMBER(N570)),G570-N570,"")</f>
        <v>335.5</v>
      </c>
      <c r="P570" s="49" t="n">
        <f aca="false">IF(ISNUMBER(O570),O570/N570,"")</f>
        <v>0.013564159891325</v>
      </c>
      <c r="Q570" s="50" t="n">
        <f aca="false">C570-B570</f>
        <v>82</v>
      </c>
      <c r="R570" s="51" t="n">
        <f aca="false">IF(AND(C570=C569,ISNUMBER(G570),ISNUMBER(G569)),(G570/G569-1)*100,"")</f>
        <v>0.0694544235282812</v>
      </c>
      <c r="S570" s="51" t="n">
        <f aca="false">IF(AND(C570=C569,ISNUMBER(L570),ISNUMBER(L569)),(L570/L569-1)*100,"")</f>
        <v>8.48234754699679</v>
      </c>
      <c r="T570" s="51" t="n">
        <f aca="false">IF(AND(C570=C569,ISNUMBER(G570),ISNUMBER(G569)),G570-G569,"")</f>
        <v>17.3999999999978</v>
      </c>
      <c r="U570" s="1" t="str">
        <f aca="false">IF(OR(NOT(ISNUMBER(R570)),NOT(ISNUMBER(S570))),"Not classified",IF(AND(R570&gt;0,S570&gt;0),"Long buildup (interpretation)",IF(AND(R570&lt;0,S570&gt;0),"Short buildup (interpretation)",IF(AND(R570&gt;0,S570&lt;0),"Short covering (interpretation)",IF(AND(R570&lt;0,S570&lt;0),"Long unwinding (interpretation)","Neutral")))))</f>
        <v>Long buildup (interpretation)</v>
      </c>
      <c r="V570" s="52" t="str">
        <f aca="false">TEXT(B570,"yyyy-mm")</f>
        <v>2025-09</v>
      </c>
      <c r="W570" s="52" t="n">
        <f aca="false">1+COUNTIFS($B$2:$B$756,B570,$C$2:$C$756,"&lt;"&amp;C570)</f>
        <v>3</v>
      </c>
      <c r="X570" s="53" t="n">
        <f aca="false">IF(AND(ISNUMBER(P570),Q570&gt;0),P570*365/Q570,"")</f>
        <v>0.0603770531748003</v>
      </c>
      <c r="Y570" s="42" t="n">
        <f aca="false">IF(AND(C571=C570,ISNUMBER(R571)),R571,"")</f>
        <v>0.0606307190324618</v>
      </c>
      <c r="Z570" s="52" t="n">
        <f aca="false">IF(AND(W570=1,Q570&gt;Basis_Analysis!$B$3,ISNUMBER(Y570)),1,0)</f>
        <v>0</v>
      </c>
      <c r="AA570" s="43" t="str">
        <f aca="false">IF(W570=1,IF(SUMIFS($L$2:$L$756,$B$2:$B$756,B570,$W$2:$W$756,2)&gt;0,SUMIFS($L$2:$L$756,$B$2:$B$756,B570,$W$2:$W$756,2),""),"")</f>
        <v/>
      </c>
      <c r="AB570" s="54" t="str">
        <f aca="false">IF(AND(W570=1,ISNUMBER(AA570)),L570/(L570+AA570),"")</f>
        <v/>
      </c>
    </row>
    <row r="571" customFormat="false" ht="15" hidden="false" customHeight="true" outlineLevel="0" collapsed="false">
      <c r="A571" s="1" t="s">
        <v>274</v>
      </c>
      <c r="B571" s="46" t="n">
        <v>45905</v>
      </c>
      <c r="C571" s="46" t="n">
        <v>45986</v>
      </c>
      <c r="D571" s="47" t="n">
        <v>25130</v>
      </c>
      <c r="E571" s="47" t="n">
        <v>25152.7</v>
      </c>
      <c r="F571" s="47" t="n">
        <v>24963</v>
      </c>
      <c r="G571" s="47" t="n">
        <v>25085</v>
      </c>
      <c r="H571" s="47" t="n">
        <v>25077.4</v>
      </c>
      <c r="I571" s="47" t="n">
        <v>25085</v>
      </c>
      <c r="J571" s="48" t="n">
        <v>1422</v>
      </c>
      <c r="K571" s="47" t="n">
        <v>26723.3</v>
      </c>
      <c r="L571" s="48" t="n">
        <v>183600</v>
      </c>
      <c r="M571" s="48" t="n">
        <v>6150</v>
      </c>
      <c r="N571" s="47" t="n">
        <v>24741</v>
      </c>
      <c r="O571" s="47" t="n">
        <f aca="false">IF(AND(ISNUMBER(G571),ISNUMBER(N571)),G571-N571,"")</f>
        <v>344</v>
      </c>
      <c r="P571" s="49" t="n">
        <f aca="false">IF(ISNUMBER(O571),O571/N571,"")</f>
        <v>0.0139040459156865</v>
      </c>
      <c r="Q571" s="50" t="n">
        <f aca="false">C571-B571</f>
        <v>81</v>
      </c>
      <c r="R571" s="51" t="n">
        <f aca="false">IF(AND(C571=C570,ISNUMBER(G571),ISNUMBER(G570)),(G571/G570-1)*100,"")</f>
        <v>0.0606307190324618</v>
      </c>
      <c r="S571" s="51" t="n">
        <f aca="false">IF(AND(C571=C570,ISNUMBER(L571),ISNUMBER(L570)),(L571/L570-1)*100,"")</f>
        <v>3.46576500422655</v>
      </c>
      <c r="T571" s="51" t="n">
        <f aca="false">IF(AND(C571=C570,ISNUMBER(G571),ISNUMBER(G570)),G571-G570,"")</f>
        <v>15.2000000000007</v>
      </c>
      <c r="U571" s="1" t="str">
        <f aca="false">IF(OR(NOT(ISNUMBER(R571)),NOT(ISNUMBER(S571))),"Not classified",IF(AND(R571&gt;0,S571&gt;0),"Long buildup (interpretation)",IF(AND(R571&lt;0,S571&gt;0),"Short buildup (interpretation)",IF(AND(R571&gt;0,S571&lt;0),"Short covering (interpretation)",IF(AND(R571&lt;0,S571&lt;0),"Long unwinding (interpretation)","Neutral")))))</f>
        <v>Long buildup (interpretation)</v>
      </c>
      <c r="V571" s="52" t="str">
        <f aca="false">TEXT(B571,"yyyy-mm")</f>
        <v>2025-09</v>
      </c>
      <c r="W571" s="52" t="n">
        <f aca="false">1+COUNTIFS($B$2:$B$756,B571,$C$2:$C$756,"&lt;"&amp;C571)</f>
        <v>3</v>
      </c>
      <c r="X571" s="53" t="n">
        <f aca="false">IF(AND(ISNUMBER(P571),Q571&gt;0),P571*365/Q571,"")</f>
        <v>0.0626540340645133</v>
      </c>
      <c r="Y571" s="42" t="n">
        <f aca="false">IF(AND(C572=C571,ISNUMBER(R572)),R572,"")</f>
        <v>0.146302571257717</v>
      </c>
      <c r="Z571" s="52" t="n">
        <f aca="false">IF(AND(W571=1,Q571&gt;Basis_Analysis!$B$3,ISNUMBER(Y571)),1,0)</f>
        <v>0</v>
      </c>
      <c r="AA571" s="43" t="str">
        <f aca="false">IF(W571=1,IF(SUMIFS($L$2:$L$756,$B$2:$B$756,B571,$W$2:$W$756,2)&gt;0,SUMIFS($L$2:$L$756,$B$2:$B$756,B571,$W$2:$W$756,2),""),"")</f>
        <v/>
      </c>
      <c r="AB571" s="54" t="str">
        <f aca="false">IF(AND(W571=1,ISNUMBER(AA571)),L571/(L571+AA571),"")</f>
        <v/>
      </c>
    </row>
    <row r="572" customFormat="false" ht="15" hidden="false" customHeight="true" outlineLevel="0" collapsed="false">
      <c r="A572" s="1" t="s">
        <v>274</v>
      </c>
      <c r="B572" s="46" t="n">
        <v>45908</v>
      </c>
      <c r="C572" s="46" t="n">
        <v>45986</v>
      </c>
      <c r="D572" s="47" t="n">
        <v>25119.9</v>
      </c>
      <c r="E572" s="47" t="n">
        <v>25211</v>
      </c>
      <c r="F572" s="47" t="n">
        <v>25092.8</v>
      </c>
      <c r="G572" s="47" t="n">
        <v>25121.7</v>
      </c>
      <c r="H572" s="47" t="n">
        <v>25142</v>
      </c>
      <c r="I572" s="47" t="n">
        <v>25121.7</v>
      </c>
      <c r="J572" s="48" t="n">
        <v>1925</v>
      </c>
      <c r="K572" s="47" t="n">
        <v>36323.39</v>
      </c>
      <c r="L572" s="48" t="n">
        <v>245775</v>
      </c>
      <c r="M572" s="48" t="n">
        <v>62175</v>
      </c>
      <c r="N572" s="47" t="n">
        <v>24773.15</v>
      </c>
      <c r="O572" s="47" t="n">
        <f aca="false">IF(AND(ISNUMBER(G572),ISNUMBER(N572)),G572-N572,"")</f>
        <v>348.549999999999</v>
      </c>
      <c r="P572" s="49" t="n">
        <f aca="false">IF(ISNUMBER(O572),O572/N572,"")</f>
        <v>0.0140696681689652</v>
      </c>
      <c r="Q572" s="50" t="n">
        <f aca="false">C572-B572</f>
        <v>78</v>
      </c>
      <c r="R572" s="51" t="n">
        <f aca="false">IF(AND(C572=C571,ISNUMBER(G572),ISNUMBER(G571)),(G572/G571-1)*100,"")</f>
        <v>0.146302571257717</v>
      </c>
      <c r="S572" s="51" t="n">
        <f aca="false">IF(AND(C572=C571,ISNUMBER(L572),ISNUMBER(L571)),(L572/L571-1)*100,"")</f>
        <v>33.8643790849673</v>
      </c>
      <c r="T572" s="51" t="n">
        <f aca="false">IF(AND(C572=C571,ISNUMBER(G572),ISNUMBER(G571)),G572-G571,"")</f>
        <v>36.7000000000007</v>
      </c>
      <c r="U572" s="1" t="str">
        <f aca="false">IF(OR(NOT(ISNUMBER(R572)),NOT(ISNUMBER(S572))),"Not classified",IF(AND(R572&gt;0,S572&gt;0),"Long buildup (interpretation)",IF(AND(R572&lt;0,S572&gt;0),"Short buildup (interpretation)",IF(AND(R572&gt;0,S572&lt;0),"Short covering (interpretation)",IF(AND(R572&lt;0,S572&lt;0),"Long unwinding (interpretation)","Neutral")))))</f>
        <v>Long buildup (interpretation)</v>
      </c>
      <c r="V572" s="52" t="str">
        <f aca="false">TEXT(B572,"yyyy-mm")</f>
        <v>2025-09</v>
      </c>
      <c r="W572" s="52" t="n">
        <f aca="false">1+COUNTIFS($B$2:$B$756,B572,$C$2:$C$756,"&lt;"&amp;C572)</f>
        <v>3</v>
      </c>
      <c r="X572" s="53" t="n">
        <f aca="false">IF(AND(ISNUMBER(P572),Q572&gt;0),P572*365/Q572,"")</f>
        <v>0.0658388318163113</v>
      </c>
      <c r="Y572" s="42" t="n">
        <f aca="false">IF(AND(C573=C572,ISNUMBER(R573)),R573,"")</f>
        <v>0.239235402062743</v>
      </c>
      <c r="Z572" s="52" t="n">
        <f aca="false">IF(AND(W572=1,Q572&gt;Basis_Analysis!$B$3,ISNUMBER(Y572)),1,0)</f>
        <v>0</v>
      </c>
      <c r="AA572" s="43" t="str">
        <f aca="false">IF(W572=1,IF(SUMIFS($L$2:$L$756,$B$2:$B$756,B572,$W$2:$W$756,2)&gt;0,SUMIFS($L$2:$L$756,$B$2:$B$756,B572,$W$2:$W$756,2),""),"")</f>
        <v/>
      </c>
      <c r="AB572" s="54" t="str">
        <f aca="false">IF(AND(W572=1,ISNUMBER(AA572)),L572/(L572+AA572),"")</f>
        <v/>
      </c>
    </row>
    <row r="573" customFormat="false" ht="15" hidden="false" customHeight="true" outlineLevel="0" collapsed="false">
      <c r="A573" s="1" t="s">
        <v>274</v>
      </c>
      <c r="B573" s="46" t="n">
        <v>45909</v>
      </c>
      <c r="C573" s="46" t="n">
        <v>45986</v>
      </c>
      <c r="D573" s="47" t="n">
        <v>25172.8</v>
      </c>
      <c r="E573" s="47" t="n">
        <v>25197</v>
      </c>
      <c r="F573" s="47" t="n">
        <v>25149.2</v>
      </c>
      <c r="G573" s="47" t="n">
        <v>25181.8</v>
      </c>
      <c r="H573" s="47" t="n">
        <v>25190</v>
      </c>
      <c r="I573" s="47" t="n">
        <v>25181.8</v>
      </c>
      <c r="J573" s="48" t="n">
        <v>929</v>
      </c>
      <c r="K573" s="47" t="n">
        <v>17542.56</v>
      </c>
      <c r="L573" s="48" t="n">
        <v>273900</v>
      </c>
      <c r="M573" s="48" t="n">
        <v>28125</v>
      </c>
      <c r="N573" s="47" t="n">
        <v>24868.6</v>
      </c>
      <c r="O573" s="47" t="n">
        <f aca="false">IF(AND(ISNUMBER(G573),ISNUMBER(N573)),G573-N573,"")</f>
        <v>313.200000000001</v>
      </c>
      <c r="P573" s="49" t="n">
        <f aca="false">IF(ISNUMBER(O573),O573/N573,"")</f>
        <v>0.0125941950893899</v>
      </c>
      <c r="Q573" s="50" t="n">
        <f aca="false">C573-B573</f>
        <v>77</v>
      </c>
      <c r="R573" s="51" t="n">
        <f aca="false">IF(AND(C573=C572,ISNUMBER(G573),ISNUMBER(G572)),(G573/G572-1)*100,"")</f>
        <v>0.239235402062743</v>
      </c>
      <c r="S573" s="51" t="n">
        <f aca="false">IF(AND(C573=C572,ISNUMBER(L573),ISNUMBER(L572)),(L573/L572-1)*100,"")</f>
        <v>11.443393347574</v>
      </c>
      <c r="T573" s="51" t="n">
        <f aca="false">IF(AND(C573=C572,ISNUMBER(G573),ISNUMBER(G572)),G573-G572,"")</f>
        <v>60.0999999999985</v>
      </c>
      <c r="U573" s="1" t="str">
        <f aca="false">IF(OR(NOT(ISNUMBER(R573)),NOT(ISNUMBER(S573))),"Not classified",IF(AND(R573&gt;0,S573&gt;0),"Long buildup (interpretation)",IF(AND(R573&lt;0,S573&gt;0),"Short buildup (interpretation)",IF(AND(R573&gt;0,S573&lt;0),"Short covering (interpretation)",IF(AND(R573&lt;0,S573&lt;0),"Long unwinding (interpretation)","Neutral")))))</f>
        <v>Long buildup (interpretation)</v>
      </c>
      <c r="V573" s="52" t="str">
        <f aca="false">TEXT(B573,"yyyy-mm")</f>
        <v>2025-09</v>
      </c>
      <c r="W573" s="52" t="n">
        <f aca="false">1+COUNTIFS($B$2:$B$756,B573,$C$2:$C$756,"&lt;"&amp;C573)</f>
        <v>3</v>
      </c>
      <c r="X573" s="53" t="n">
        <f aca="false">IF(AND(ISNUMBER(P573),Q573&gt;0),P573*365/Q573,"")</f>
        <v>0.0596997559432117</v>
      </c>
      <c r="Y573" s="42" t="n">
        <f aca="false">IF(AND(C574=C573,ISNUMBER(R574)),R574,"")</f>
        <v>0.499170035501839</v>
      </c>
      <c r="Z573" s="52" t="n">
        <f aca="false">IF(AND(W573=1,Q573&gt;Basis_Analysis!$B$3,ISNUMBER(Y573)),1,0)</f>
        <v>0</v>
      </c>
      <c r="AA573" s="43" t="str">
        <f aca="false">IF(W573=1,IF(SUMIFS($L$2:$L$756,$B$2:$B$756,B573,$W$2:$W$756,2)&gt;0,SUMIFS($L$2:$L$756,$B$2:$B$756,B573,$W$2:$W$756,2),""),"")</f>
        <v/>
      </c>
      <c r="AB573" s="54" t="str">
        <f aca="false">IF(AND(W573=1,ISNUMBER(AA573)),L573/(L573+AA573),"")</f>
        <v/>
      </c>
    </row>
    <row r="574" customFormat="false" ht="15" hidden="false" customHeight="true" outlineLevel="0" collapsed="false">
      <c r="A574" s="1" t="s">
        <v>274</v>
      </c>
      <c r="B574" s="46" t="n">
        <v>45910</v>
      </c>
      <c r="C574" s="46" t="n">
        <v>45986</v>
      </c>
      <c r="D574" s="47" t="n">
        <v>25260</v>
      </c>
      <c r="E574" s="47" t="n">
        <v>25355</v>
      </c>
      <c r="F574" s="47" t="n">
        <v>25240.4</v>
      </c>
      <c r="G574" s="47" t="n">
        <v>25307.5</v>
      </c>
      <c r="H574" s="47" t="n">
        <v>25315</v>
      </c>
      <c r="I574" s="47" t="n">
        <v>25307.5</v>
      </c>
      <c r="J574" s="48" t="n">
        <v>1653</v>
      </c>
      <c r="K574" s="47" t="n">
        <v>31368.96</v>
      </c>
      <c r="L574" s="48" t="n">
        <v>311775</v>
      </c>
      <c r="M574" s="48" t="n">
        <v>37875</v>
      </c>
      <c r="N574" s="47" t="n">
        <v>24973.1</v>
      </c>
      <c r="O574" s="47" t="n">
        <f aca="false">IF(AND(ISNUMBER(G574),ISNUMBER(N574)),G574-N574,"")</f>
        <v>334.400000000001</v>
      </c>
      <c r="P574" s="49" t="n">
        <f aca="false">IF(ISNUMBER(O574),O574/N574,"")</f>
        <v>0.0133904080790932</v>
      </c>
      <c r="Q574" s="50" t="n">
        <f aca="false">C574-B574</f>
        <v>76</v>
      </c>
      <c r="R574" s="51" t="n">
        <f aca="false">IF(AND(C574=C573,ISNUMBER(G574),ISNUMBER(G573)),(G574/G573-1)*100,"")</f>
        <v>0.499170035501839</v>
      </c>
      <c r="S574" s="51" t="n">
        <f aca="false">IF(AND(C574=C573,ISNUMBER(L574),ISNUMBER(L573)),(L574/L573-1)*100,"")</f>
        <v>13.8280394304491</v>
      </c>
      <c r="T574" s="51" t="n">
        <f aca="false">IF(AND(C574=C573,ISNUMBER(G574),ISNUMBER(G573)),G574-G573,"")</f>
        <v>125.700000000001</v>
      </c>
      <c r="U574" s="1" t="str">
        <f aca="false">IF(OR(NOT(ISNUMBER(R574)),NOT(ISNUMBER(S574))),"Not classified",IF(AND(R574&gt;0,S574&gt;0),"Long buildup (interpretation)",IF(AND(R574&lt;0,S574&gt;0),"Short buildup (interpretation)",IF(AND(R574&gt;0,S574&lt;0),"Short covering (interpretation)",IF(AND(R574&lt;0,S574&lt;0),"Long unwinding (interpretation)","Neutral")))))</f>
        <v>Long buildup (interpretation)</v>
      </c>
      <c r="V574" s="52" t="str">
        <f aca="false">TEXT(B574,"yyyy-mm")</f>
        <v>2025-09</v>
      </c>
      <c r="W574" s="52" t="n">
        <f aca="false">1+COUNTIFS($B$2:$B$756,B574,$C$2:$C$756,"&lt;"&amp;C574)</f>
        <v>3</v>
      </c>
      <c r="X574" s="53" t="n">
        <f aca="false">IF(AND(ISNUMBER(P574),Q574&gt;0),P574*365/Q574,"")</f>
        <v>0.0643091966956448</v>
      </c>
      <c r="Y574" s="42" t="n">
        <f aca="false">IF(AND(C575=C574,ISNUMBER(R575)),R575,"")</f>
        <v>0.134742665217824</v>
      </c>
      <c r="Z574" s="52" t="n">
        <f aca="false">IF(AND(W574=1,Q574&gt;Basis_Analysis!$B$3,ISNUMBER(Y574)),1,0)</f>
        <v>0</v>
      </c>
      <c r="AA574" s="43" t="str">
        <f aca="false">IF(W574=1,IF(SUMIFS($L$2:$L$756,$B$2:$B$756,B574,$W$2:$W$756,2)&gt;0,SUMIFS($L$2:$L$756,$B$2:$B$756,B574,$W$2:$W$756,2),""),"")</f>
        <v/>
      </c>
      <c r="AB574" s="54" t="str">
        <f aca="false">IF(AND(W574=1,ISNUMBER(AA574)),L574/(L574+AA574),"")</f>
        <v/>
      </c>
    </row>
    <row r="575" customFormat="false" ht="15" hidden="false" customHeight="true" outlineLevel="0" collapsed="false">
      <c r="A575" s="1" t="s">
        <v>274</v>
      </c>
      <c r="B575" s="46" t="n">
        <v>45911</v>
      </c>
      <c r="C575" s="46" t="n">
        <v>45986</v>
      </c>
      <c r="D575" s="47" t="n">
        <v>25448.3</v>
      </c>
      <c r="E575" s="47" t="n">
        <v>25448.3</v>
      </c>
      <c r="F575" s="47" t="n">
        <v>25286.4</v>
      </c>
      <c r="G575" s="47" t="n">
        <v>25341.6</v>
      </c>
      <c r="H575" s="47" t="n">
        <v>25345</v>
      </c>
      <c r="I575" s="47" t="n">
        <v>25341.6</v>
      </c>
      <c r="J575" s="48" t="n">
        <v>776</v>
      </c>
      <c r="K575" s="47" t="n">
        <v>14739.24</v>
      </c>
      <c r="L575" s="48" t="n">
        <v>327600</v>
      </c>
      <c r="M575" s="48" t="n">
        <v>15825</v>
      </c>
      <c r="N575" s="47" t="n">
        <v>25005.5</v>
      </c>
      <c r="O575" s="47" t="n">
        <f aca="false">IF(AND(ISNUMBER(G575),ISNUMBER(N575)),G575-N575,"")</f>
        <v>336.099999999999</v>
      </c>
      <c r="P575" s="49" t="n">
        <f aca="false">IF(ISNUMBER(O575),O575/N575,"")</f>
        <v>0.0134410429705464</v>
      </c>
      <c r="Q575" s="50" t="n">
        <f aca="false">C575-B575</f>
        <v>75</v>
      </c>
      <c r="R575" s="51" t="n">
        <f aca="false">IF(AND(C575=C574,ISNUMBER(G575),ISNUMBER(G574)),(G575/G574-1)*100,"")</f>
        <v>0.134742665217824</v>
      </c>
      <c r="S575" s="51" t="n">
        <f aca="false">IF(AND(C575=C574,ISNUMBER(L575),ISNUMBER(L574)),(L575/L574-1)*100,"")</f>
        <v>5.07577579985568</v>
      </c>
      <c r="T575" s="51" t="n">
        <f aca="false">IF(AND(C575=C574,ISNUMBER(G575),ISNUMBER(G574)),G575-G574,"")</f>
        <v>34.0999999999985</v>
      </c>
      <c r="U575" s="1" t="str">
        <f aca="false">IF(OR(NOT(ISNUMBER(R575)),NOT(ISNUMBER(S575))),"Not classified",IF(AND(R575&gt;0,S575&gt;0),"Long buildup (interpretation)",IF(AND(R575&lt;0,S575&gt;0),"Short buildup (interpretation)",IF(AND(R575&gt;0,S575&lt;0),"Short covering (interpretation)",IF(AND(R575&lt;0,S575&lt;0),"Long unwinding (interpretation)","Neutral")))))</f>
        <v>Long buildup (interpretation)</v>
      </c>
      <c r="V575" s="52" t="str">
        <f aca="false">TEXT(B575,"yyyy-mm")</f>
        <v>2025-09</v>
      </c>
      <c r="W575" s="52" t="n">
        <f aca="false">1+COUNTIFS($B$2:$B$756,B575,$C$2:$C$756,"&lt;"&amp;C575)</f>
        <v>3</v>
      </c>
      <c r="X575" s="53" t="n">
        <f aca="false">IF(AND(ISNUMBER(P575),Q575&gt;0),P575*365/Q575,"")</f>
        <v>0.0654130757899926</v>
      </c>
      <c r="Y575" s="42" t="n">
        <f aca="false">IF(AND(C576=C575,ISNUMBER(R576)),R576,"")</f>
        <v>0.383559049152393</v>
      </c>
      <c r="Z575" s="52" t="n">
        <f aca="false">IF(AND(W575=1,Q575&gt;Basis_Analysis!$B$3,ISNUMBER(Y575)),1,0)</f>
        <v>0</v>
      </c>
      <c r="AA575" s="43" t="str">
        <f aca="false">IF(W575=1,IF(SUMIFS($L$2:$L$756,$B$2:$B$756,B575,$W$2:$W$756,2)&gt;0,SUMIFS($L$2:$L$756,$B$2:$B$756,B575,$W$2:$W$756,2),""),"")</f>
        <v/>
      </c>
      <c r="AB575" s="54" t="str">
        <f aca="false">IF(AND(W575=1,ISNUMBER(AA575)),L575/(L575+AA575),"")</f>
        <v/>
      </c>
    </row>
    <row r="576" customFormat="false" ht="15" hidden="false" customHeight="true" outlineLevel="0" collapsed="false">
      <c r="A576" s="1" t="s">
        <v>274</v>
      </c>
      <c r="B576" s="46" t="n">
        <v>45912</v>
      </c>
      <c r="C576" s="46" t="n">
        <v>45986</v>
      </c>
      <c r="D576" s="47" t="n">
        <v>25372.9</v>
      </c>
      <c r="E576" s="47" t="n">
        <v>25458.3</v>
      </c>
      <c r="F576" s="47" t="n">
        <v>25370</v>
      </c>
      <c r="G576" s="47" t="n">
        <v>25438.8</v>
      </c>
      <c r="H576" s="47" t="n">
        <v>25446.4</v>
      </c>
      <c r="I576" s="47" t="n">
        <v>25438.8</v>
      </c>
      <c r="J576" s="48" t="n">
        <v>1312</v>
      </c>
      <c r="K576" s="47" t="n">
        <v>25014.72</v>
      </c>
      <c r="L576" s="48" t="n">
        <v>351375</v>
      </c>
      <c r="M576" s="48" t="n">
        <v>23775</v>
      </c>
      <c r="N576" s="47" t="n">
        <v>25114</v>
      </c>
      <c r="O576" s="47" t="n">
        <f aca="false">IF(AND(ISNUMBER(G576),ISNUMBER(N576)),G576-N576,"")</f>
        <v>324.799999999999</v>
      </c>
      <c r="P576" s="49" t="n">
        <f aca="false">IF(ISNUMBER(O576),O576/N576,"")</f>
        <v>0.012933025404157</v>
      </c>
      <c r="Q576" s="50" t="n">
        <f aca="false">C576-B576</f>
        <v>74</v>
      </c>
      <c r="R576" s="51" t="n">
        <f aca="false">IF(AND(C576=C575,ISNUMBER(G576),ISNUMBER(G575)),(G576/G575-1)*100,"")</f>
        <v>0.383559049152393</v>
      </c>
      <c r="S576" s="51" t="n">
        <f aca="false">IF(AND(C576=C575,ISNUMBER(L576),ISNUMBER(L575)),(L576/L575-1)*100,"")</f>
        <v>7.257326007326</v>
      </c>
      <c r="T576" s="51" t="n">
        <f aca="false">IF(AND(C576=C575,ISNUMBER(G576),ISNUMBER(G575)),G576-G575,"")</f>
        <v>97.2000000000007</v>
      </c>
      <c r="U576" s="1" t="str">
        <f aca="false">IF(OR(NOT(ISNUMBER(R576)),NOT(ISNUMBER(S576))),"Not classified",IF(AND(R576&gt;0,S576&gt;0),"Long buildup (interpretation)",IF(AND(R576&lt;0,S576&gt;0),"Short buildup (interpretation)",IF(AND(R576&gt;0,S576&lt;0),"Short covering (interpretation)",IF(AND(R576&lt;0,S576&lt;0),"Long unwinding (interpretation)","Neutral")))))</f>
        <v>Long buildup (interpretation)</v>
      </c>
      <c r="V576" s="52" t="str">
        <f aca="false">TEXT(B576,"yyyy-mm")</f>
        <v>2025-09</v>
      </c>
      <c r="W576" s="52" t="n">
        <f aca="false">1+COUNTIFS($B$2:$B$756,B576,$C$2:$C$756,"&lt;"&amp;C576)</f>
        <v>3</v>
      </c>
      <c r="X576" s="53" t="n">
        <f aca="false">IF(AND(ISNUMBER(P576),Q576&gt;0),P576*365/Q576,"")</f>
        <v>0.0637912739529366</v>
      </c>
      <c r="Y576" s="42" t="n">
        <f aca="false">IF(AND(C577=C576,ISNUMBER(R577)),R577,"")</f>
        <v>-0.137978206519174</v>
      </c>
      <c r="Z576" s="52" t="n">
        <f aca="false">IF(AND(W576=1,Q576&gt;Basis_Analysis!$B$3,ISNUMBER(Y576)),1,0)</f>
        <v>0</v>
      </c>
      <c r="AA576" s="43" t="str">
        <f aca="false">IF(W576=1,IF(SUMIFS($L$2:$L$756,$B$2:$B$756,B576,$W$2:$W$756,2)&gt;0,SUMIFS($L$2:$L$756,$B$2:$B$756,B576,$W$2:$W$756,2),""),"")</f>
        <v/>
      </c>
      <c r="AB576" s="54" t="str">
        <f aca="false">IF(AND(W576=1,ISNUMBER(AA576)),L576/(L576+AA576),"")</f>
        <v/>
      </c>
    </row>
    <row r="577" customFormat="false" ht="15" hidden="false" customHeight="true" outlineLevel="0" collapsed="false">
      <c r="A577" s="1" t="s">
        <v>274</v>
      </c>
      <c r="B577" s="46" t="n">
        <v>45915</v>
      </c>
      <c r="C577" s="46" t="n">
        <v>45986</v>
      </c>
      <c r="D577" s="47" t="n">
        <v>25439</v>
      </c>
      <c r="E577" s="47" t="n">
        <v>25439</v>
      </c>
      <c r="F577" s="47" t="n">
        <v>25391.3</v>
      </c>
      <c r="G577" s="47" t="n">
        <v>25403.7</v>
      </c>
      <c r="H577" s="47" t="n">
        <v>25400</v>
      </c>
      <c r="I577" s="47" t="n">
        <v>25403.7</v>
      </c>
      <c r="J577" s="48" t="n">
        <v>735</v>
      </c>
      <c r="K577" s="47" t="n">
        <v>14006.59</v>
      </c>
      <c r="L577" s="48" t="n">
        <v>361425</v>
      </c>
      <c r="M577" s="48" t="n">
        <v>10050</v>
      </c>
      <c r="N577" s="47" t="n">
        <v>25069.2</v>
      </c>
      <c r="O577" s="47" t="n">
        <f aca="false">IF(AND(ISNUMBER(G577),ISNUMBER(N577)),G577-N577,"")</f>
        <v>334.5</v>
      </c>
      <c r="P577" s="49" t="n">
        <f aca="false">IF(ISNUMBER(O577),O577/N577,"")</f>
        <v>0.0133430663922263</v>
      </c>
      <c r="Q577" s="50" t="n">
        <f aca="false">C577-B577</f>
        <v>71</v>
      </c>
      <c r="R577" s="51" t="n">
        <f aca="false">IF(AND(C577=C576,ISNUMBER(G577),ISNUMBER(G576)),(G577/G576-1)*100,"")</f>
        <v>-0.137978206519174</v>
      </c>
      <c r="S577" s="51" t="n">
        <f aca="false">IF(AND(C577=C576,ISNUMBER(L577),ISNUMBER(L576)),(L577/L576-1)*100,"")</f>
        <v>2.86019210245465</v>
      </c>
      <c r="T577" s="51" t="n">
        <f aca="false">IF(AND(C577=C576,ISNUMBER(G577),ISNUMBER(G576)),G577-G576,"")</f>
        <v>-35.0999999999985</v>
      </c>
      <c r="U577" s="1" t="str">
        <f aca="false">IF(OR(NOT(ISNUMBER(R577)),NOT(ISNUMBER(S577))),"Not classified",IF(AND(R577&gt;0,S577&gt;0),"Long buildup (interpretation)",IF(AND(R577&lt;0,S577&gt;0),"Short buildup (interpretation)",IF(AND(R577&gt;0,S577&lt;0),"Short covering (interpretation)",IF(AND(R577&lt;0,S577&lt;0),"Long unwinding (interpretation)","Neutral")))))</f>
        <v>Short buildup (interpretation)</v>
      </c>
      <c r="V577" s="52" t="str">
        <f aca="false">TEXT(B577,"yyyy-mm")</f>
        <v>2025-09</v>
      </c>
      <c r="W577" s="52" t="n">
        <f aca="false">1+COUNTIFS($B$2:$B$756,B577,$C$2:$C$756,"&lt;"&amp;C577)</f>
        <v>3</v>
      </c>
      <c r="X577" s="53" t="n">
        <f aca="false">IF(AND(ISNUMBER(P577),Q577&gt;0),P577*365/Q577,"")</f>
        <v>0.0685946370867973</v>
      </c>
      <c r="Y577" s="42" t="n">
        <f aca="false">IF(AND(C578=C577,ISNUMBER(R578)),R578,"")</f>
        <v>0.650298972196972</v>
      </c>
      <c r="Z577" s="52" t="n">
        <f aca="false">IF(AND(W577=1,Q577&gt;Basis_Analysis!$B$3,ISNUMBER(Y577)),1,0)</f>
        <v>0</v>
      </c>
      <c r="AA577" s="43" t="str">
        <f aca="false">IF(W577=1,IF(SUMIFS($L$2:$L$756,$B$2:$B$756,B577,$W$2:$W$756,2)&gt;0,SUMIFS($L$2:$L$756,$B$2:$B$756,B577,$W$2:$W$756,2),""),"")</f>
        <v/>
      </c>
      <c r="AB577" s="54" t="str">
        <f aca="false">IF(AND(W577=1,ISNUMBER(AA577)),L577/(L577+AA577),"")</f>
        <v/>
      </c>
    </row>
    <row r="578" customFormat="false" ht="15" hidden="false" customHeight="true" outlineLevel="0" collapsed="false">
      <c r="A578" s="1" t="s">
        <v>274</v>
      </c>
      <c r="B578" s="46" t="n">
        <v>45916</v>
      </c>
      <c r="C578" s="46" t="n">
        <v>45986</v>
      </c>
      <c r="D578" s="47" t="n">
        <v>25355</v>
      </c>
      <c r="E578" s="47" t="n">
        <v>25590</v>
      </c>
      <c r="F578" s="47" t="n">
        <v>25355</v>
      </c>
      <c r="G578" s="47" t="n">
        <v>25568.9</v>
      </c>
      <c r="H578" s="47" t="n">
        <v>25588</v>
      </c>
      <c r="I578" s="47" t="n">
        <v>25568.9</v>
      </c>
      <c r="J578" s="48" t="n">
        <v>2335</v>
      </c>
      <c r="K578" s="47" t="n">
        <v>44685.09</v>
      </c>
      <c r="L578" s="48" t="n">
        <v>411825</v>
      </c>
      <c r="M578" s="48" t="n">
        <v>50400</v>
      </c>
      <c r="N578" s="47" t="n">
        <v>25239.1</v>
      </c>
      <c r="O578" s="47" t="n">
        <f aca="false">IF(AND(ISNUMBER(G578),ISNUMBER(N578)),G578-N578,"")</f>
        <v>329.800000000003</v>
      </c>
      <c r="P578" s="49" t="n">
        <f aca="false">IF(ISNUMBER(O578),O578/N578,"")</f>
        <v>0.0130670269542101</v>
      </c>
      <c r="Q578" s="50" t="n">
        <f aca="false">C578-B578</f>
        <v>70</v>
      </c>
      <c r="R578" s="51" t="n">
        <f aca="false">IF(AND(C578=C577,ISNUMBER(G578),ISNUMBER(G577)),(G578/G577-1)*100,"")</f>
        <v>0.650298972196972</v>
      </c>
      <c r="S578" s="51" t="n">
        <f aca="false">IF(AND(C578=C577,ISNUMBER(L578),ISNUMBER(L577)),(L578/L577-1)*100,"")</f>
        <v>13.944801826105</v>
      </c>
      <c r="T578" s="51" t="n">
        <f aca="false">IF(AND(C578=C577,ISNUMBER(G578),ISNUMBER(G577)),G578-G577,"")</f>
        <v>165.200000000001</v>
      </c>
      <c r="U578" s="1" t="str">
        <f aca="false">IF(OR(NOT(ISNUMBER(R578)),NOT(ISNUMBER(S578))),"Not classified",IF(AND(R578&gt;0,S578&gt;0),"Long buildup (interpretation)",IF(AND(R578&lt;0,S578&gt;0),"Short buildup (interpretation)",IF(AND(R578&gt;0,S578&lt;0),"Short covering (interpretation)",IF(AND(R578&lt;0,S578&lt;0),"Long unwinding (interpretation)","Neutral")))))</f>
        <v>Long buildup (interpretation)</v>
      </c>
      <c r="V578" s="52" t="str">
        <f aca="false">TEXT(B578,"yyyy-mm")</f>
        <v>2025-09</v>
      </c>
      <c r="W578" s="52" t="n">
        <f aca="false">1+COUNTIFS($B$2:$B$756,B578,$C$2:$C$756,"&lt;"&amp;C578)</f>
        <v>3</v>
      </c>
      <c r="X578" s="53" t="n">
        <f aca="false">IF(AND(ISNUMBER(P578),Q578&gt;0),P578*365/Q578,"")</f>
        <v>0.0681352119755238</v>
      </c>
      <c r="Y578" s="42" t="n">
        <f aca="false">IF(AND(C579=C578,ISNUMBER(R579)),R579,"")</f>
        <v>0.372327319517063</v>
      </c>
      <c r="Z578" s="52" t="n">
        <f aca="false">IF(AND(W578=1,Q578&gt;Basis_Analysis!$B$3,ISNUMBER(Y578)),1,0)</f>
        <v>0</v>
      </c>
      <c r="AA578" s="43" t="str">
        <f aca="false">IF(W578=1,IF(SUMIFS($L$2:$L$756,$B$2:$B$756,B578,$W$2:$W$756,2)&gt;0,SUMIFS($L$2:$L$756,$B$2:$B$756,B578,$W$2:$W$756,2),""),"")</f>
        <v/>
      </c>
      <c r="AB578" s="54" t="str">
        <f aca="false">IF(AND(W578=1,ISNUMBER(AA578)),L578/(L578+AA578),"")</f>
        <v/>
      </c>
    </row>
    <row r="579" customFormat="false" ht="15" hidden="false" customHeight="true" outlineLevel="0" collapsed="false">
      <c r="A579" s="1" t="s">
        <v>274</v>
      </c>
      <c r="B579" s="46" t="n">
        <v>45917</v>
      </c>
      <c r="C579" s="46" t="n">
        <v>45986</v>
      </c>
      <c r="D579" s="47" t="n">
        <v>25643.2</v>
      </c>
      <c r="E579" s="47" t="n">
        <v>25678.5</v>
      </c>
      <c r="F579" s="47" t="n">
        <v>25600.8</v>
      </c>
      <c r="G579" s="47" t="n">
        <v>25664.1</v>
      </c>
      <c r="H579" s="47" t="n">
        <v>25668</v>
      </c>
      <c r="I579" s="47" t="n">
        <v>25664.1</v>
      </c>
      <c r="J579" s="48" t="n">
        <v>1677</v>
      </c>
      <c r="K579" s="47" t="n">
        <v>32258.52</v>
      </c>
      <c r="L579" s="48" t="n">
        <v>434100</v>
      </c>
      <c r="M579" s="48" t="n">
        <v>22275</v>
      </c>
      <c r="N579" s="47" t="n">
        <v>25330.25</v>
      </c>
      <c r="O579" s="47" t="n">
        <f aca="false">IF(AND(ISNUMBER(G579),ISNUMBER(N579)),G579-N579,"")</f>
        <v>333.849999999999</v>
      </c>
      <c r="P579" s="49" t="n">
        <f aca="false">IF(ISNUMBER(O579),O579/N579,"")</f>
        <v>0.0131798936054717</v>
      </c>
      <c r="Q579" s="50" t="n">
        <f aca="false">C579-B579</f>
        <v>69</v>
      </c>
      <c r="R579" s="51" t="n">
        <f aca="false">IF(AND(C579=C578,ISNUMBER(G579),ISNUMBER(G578)),(G579/G578-1)*100,"")</f>
        <v>0.372327319517063</v>
      </c>
      <c r="S579" s="51" t="n">
        <f aca="false">IF(AND(C579=C578,ISNUMBER(L579),ISNUMBER(L578)),(L579/L578-1)*100,"")</f>
        <v>5.40885084684029</v>
      </c>
      <c r="T579" s="51" t="n">
        <f aca="false">IF(AND(C579=C578,ISNUMBER(G579),ISNUMBER(G578)),G579-G578,"")</f>
        <v>95.1999999999971</v>
      </c>
      <c r="U579" s="1" t="str">
        <f aca="false">IF(OR(NOT(ISNUMBER(R579)),NOT(ISNUMBER(S579))),"Not classified",IF(AND(R579&gt;0,S579&gt;0),"Long buildup (interpretation)",IF(AND(R579&lt;0,S579&gt;0),"Short buildup (interpretation)",IF(AND(R579&gt;0,S579&lt;0),"Short covering (interpretation)",IF(AND(R579&lt;0,S579&lt;0),"Long unwinding (interpretation)","Neutral")))))</f>
        <v>Long buildup (interpretation)</v>
      </c>
      <c r="V579" s="52" t="str">
        <f aca="false">TEXT(B579,"yyyy-mm")</f>
        <v>2025-09</v>
      </c>
      <c r="W579" s="52" t="n">
        <f aca="false">1+COUNTIFS($B$2:$B$756,B579,$C$2:$C$756,"&lt;"&amp;C579)</f>
        <v>3</v>
      </c>
      <c r="X579" s="53" t="n">
        <f aca="false">IF(AND(ISNUMBER(P579),Q579&gt;0),P579*365/Q579,"")</f>
        <v>0.069719727043437</v>
      </c>
      <c r="Y579" s="42" t="n">
        <f aca="false">IF(AND(C580=C579,ISNUMBER(R580)),R580,"")</f>
        <v>0.342891432000347</v>
      </c>
      <c r="Z579" s="52" t="n">
        <f aca="false">IF(AND(W579=1,Q579&gt;Basis_Analysis!$B$3,ISNUMBER(Y579)),1,0)</f>
        <v>0</v>
      </c>
      <c r="AA579" s="43" t="str">
        <f aca="false">IF(W579=1,IF(SUMIFS($L$2:$L$756,$B$2:$B$756,B579,$W$2:$W$756,2)&gt;0,SUMIFS($L$2:$L$756,$B$2:$B$756,B579,$W$2:$W$756,2),""),"")</f>
        <v/>
      </c>
      <c r="AB579" s="54" t="str">
        <f aca="false">IF(AND(W579=1,ISNUMBER(AA579)),L579/(L579+AA579),"")</f>
        <v/>
      </c>
    </row>
    <row r="580" customFormat="false" ht="15" hidden="false" customHeight="true" outlineLevel="0" collapsed="false">
      <c r="A580" s="1" t="s">
        <v>274</v>
      </c>
      <c r="B580" s="46" t="n">
        <v>45918</v>
      </c>
      <c r="C580" s="46" t="n">
        <v>45986</v>
      </c>
      <c r="D580" s="47" t="n">
        <v>25725</v>
      </c>
      <c r="E580" s="47" t="n">
        <v>25766.9</v>
      </c>
      <c r="F580" s="47" t="n">
        <v>25681</v>
      </c>
      <c r="G580" s="47" t="n">
        <v>25752.1</v>
      </c>
      <c r="H580" s="47" t="n">
        <v>25755</v>
      </c>
      <c r="I580" s="47" t="n">
        <v>25752.1</v>
      </c>
      <c r="J580" s="48" t="n">
        <v>2053</v>
      </c>
      <c r="K580" s="47" t="n">
        <v>39624.32</v>
      </c>
      <c r="L580" s="48" t="n">
        <v>465450</v>
      </c>
      <c r="M580" s="48" t="n">
        <v>31350</v>
      </c>
      <c r="N580" s="47" t="n">
        <v>25423.6</v>
      </c>
      <c r="O580" s="47" t="n">
        <f aca="false">IF(AND(ISNUMBER(G580),ISNUMBER(N580)),G580-N580,"")</f>
        <v>328.5</v>
      </c>
      <c r="P580" s="49" t="n">
        <f aca="false">IF(ISNUMBER(O580),O580/N580,"")</f>
        <v>0.0129210654667317</v>
      </c>
      <c r="Q580" s="50" t="n">
        <f aca="false">C580-B580</f>
        <v>68</v>
      </c>
      <c r="R580" s="51" t="n">
        <f aca="false">IF(AND(C580=C579,ISNUMBER(G580),ISNUMBER(G579)),(G580/G579-1)*100,"")</f>
        <v>0.342891432000347</v>
      </c>
      <c r="S580" s="51" t="n">
        <f aca="false">IF(AND(C580=C579,ISNUMBER(L580),ISNUMBER(L579)),(L580/L579-1)*100,"")</f>
        <v>7.22183828610918</v>
      </c>
      <c r="T580" s="51" t="n">
        <f aca="false">IF(AND(C580=C579,ISNUMBER(G580),ISNUMBER(G579)),G580-G579,"")</f>
        <v>88</v>
      </c>
      <c r="U580" s="1" t="str">
        <f aca="false">IF(OR(NOT(ISNUMBER(R580)),NOT(ISNUMBER(S580))),"Not classified",IF(AND(R580&gt;0,S580&gt;0),"Long buildup (interpretation)",IF(AND(R580&lt;0,S580&gt;0),"Short buildup (interpretation)",IF(AND(R580&gt;0,S580&lt;0),"Short covering (interpretation)",IF(AND(R580&lt;0,S580&lt;0),"Long unwinding (interpretation)","Neutral")))))</f>
        <v>Long buildup (interpretation)</v>
      </c>
      <c r="V580" s="52" t="str">
        <f aca="false">TEXT(B580,"yyyy-mm")</f>
        <v>2025-09</v>
      </c>
      <c r="W580" s="52" t="n">
        <f aca="false">1+COUNTIFS($B$2:$B$756,B580,$C$2:$C$756,"&lt;"&amp;C580)</f>
        <v>3</v>
      </c>
      <c r="X580" s="53" t="n">
        <f aca="false">IF(AND(ISNUMBER(P580),Q580&gt;0),P580*365/Q580,"")</f>
        <v>0.0693557190493687</v>
      </c>
      <c r="Y580" s="42" t="n">
        <f aca="false">IF(AND(C581=C580,ISNUMBER(R581)),R581,"")</f>
        <v>-0.395307567149861</v>
      </c>
      <c r="Z580" s="52" t="n">
        <f aca="false">IF(AND(W580=1,Q580&gt;Basis_Analysis!$B$3,ISNUMBER(Y580)),1,0)</f>
        <v>0</v>
      </c>
      <c r="AA580" s="43" t="str">
        <f aca="false">IF(W580=1,IF(SUMIFS($L$2:$L$756,$B$2:$B$756,B580,$W$2:$W$756,2)&gt;0,SUMIFS($L$2:$L$756,$B$2:$B$756,B580,$W$2:$W$756,2),""),"")</f>
        <v/>
      </c>
      <c r="AB580" s="54" t="str">
        <f aca="false">IF(AND(W580=1,ISNUMBER(AA580)),L580/(L580+AA580),"")</f>
        <v/>
      </c>
    </row>
    <row r="581" customFormat="false" ht="15" hidden="false" customHeight="true" outlineLevel="0" collapsed="false">
      <c r="A581" s="1" t="s">
        <v>274</v>
      </c>
      <c r="B581" s="46" t="n">
        <v>45919</v>
      </c>
      <c r="C581" s="46" t="n">
        <v>45986</v>
      </c>
      <c r="D581" s="47" t="n">
        <v>25712</v>
      </c>
      <c r="E581" s="47" t="n">
        <v>25729.8</v>
      </c>
      <c r="F581" s="47" t="n">
        <v>25605</v>
      </c>
      <c r="G581" s="47" t="n">
        <v>25650.3</v>
      </c>
      <c r="H581" s="47" t="n">
        <v>25668</v>
      </c>
      <c r="I581" s="47" t="n">
        <v>25650.3</v>
      </c>
      <c r="J581" s="48" t="n">
        <v>1955</v>
      </c>
      <c r="K581" s="47" t="n">
        <v>37605.83</v>
      </c>
      <c r="L581" s="48" t="n">
        <v>470625</v>
      </c>
      <c r="M581" s="48" t="n">
        <v>5175</v>
      </c>
      <c r="N581" s="47" t="n">
        <v>25327.05</v>
      </c>
      <c r="O581" s="47" t="n">
        <f aca="false">IF(AND(ISNUMBER(G581),ISNUMBER(N581)),G581-N581,"")</f>
        <v>323.25</v>
      </c>
      <c r="P581" s="49" t="n">
        <f aca="false">IF(ISNUMBER(O581),O581/N581,"")</f>
        <v>0.0127630339893513</v>
      </c>
      <c r="Q581" s="50" t="n">
        <f aca="false">C581-B581</f>
        <v>67</v>
      </c>
      <c r="R581" s="51" t="n">
        <f aca="false">IF(AND(C581=C580,ISNUMBER(G581),ISNUMBER(G580)),(G581/G580-1)*100,"")</f>
        <v>-0.395307567149861</v>
      </c>
      <c r="S581" s="51" t="n">
        <f aca="false">IF(AND(C581=C580,ISNUMBER(L581),ISNUMBER(L580)),(L581/L580-1)*100,"")</f>
        <v>1.11182726393813</v>
      </c>
      <c r="T581" s="51" t="n">
        <f aca="false">IF(AND(C581=C580,ISNUMBER(G581),ISNUMBER(G580)),G581-G580,"")</f>
        <v>-101.799999999999</v>
      </c>
      <c r="U581" s="1" t="str">
        <f aca="false">IF(OR(NOT(ISNUMBER(R581)),NOT(ISNUMBER(S581))),"Not classified",IF(AND(R581&gt;0,S581&gt;0),"Long buildup (interpretation)",IF(AND(R581&lt;0,S581&gt;0),"Short buildup (interpretation)",IF(AND(R581&gt;0,S581&lt;0),"Short covering (interpretation)",IF(AND(R581&lt;0,S581&lt;0),"Long unwinding (interpretation)","Neutral")))))</f>
        <v>Short buildup (interpretation)</v>
      </c>
      <c r="V581" s="52" t="str">
        <f aca="false">TEXT(B581,"yyyy-mm")</f>
        <v>2025-09</v>
      </c>
      <c r="W581" s="52" t="n">
        <f aca="false">1+COUNTIFS($B$2:$B$756,B581,$C$2:$C$756,"&lt;"&amp;C581)</f>
        <v>3</v>
      </c>
      <c r="X581" s="53" t="n">
        <f aca="false">IF(AND(ISNUMBER(P581),Q581&gt;0),P581*365/Q581,"")</f>
        <v>0.069529961285272</v>
      </c>
      <c r="Y581" s="42" t="n">
        <f aca="false">IF(AND(C582=C581,ISNUMBER(R582)),R582,"")</f>
        <v>-0.456914733940739</v>
      </c>
      <c r="Z581" s="52" t="n">
        <f aca="false">IF(AND(W581=1,Q581&gt;Basis_Analysis!$B$3,ISNUMBER(Y581)),1,0)</f>
        <v>0</v>
      </c>
      <c r="AA581" s="43" t="str">
        <f aca="false">IF(W581=1,IF(SUMIFS($L$2:$L$756,$B$2:$B$756,B581,$W$2:$W$756,2)&gt;0,SUMIFS($L$2:$L$756,$B$2:$B$756,B581,$W$2:$W$756,2),""),"")</f>
        <v/>
      </c>
      <c r="AB581" s="54" t="str">
        <f aca="false">IF(AND(W581=1,ISNUMBER(AA581)),L581/(L581+AA581),"")</f>
        <v/>
      </c>
    </row>
    <row r="582" customFormat="false" ht="15" hidden="false" customHeight="true" outlineLevel="0" collapsed="false">
      <c r="A582" s="1" t="s">
        <v>274</v>
      </c>
      <c r="B582" s="46" t="n">
        <v>45922</v>
      </c>
      <c r="C582" s="46" t="n">
        <v>45986</v>
      </c>
      <c r="D582" s="47" t="n">
        <v>25577.7</v>
      </c>
      <c r="E582" s="47" t="n">
        <v>25636</v>
      </c>
      <c r="F582" s="47" t="n">
        <v>25502.2</v>
      </c>
      <c r="G582" s="47" t="n">
        <v>25533.1</v>
      </c>
      <c r="H582" s="47" t="n">
        <v>25535</v>
      </c>
      <c r="I582" s="47" t="n">
        <v>25533.1</v>
      </c>
      <c r="J582" s="48" t="n">
        <v>2288</v>
      </c>
      <c r="K582" s="47" t="n">
        <v>43892.72</v>
      </c>
      <c r="L582" s="48" t="n">
        <v>534525</v>
      </c>
      <c r="M582" s="48" t="n">
        <v>63900</v>
      </c>
      <c r="N582" s="47" t="n">
        <v>25202.35</v>
      </c>
      <c r="O582" s="47" t="n">
        <f aca="false">IF(AND(ISNUMBER(G582),ISNUMBER(N582)),G582-N582,"")</f>
        <v>330.75</v>
      </c>
      <c r="P582" s="49" t="n">
        <f aca="false">IF(ISNUMBER(O582),O582/N582,"")</f>
        <v>0.013123776155795</v>
      </c>
      <c r="Q582" s="50" t="n">
        <f aca="false">C582-B582</f>
        <v>64</v>
      </c>
      <c r="R582" s="51" t="n">
        <f aca="false">IF(AND(C582=C581,ISNUMBER(G582),ISNUMBER(G581)),(G582/G581-1)*100,"")</f>
        <v>-0.456914733940739</v>
      </c>
      <c r="S582" s="51" t="n">
        <f aca="false">IF(AND(C582=C581,ISNUMBER(L582),ISNUMBER(L581)),(L582/L581-1)*100,"")</f>
        <v>13.5776892430279</v>
      </c>
      <c r="T582" s="51" t="n">
        <f aca="false">IF(AND(C582=C581,ISNUMBER(G582),ISNUMBER(G581)),G582-G581,"")</f>
        <v>-117.200000000001</v>
      </c>
      <c r="U582" s="1" t="str">
        <f aca="false">IF(OR(NOT(ISNUMBER(R582)),NOT(ISNUMBER(S582))),"Not classified",IF(AND(R582&gt;0,S582&gt;0),"Long buildup (interpretation)",IF(AND(R582&lt;0,S582&gt;0),"Short buildup (interpretation)",IF(AND(R582&gt;0,S582&lt;0),"Short covering (interpretation)",IF(AND(R582&lt;0,S582&lt;0),"Long unwinding (interpretation)","Neutral")))))</f>
        <v>Short buildup (interpretation)</v>
      </c>
      <c r="V582" s="52" t="str">
        <f aca="false">TEXT(B582,"yyyy-mm")</f>
        <v>2025-09</v>
      </c>
      <c r="W582" s="52" t="n">
        <f aca="false">1+COUNTIFS($B$2:$B$756,B582,$C$2:$C$756,"&lt;"&amp;C582)</f>
        <v>3</v>
      </c>
      <c r="X582" s="53" t="n">
        <f aca="false">IF(AND(ISNUMBER(P582),Q582&gt;0),P582*365/Q582,"")</f>
        <v>0.0748465358885184</v>
      </c>
      <c r="Y582" s="42" t="n">
        <f aca="false">IF(AND(C583=C582,ISNUMBER(R583)),R583,"")</f>
        <v>-0.0622721095362433</v>
      </c>
      <c r="Z582" s="52" t="n">
        <f aca="false">IF(AND(W582=1,Q582&gt;Basis_Analysis!$B$3,ISNUMBER(Y582)),1,0)</f>
        <v>0</v>
      </c>
      <c r="AA582" s="43" t="str">
        <f aca="false">IF(W582=1,IF(SUMIFS($L$2:$L$756,$B$2:$B$756,B582,$W$2:$W$756,2)&gt;0,SUMIFS($L$2:$L$756,$B$2:$B$756,B582,$W$2:$W$756,2),""),"")</f>
        <v/>
      </c>
      <c r="AB582" s="54" t="str">
        <f aca="false">IF(AND(W582=1,ISNUMBER(AA582)),L582/(L582+AA582),"")</f>
        <v/>
      </c>
    </row>
    <row r="583" customFormat="false" ht="15" hidden="false" customHeight="true" outlineLevel="0" collapsed="false">
      <c r="A583" s="1" t="s">
        <v>274</v>
      </c>
      <c r="B583" s="46" t="n">
        <v>45923</v>
      </c>
      <c r="C583" s="46" t="n">
        <v>45986</v>
      </c>
      <c r="D583" s="47" t="n">
        <v>25500.1</v>
      </c>
      <c r="E583" s="47" t="n">
        <v>25585</v>
      </c>
      <c r="F583" s="47" t="n">
        <v>25420</v>
      </c>
      <c r="G583" s="47" t="n">
        <v>25517.2</v>
      </c>
      <c r="H583" s="47" t="n">
        <v>25518.5</v>
      </c>
      <c r="I583" s="47" t="n">
        <v>25517.2</v>
      </c>
      <c r="J583" s="48" t="n">
        <v>2106</v>
      </c>
      <c r="K583" s="47" t="n">
        <v>40269.41</v>
      </c>
      <c r="L583" s="48" t="n">
        <v>556650</v>
      </c>
      <c r="M583" s="48" t="n">
        <v>22125</v>
      </c>
      <c r="N583" s="47" t="n">
        <v>25169.5</v>
      </c>
      <c r="O583" s="47" t="n">
        <f aca="false">IF(AND(ISNUMBER(G583),ISNUMBER(N583)),G583-N583,"")</f>
        <v>347.700000000001</v>
      </c>
      <c r="P583" s="49" t="n">
        <f aca="false">IF(ISNUMBER(O583),O583/N583,"")</f>
        <v>0.0138143387830509</v>
      </c>
      <c r="Q583" s="50" t="n">
        <f aca="false">C583-B583</f>
        <v>63</v>
      </c>
      <c r="R583" s="51" t="n">
        <f aca="false">IF(AND(C583=C582,ISNUMBER(G583),ISNUMBER(G582)),(G583/G582-1)*100,"")</f>
        <v>-0.0622721095362433</v>
      </c>
      <c r="S583" s="51" t="n">
        <f aca="false">IF(AND(C583=C582,ISNUMBER(L583),ISNUMBER(L582)),(L583/L582-1)*100,"")</f>
        <v>4.13918899957906</v>
      </c>
      <c r="T583" s="51" t="n">
        <f aca="false">IF(AND(C583=C582,ISNUMBER(G583),ISNUMBER(G582)),G583-G582,"")</f>
        <v>-15.8999999999978</v>
      </c>
      <c r="U583" s="1" t="str">
        <f aca="false">IF(OR(NOT(ISNUMBER(R583)),NOT(ISNUMBER(S583))),"Not classified",IF(AND(R583&gt;0,S583&gt;0),"Long buildup (interpretation)",IF(AND(R583&lt;0,S583&gt;0),"Short buildup (interpretation)",IF(AND(R583&gt;0,S583&lt;0),"Short covering (interpretation)",IF(AND(R583&lt;0,S583&lt;0),"Long unwinding (interpretation)","Neutral")))))</f>
        <v>Short buildup (interpretation)</v>
      </c>
      <c r="V583" s="52" t="str">
        <f aca="false">TEXT(B583,"yyyy-mm")</f>
        <v>2025-09</v>
      </c>
      <c r="W583" s="52" t="n">
        <f aca="false">1+COUNTIFS($B$2:$B$756,B583,$C$2:$C$756,"&lt;"&amp;C583)</f>
        <v>3</v>
      </c>
      <c r="X583" s="53" t="n">
        <f aca="false">IF(AND(ISNUMBER(P583),Q583&gt;0),P583*365/Q583,"")</f>
        <v>0.0800354548541841</v>
      </c>
      <c r="Y583" s="42" t="n">
        <f aca="false">IF(AND(C584=C583,ISNUMBER(R584)),R584,"")</f>
        <v>-0.562757669336766</v>
      </c>
      <c r="Z583" s="52" t="n">
        <f aca="false">IF(AND(W583=1,Q583&gt;Basis_Analysis!$B$3,ISNUMBER(Y583)),1,0)</f>
        <v>0</v>
      </c>
      <c r="AA583" s="43" t="str">
        <f aca="false">IF(W583=1,IF(SUMIFS($L$2:$L$756,$B$2:$B$756,B583,$W$2:$W$756,2)&gt;0,SUMIFS($L$2:$L$756,$B$2:$B$756,B583,$W$2:$W$756,2),""),"")</f>
        <v/>
      </c>
      <c r="AB583" s="54" t="str">
        <f aca="false">IF(AND(W583=1,ISNUMBER(AA583)),L583/(L583+AA583),"")</f>
        <v/>
      </c>
    </row>
    <row r="584" customFormat="false" ht="15" hidden="false" customHeight="true" outlineLevel="0" collapsed="false">
      <c r="A584" s="1" t="s">
        <v>274</v>
      </c>
      <c r="B584" s="46" t="n">
        <v>45924</v>
      </c>
      <c r="C584" s="46" t="n">
        <v>45986</v>
      </c>
      <c r="D584" s="47" t="n">
        <v>25500</v>
      </c>
      <c r="E584" s="47" t="n">
        <v>25500</v>
      </c>
      <c r="F584" s="47" t="n">
        <v>25344</v>
      </c>
      <c r="G584" s="47" t="n">
        <v>25373.6</v>
      </c>
      <c r="H584" s="47" t="n">
        <v>25373</v>
      </c>
      <c r="I584" s="47" t="n">
        <v>25373.6</v>
      </c>
      <c r="J584" s="48" t="n">
        <v>2680</v>
      </c>
      <c r="K584" s="47" t="n">
        <v>51053.39</v>
      </c>
      <c r="L584" s="48" t="n">
        <v>610050</v>
      </c>
      <c r="M584" s="48" t="n">
        <v>53400</v>
      </c>
      <c r="N584" s="47" t="n">
        <v>25056.9</v>
      </c>
      <c r="O584" s="47" t="n">
        <f aca="false">IF(AND(ISNUMBER(G584),ISNUMBER(N584)),G584-N584,"")</f>
        <v>316.699999999997</v>
      </c>
      <c r="P584" s="49" t="n">
        <f aca="false">IF(ISNUMBER(O584),O584/N584,"")</f>
        <v>0.0126392331054519</v>
      </c>
      <c r="Q584" s="50" t="n">
        <f aca="false">C584-B584</f>
        <v>62</v>
      </c>
      <c r="R584" s="51" t="n">
        <f aca="false">IF(AND(C584=C583,ISNUMBER(G584),ISNUMBER(G583)),(G584/G583-1)*100,"")</f>
        <v>-0.562757669336766</v>
      </c>
      <c r="S584" s="51" t="n">
        <f aca="false">IF(AND(C584=C583,ISNUMBER(L584),ISNUMBER(L583)),(L584/L583-1)*100,"")</f>
        <v>9.59310158986797</v>
      </c>
      <c r="T584" s="51" t="n">
        <f aca="false">IF(AND(C584=C583,ISNUMBER(G584),ISNUMBER(G583)),G584-G583,"")</f>
        <v>-143.600000000002</v>
      </c>
      <c r="U584" s="1" t="str">
        <f aca="false">IF(OR(NOT(ISNUMBER(R584)),NOT(ISNUMBER(S584))),"Not classified",IF(AND(R584&gt;0,S584&gt;0),"Long buildup (interpretation)",IF(AND(R584&lt;0,S584&gt;0),"Short buildup (interpretation)",IF(AND(R584&gt;0,S584&lt;0),"Short covering (interpretation)",IF(AND(R584&lt;0,S584&lt;0),"Long unwinding (interpretation)","Neutral")))))</f>
        <v>Short buildup (interpretation)</v>
      </c>
      <c r="V584" s="52" t="str">
        <f aca="false">TEXT(B584,"yyyy-mm")</f>
        <v>2025-09</v>
      </c>
      <c r="W584" s="52" t="n">
        <f aca="false">1+COUNTIFS($B$2:$B$756,B584,$C$2:$C$756,"&lt;"&amp;C584)</f>
        <v>3</v>
      </c>
      <c r="X584" s="53" t="n">
        <f aca="false">IF(AND(ISNUMBER(P584),Q584&gt;0),P584*365/Q584,"")</f>
        <v>0.074408388443386</v>
      </c>
      <c r="Y584" s="42" t="n">
        <f aca="false">IF(AND(C585=C584,ISNUMBER(R585)),R585,"")</f>
        <v>-0.567518996121952</v>
      </c>
      <c r="Z584" s="52" t="n">
        <f aca="false">IF(AND(W584=1,Q584&gt;Basis_Analysis!$B$3,ISNUMBER(Y584)),1,0)</f>
        <v>0</v>
      </c>
      <c r="AA584" s="43" t="str">
        <f aca="false">IF(W584=1,IF(SUMIFS($L$2:$L$756,$B$2:$B$756,B584,$W$2:$W$756,2)&gt;0,SUMIFS($L$2:$L$756,$B$2:$B$756,B584,$W$2:$W$756,2),""),"")</f>
        <v/>
      </c>
      <c r="AB584" s="54" t="str">
        <f aca="false">IF(AND(W584=1,ISNUMBER(AA584)),L584/(L584+AA584),"")</f>
        <v/>
      </c>
    </row>
    <row r="585" customFormat="false" ht="15" hidden="false" customHeight="true" outlineLevel="0" collapsed="false">
      <c r="A585" s="1" t="s">
        <v>274</v>
      </c>
      <c r="B585" s="46" t="n">
        <v>45925</v>
      </c>
      <c r="C585" s="46" t="n">
        <v>45986</v>
      </c>
      <c r="D585" s="47" t="n">
        <v>25351.7</v>
      </c>
      <c r="E585" s="47" t="n">
        <v>25393.7</v>
      </c>
      <c r="F585" s="47" t="n">
        <v>25218.7</v>
      </c>
      <c r="G585" s="47" t="n">
        <v>25229.6</v>
      </c>
      <c r="H585" s="47" t="n">
        <v>25221.9</v>
      </c>
      <c r="I585" s="47" t="n">
        <v>25229.6</v>
      </c>
      <c r="J585" s="48" t="n">
        <v>3513</v>
      </c>
      <c r="K585" s="47" t="n">
        <v>66609.72</v>
      </c>
      <c r="L585" s="48" t="n">
        <v>698550</v>
      </c>
      <c r="M585" s="48" t="n">
        <v>88500</v>
      </c>
      <c r="N585" s="47" t="n">
        <v>24890.85</v>
      </c>
      <c r="O585" s="47" t="n">
        <f aca="false">IF(AND(ISNUMBER(G585),ISNUMBER(N585)),G585-N585,"")</f>
        <v>338.75</v>
      </c>
      <c r="P585" s="49" t="n">
        <f aca="false">IF(ISNUMBER(O585),O585/N585,"")</f>
        <v>0.0136094187221409</v>
      </c>
      <c r="Q585" s="50" t="n">
        <f aca="false">C585-B585</f>
        <v>61</v>
      </c>
      <c r="R585" s="51" t="n">
        <f aca="false">IF(AND(C585=C584,ISNUMBER(G585),ISNUMBER(G584)),(G585/G584-1)*100,"")</f>
        <v>-0.567518996121952</v>
      </c>
      <c r="S585" s="51" t="n">
        <f aca="false">IF(AND(C585=C584,ISNUMBER(L585),ISNUMBER(L584)),(L585/L584-1)*100,"")</f>
        <v>14.507007622326</v>
      </c>
      <c r="T585" s="51" t="n">
        <f aca="false">IF(AND(C585=C584,ISNUMBER(G585),ISNUMBER(G584)),G585-G584,"")</f>
        <v>-144</v>
      </c>
      <c r="U585" s="1" t="str">
        <f aca="false">IF(OR(NOT(ISNUMBER(R585)),NOT(ISNUMBER(S585))),"Not classified",IF(AND(R585&gt;0,S585&gt;0),"Long buildup (interpretation)",IF(AND(R585&lt;0,S585&gt;0),"Short buildup (interpretation)",IF(AND(R585&gt;0,S585&lt;0),"Short covering (interpretation)",IF(AND(R585&lt;0,S585&lt;0),"Long unwinding (interpretation)","Neutral")))))</f>
        <v>Short buildup (interpretation)</v>
      </c>
      <c r="V585" s="52" t="str">
        <f aca="false">TEXT(B585,"yyyy-mm")</f>
        <v>2025-09</v>
      </c>
      <c r="W585" s="52" t="n">
        <f aca="false">1+COUNTIFS($B$2:$B$756,B585,$C$2:$C$756,"&lt;"&amp;C585)</f>
        <v>3</v>
      </c>
      <c r="X585" s="53" t="n">
        <f aca="false">IF(AND(ISNUMBER(P585),Q585&gt;0),P585*365/Q585,"")</f>
        <v>0.0814334071078921</v>
      </c>
      <c r="Y585" s="42" t="n">
        <f aca="false">IF(AND(C586=C585,ISNUMBER(R586)),R586,"")</f>
        <v>-1.12288740209912</v>
      </c>
      <c r="Z585" s="52" t="n">
        <f aca="false">IF(AND(W585=1,Q585&gt;Basis_Analysis!$B$3,ISNUMBER(Y585)),1,0)</f>
        <v>0</v>
      </c>
      <c r="AA585" s="43" t="str">
        <f aca="false">IF(W585=1,IF(SUMIFS($L$2:$L$756,$B$2:$B$756,B585,$W$2:$W$756,2)&gt;0,SUMIFS($L$2:$L$756,$B$2:$B$756,B585,$W$2:$W$756,2),""),"")</f>
        <v/>
      </c>
      <c r="AB585" s="54" t="str">
        <f aca="false">IF(AND(W585=1,ISNUMBER(AA585)),L585/(L585+AA585),"")</f>
        <v/>
      </c>
    </row>
    <row r="586" customFormat="false" ht="15" hidden="false" customHeight="true" outlineLevel="0" collapsed="false">
      <c r="A586" s="1" t="s">
        <v>274</v>
      </c>
      <c r="B586" s="46" t="n">
        <v>45926</v>
      </c>
      <c r="C586" s="46" t="n">
        <v>45986</v>
      </c>
      <c r="D586" s="47" t="n">
        <v>25160.1</v>
      </c>
      <c r="E586" s="47" t="n">
        <v>25172.4</v>
      </c>
      <c r="F586" s="47" t="n">
        <v>24914</v>
      </c>
      <c r="G586" s="47" t="n">
        <v>24946.3</v>
      </c>
      <c r="H586" s="47" t="n">
        <v>24950</v>
      </c>
      <c r="I586" s="47" t="n">
        <v>24946.3</v>
      </c>
      <c r="J586" s="48" t="n">
        <v>5626</v>
      </c>
      <c r="K586" s="47" t="n">
        <v>105632.67</v>
      </c>
      <c r="L586" s="48" t="n">
        <v>839100</v>
      </c>
      <c r="M586" s="48" t="n">
        <v>140550</v>
      </c>
      <c r="N586" s="47" t="n">
        <v>24654.7</v>
      </c>
      <c r="O586" s="47" t="n">
        <f aca="false">IF(AND(ISNUMBER(G586),ISNUMBER(N586)),G586-N586,"")</f>
        <v>291.599999999999</v>
      </c>
      <c r="P586" s="49" t="n">
        <f aca="false">IF(ISNUMBER(O586),O586/N586,"")</f>
        <v>0.0118273594892657</v>
      </c>
      <c r="Q586" s="50" t="n">
        <f aca="false">C586-B586</f>
        <v>60</v>
      </c>
      <c r="R586" s="51" t="n">
        <f aca="false">IF(AND(C586=C585,ISNUMBER(G586),ISNUMBER(G585)),(G586/G585-1)*100,"")</f>
        <v>-1.12288740209912</v>
      </c>
      <c r="S586" s="51" t="n">
        <f aca="false">IF(AND(C586=C585,ISNUMBER(L586),ISNUMBER(L585)),(L586/L585-1)*100,"")</f>
        <v>20.1202490873953</v>
      </c>
      <c r="T586" s="51" t="n">
        <f aca="false">IF(AND(C586=C585,ISNUMBER(G586),ISNUMBER(G585)),G586-G585,"")</f>
        <v>-283.299999999999</v>
      </c>
      <c r="U586" s="1" t="str">
        <f aca="false">IF(OR(NOT(ISNUMBER(R586)),NOT(ISNUMBER(S586))),"Not classified",IF(AND(R586&gt;0,S586&gt;0),"Long buildup (interpretation)",IF(AND(R586&lt;0,S586&gt;0),"Short buildup (interpretation)",IF(AND(R586&gt;0,S586&lt;0),"Short covering (interpretation)",IF(AND(R586&lt;0,S586&lt;0),"Long unwinding (interpretation)","Neutral")))))</f>
        <v>Short buildup (interpretation)</v>
      </c>
      <c r="V586" s="52" t="str">
        <f aca="false">TEXT(B586,"yyyy-mm")</f>
        <v>2025-09</v>
      </c>
      <c r="W586" s="52" t="n">
        <f aca="false">1+COUNTIFS($B$2:$B$756,B586,$C$2:$C$756,"&lt;"&amp;C586)</f>
        <v>3</v>
      </c>
      <c r="X586" s="53" t="n">
        <f aca="false">IF(AND(ISNUMBER(P586),Q586&gt;0),P586*365/Q586,"")</f>
        <v>0.0719497702263662</v>
      </c>
      <c r="Y586" s="42" t="n">
        <f aca="false">IF(AND(C587=C586,ISNUMBER(R587)),R587,"")</f>
        <v>-0.00601291574301444</v>
      </c>
      <c r="Z586" s="52" t="n">
        <f aca="false">IF(AND(W586=1,Q586&gt;Basis_Analysis!$B$3,ISNUMBER(Y586)),1,0)</f>
        <v>0</v>
      </c>
      <c r="AA586" s="43" t="str">
        <f aca="false">IF(W586=1,IF(SUMIFS($L$2:$L$756,$B$2:$B$756,B586,$W$2:$W$756,2)&gt;0,SUMIFS($L$2:$L$756,$B$2:$B$756,B586,$W$2:$W$756,2),""),"")</f>
        <v/>
      </c>
      <c r="AB586" s="54" t="str">
        <f aca="false">IF(AND(W586=1,ISNUMBER(AA586)),L586/(L586+AA586),"")</f>
        <v/>
      </c>
    </row>
    <row r="587" customFormat="false" ht="15" hidden="false" customHeight="true" outlineLevel="0" collapsed="false">
      <c r="A587" s="1" t="s">
        <v>274</v>
      </c>
      <c r="B587" s="46" t="n">
        <v>45929</v>
      </c>
      <c r="C587" s="46" t="n">
        <v>45986</v>
      </c>
      <c r="D587" s="47" t="n">
        <v>25049.7</v>
      </c>
      <c r="E587" s="47" t="n">
        <v>25090</v>
      </c>
      <c r="F587" s="47" t="n">
        <v>24904.1</v>
      </c>
      <c r="G587" s="47" t="n">
        <v>24944.8</v>
      </c>
      <c r="H587" s="47" t="n">
        <v>24963.1</v>
      </c>
      <c r="I587" s="47" t="n">
        <v>24944.8</v>
      </c>
      <c r="J587" s="48" t="n">
        <v>5290</v>
      </c>
      <c r="K587" s="47" t="n">
        <v>99168.74</v>
      </c>
      <c r="L587" s="48" t="n">
        <v>946500</v>
      </c>
      <c r="M587" s="48" t="n">
        <v>107400</v>
      </c>
      <c r="N587" s="47" t="n">
        <v>24634.9</v>
      </c>
      <c r="O587" s="47" t="n">
        <f aca="false">IF(AND(ISNUMBER(G587),ISNUMBER(N587)),G587-N587,"")</f>
        <v>309.899999999998</v>
      </c>
      <c r="P587" s="49" t="n">
        <f aca="false">IF(ISNUMBER(O587),O587/N587,"")</f>
        <v>0.012579714145379</v>
      </c>
      <c r="Q587" s="50" t="n">
        <f aca="false">C587-B587</f>
        <v>57</v>
      </c>
      <c r="R587" s="51" t="n">
        <f aca="false">IF(AND(C587=C586,ISNUMBER(G587),ISNUMBER(G586)),(G587/G586-1)*100,"")</f>
        <v>-0.00601291574301444</v>
      </c>
      <c r="S587" s="51" t="n">
        <f aca="false">IF(AND(C587=C586,ISNUMBER(L587),ISNUMBER(L586)),(L587/L586-1)*100,"")</f>
        <v>12.799427958527</v>
      </c>
      <c r="T587" s="51" t="n">
        <f aca="false">IF(AND(C587=C586,ISNUMBER(G587),ISNUMBER(G586)),G587-G586,"")</f>
        <v>-1.5</v>
      </c>
      <c r="U587" s="1" t="str">
        <f aca="false">IF(OR(NOT(ISNUMBER(R587)),NOT(ISNUMBER(S587))),"Not classified",IF(AND(R587&gt;0,S587&gt;0),"Long buildup (interpretation)",IF(AND(R587&lt;0,S587&gt;0),"Short buildup (interpretation)",IF(AND(R587&gt;0,S587&lt;0),"Short covering (interpretation)",IF(AND(R587&lt;0,S587&lt;0),"Long unwinding (interpretation)","Neutral")))))</f>
        <v>Short buildup (interpretation)</v>
      </c>
      <c r="V587" s="52" t="str">
        <f aca="false">TEXT(B587,"yyyy-mm")</f>
        <v>2025-09</v>
      </c>
      <c r="W587" s="52" t="n">
        <f aca="false">1+COUNTIFS($B$2:$B$756,B587,$C$2:$C$756,"&lt;"&amp;C587)</f>
        <v>3</v>
      </c>
      <c r="X587" s="53" t="n">
        <f aca="false">IF(AND(ISNUMBER(P587),Q587&gt;0),P587*365/Q587,"")</f>
        <v>0.0805543098783043</v>
      </c>
      <c r="Y587" s="42" t="n">
        <f aca="false">IF(AND(C588=C587,ISNUMBER(R588)),R588,"")</f>
        <v>-0.122269972098388</v>
      </c>
      <c r="Z587" s="52" t="n">
        <f aca="false">IF(AND(W587=1,Q587&gt;Basis_Analysis!$B$3,ISNUMBER(Y587)),1,0)</f>
        <v>0</v>
      </c>
      <c r="AA587" s="43" t="str">
        <f aca="false">IF(W587=1,IF(SUMIFS($L$2:$L$756,$B$2:$B$756,B587,$W$2:$W$756,2)&gt;0,SUMIFS($L$2:$L$756,$B$2:$B$756,B587,$W$2:$W$756,2),""),"")</f>
        <v/>
      </c>
      <c r="AB587" s="54" t="str">
        <f aca="false">IF(AND(W587=1,ISNUMBER(AA587)),L587/(L587+AA587),"")</f>
        <v/>
      </c>
    </row>
    <row r="588" customFormat="false" ht="15" hidden="false" customHeight="true" outlineLevel="0" collapsed="false">
      <c r="A588" s="1" t="s">
        <v>274</v>
      </c>
      <c r="B588" s="46" t="n">
        <v>45930</v>
      </c>
      <c r="C588" s="46" t="n">
        <v>45986</v>
      </c>
      <c r="D588" s="47" t="n">
        <v>24958.6</v>
      </c>
      <c r="E588" s="47" t="n">
        <v>25008.9</v>
      </c>
      <c r="F588" s="47" t="n">
        <v>24857.6</v>
      </c>
      <c r="G588" s="47" t="n">
        <v>24914.3</v>
      </c>
      <c r="H588" s="47" t="n">
        <v>24925.7</v>
      </c>
      <c r="I588" s="47" t="n">
        <v>24914.3</v>
      </c>
      <c r="J588" s="48" t="n">
        <v>4755</v>
      </c>
      <c r="K588" s="47" t="n">
        <v>88881.86</v>
      </c>
      <c r="L588" s="48" t="n">
        <v>1079325</v>
      </c>
      <c r="M588" s="48" t="n">
        <v>132825</v>
      </c>
      <c r="N588" s="47" t="n">
        <v>24611.1</v>
      </c>
      <c r="O588" s="47" t="n">
        <f aca="false">IF(AND(ISNUMBER(G588),ISNUMBER(N588)),G588-N588,"")</f>
        <v>303.200000000001</v>
      </c>
      <c r="P588" s="49" t="n">
        <f aca="false">IF(ISNUMBER(O588),O588/N588,"")</f>
        <v>0.0123196443881013</v>
      </c>
      <c r="Q588" s="50" t="n">
        <f aca="false">C588-B588</f>
        <v>56</v>
      </c>
      <c r="R588" s="51" t="n">
        <f aca="false">IF(AND(C588=C587,ISNUMBER(G588),ISNUMBER(G587)),(G588/G587-1)*100,"")</f>
        <v>-0.122269972098388</v>
      </c>
      <c r="S588" s="51" t="n">
        <f aca="false">IF(AND(C588=C587,ISNUMBER(L588),ISNUMBER(L587)),(L588/L587-1)*100,"")</f>
        <v>14.0332805071315</v>
      </c>
      <c r="T588" s="51" t="n">
        <f aca="false">IF(AND(C588=C587,ISNUMBER(G588),ISNUMBER(G587)),G588-G587,"")</f>
        <v>-30.5</v>
      </c>
      <c r="U588" s="1" t="str">
        <f aca="false">IF(OR(NOT(ISNUMBER(R588)),NOT(ISNUMBER(S588))),"Not classified",IF(AND(R588&gt;0,S588&gt;0),"Long buildup (interpretation)",IF(AND(R588&lt;0,S588&gt;0),"Short buildup (interpretation)",IF(AND(R588&gt;0,S588&lt;0),"Short covering (interpretation)",IF(AND(R588&lt;0,S588&lt;0),"Long unwinding (interpretation)","Neutral")))))</f>
        <v>Short buildup (interpretation)</v>
      </c>
      <c r="V588" s="52" t="str">
        <f aca="false">TEXT(B588,"yyyy-mm")</f>
        <v>2025-09</v>
      </c>
      <c r="W588" s="52" t="n">
        <f aca="false">1+COUNTIFS($B$2:$B$756,B588,$C$2:$C$756,"&lt;"&amp;C588)</f>
        <v>3</v>
      </c>
      <c r="X588" s="53" t="n">
        <f aca="false">IF(AND(ISNUMBER(P588),Q588&gt;0),P588*365/Q588,"")</f>
        <v>0.0802976821724462</v>
      </c>
      <c r="Y588" s="42" t="n">
        <f aca="false">IF(AND(C589=C588,ISNUMBER(R589)),R589,"")</f>
        <v>0.71966701853956</v>
      </c>
      <c r="Z588" s="52" t="n">
        <f aca="false">IF(AND(W588=1,Q588&gt;Basis_Analysis!$B$3,ISNUMBER(Y588)),1,0)</f>
        <v>0</v>
      </c>
      <c r="AA588" s="43" t="str">
        <f aca="false">IF(W588=1,IF(SUMIFS($L$2:$L$756,$B$2:$B$756,B588,$W$2:$W$756,2)&gt;0,SUMIFS($L$2:$L$756,$B$2:$B$756,B588,$W$2:$W$756,2),""),"")</f>
        <v/>
      </c>
      <c r="AB588" s="54" t="str">
        <f aca="false">IF(AND(W588=1,ISNUMBER(AA588)),L588/(L588+AA588),"")</f>
        <v/>
      </c>
    </row>
    <row r="589" customFormat="false" ht="15" hidden="false" customHeight="true" outlineLevel="0" collapsed="false">
      <c r="A589" s="1" t="s">
        <v>274</v>
      </c>
      <c r="B589" s="46" t="n">
        <v>45931</v>
      </c>
      <c r="C589" s="46" t="n">
        <v>45986</v>
      </c>
      <c r="D589" s="47" t="n">
        <v>24888</v>
      </c>
      <c r="E589" s="47" t="n">
        <v>25109</v>
      </c>
      <c r="F589" s="47" t="n">
        <v>24870.6</v>
      </c>
      <c r="G589" s="47" t="n">
        <v>25093.6</v>
      </c>
      <c r="H589" s="47" t="n">
        <v>25109</v>
      </c>
      <c r="I589" s="47" t="n">
        <v>25093.6</v>
      </c>
      <c r="J589" s="48" t="n">
        <v>5366</v>
      </c>
      <c r="K589" s="47" t="n">
        <v>100644.94</v>
      </c>
      <c r="L589" s="48" t="n">
        <v>1057050</v>
      </c>
      <c r="M589" s="48" t="n">
        <v>-22275</v>
      </c>
      <c r="N589" s="47" t="n">
        <v>24836.3</v>
      </c>
      <c r="O589" s="47" t="n">
        <f aca="false">IF(AND(ISNUMBER(G589),ISNUMBER(N589)),G589-N589,"")</f>
        <v>257.299999999999</v>
      </c>
      <c r="P589" s="49" t="n">
        <f aca="false">IF(ISNUMBER(O589),O589/N589,"")</f>
        <v>0.0103598362074866</v>
      </c>
      <c r="Q589" s="50" t="n">
        <f aca="false">C589-B589</f>
        <v>55</v>
      </c>
      <c r="R589" s="51" t="n">
        <f aca="false">IF(AND(C589=C588,ISNUMBER(G589),ISNUMBER(G588)),(G589/G588-1)*100,"")</f>
        <v>0.71966701853956</v>
      </c>
      <c r="S589" s="51" t="n">
        <f aca="false">IF(AND(C589=C588,ISNUMBER(L589),ISNUMBER(L588)),(L589/L588-1)*100,"")</f>
        <v>-2.06378986866792</v>
      </c>
      <c r="T589" s="51" t="n">
        <f aca="false">IF(AND(C589=C588,ISNUMBER(G589),ISNUMBER(G588)),G589-G588,"")</f>
        <v>179.299999999999</v>
      </c>
      <c r="U589" s="1" t="str">
        <f aca="false">IF(OR(NOT(ISNUMBER(R589)),NOT(ISNUMBER(S589))),"Not classified",IF(AND(R589&gt;0,S589&gt;0),"Long buildup (interpretation)",IF(AND(R589&lt;0,S589&gt;0),"Short buildup (interpretation)",IF(AND(R589&gt;0,S589&lt;0),"Short covering (interpretation)",IF(AND(R589&lt;0,S589&lt;0),"Long unwinding (interpretation)","Neutral")))))</f>
        <v>Short covering (interpretation)</v>
      </c>
      <c r="V589" s="52" t="str">
        <f aca="false">TEXT(B589,"yyyy-mm")</f>
        <v>2025-10</v>
      </c>
      <c r="W589" s="52" t="n">
        <f aca="false">1+COUNTIFS($B$2:$B$756,B589,$C$2:$C$756,"&lt;"&amp;C589)</f>
        <v>2</v>
      </c>
      <c r="X589" s="53" t="n">
        <f aca="false">IF(AND(ISNUMBER(P589),Q589&gt;0),P589*365/Q589,"")</f>
        <v>0.0687516402860474</v>
      </c>
      <c r="Y589" s="42" t="n">
        <f aca="false">IF(AND(C590=C589,ISNUMBER(R590)),R590,"")</f>
        <v>0.174546497911821</v>
      </c>
      <c r="Z589" s="52" t="n">
        <f aca="false">IF(AND(W589=1,Q589&gt;Basis_Analysis!$B$3,ISNUMBER(Y589)),1,0)</f>
        <v>0</v>
      </c>
      <c r="AA589" s="43" t="str">
        <f aca="false">IF(W589=1,IF(SUMIFS($L$2:$L$756,$B$2:$B$756,B589,$W$2:$W$756,2)&gt;0,SUMIFS($L$2:$L$756,$B$2:$B$756,B589,$W$2:$W$756,2),""),"")</f>
        <v/>
      </c>
      <c r="AB589" s="54" t="str">
        <f aca="false">IF(AND(W589=1,ISNUMBER(AA589)),L589/(L589+AA589),"")</f>
        <v/>
      </c>
    </row>
    <row r="590" customFormat="false" ht="15" hidden="false" customHeight="true" outlineLevel="0" collapsed="false">
      <c r="A590" s="1" t="s">
        <v>274</v>
      </c>
      <c r="B590" s="46" t="n">
        <v>45933</v>
      </c>
      <c r="C590" s="46" t="n">
        <v>45986</v>
      </c>
      <c r="D590" s="47" t="n">
        <v>25083.6</v>
      </c>
      <c r="E590" s="47" t="n">
        <v>25146.9</v>
      </c>
      <c r="F590" s="47" t="n">
        <v>25012</v>
      </c>
      <c r="G590" s="47" t="n">
        <v>25137.4</v>
      </c>
      <c r="H590" s="47" t="n">
        <v>25142</v>
      </c>
      <c r="I590" s="47" t="n">
        <v>25137.4</v>
      </c>
      <c r="J590" s="48" t="n">
        <v>3358</v>
      </c>
      <c r="K590" s="47" t="n">
        <v>63160.25</v>
      </c>
      <c r="L590" s="48" t="n">
        <v>1069950</v>
      </c>
      <c r="M590" s="48" t="n">
        <v>12900</v>
      </c>
      <c r="N590" s="47" t="n">
        <v>24894.25</v>
      </c>
      <c r="O590" s="47" t="n">
        <f aca="false">IF(AND(ISNUMBER(G590),ISNUMBER(N590)),G590-N590,"")</f>
        <v>243.150000000001</v>
      </c>
      <c r="P590" s="49" t="n">
        <f aca="false">IF(ISNUMBER(O590),O590/N590,"")</f>
        <v>0.00976731574560396</v>
      </c>
      <c r="Q590" s="50" t="n">
        <f aca="false">C590-B590</f>
        <v>53</v>
      </c>
      <c r="R590" s="51" t="n">
        <f aca="false">IF(AND(C590=C589,ISNUMBER(G590),ISNUMBER(G589)),(G590/G589-1)*100,"")</f>
        <v>0.174546497911821</v>
      </c>
      <c r="S590" s="51" t="n">
        <f aca="false">IF(AND(C590=C589,ISNUMBER(L590),ISNUMBER(L589)),(L590/L589-1)*100,"")</f>
        <v>1.22037746558819</v>
      </c>
      <c r="T590" s="51" t="n">
        <f aca="false">IF(AND(C590=C589,ISNUMBER(G590),ISNUMBER(G589)),G590-G589,"")</f>
        <v>43.8000000000029</v>
      </c>
      <c r="U590" s="1" t="str">
        <f aca="false">IF(OR(NOT(ISNUMBER(R590)),NOT(ISNUMBER(S590))),"Not classified",IF(AND(R590&gt;0,S590&gt;0),"Long buildup (interpretation)",IF(AND(R590&lt;0,S590&gt;0),"Short buildup (interpretation)",IF(AND(R590&gt;0,S590&lt;0),"Short covering (interpretation)",IF(AND(R590&lt;0,S590&lt;0),"Long unwinding (interpretation)","Neutral")))))</f>
        <v>Long buildup (interpretation)</v>
      </c>
      <c r="V590" s="52" t="str">
        <f aca="false">TEXT(B590,"yyyy-mm")</f>
        <v>2025-10</v>
      </c>
      <c r="W590" s="52" t="n">
        <f aca="false">1+COUNTIFS($B$2:$B$756,B590,$C$2:$C$756,"&lt;"&amp;C590)</f>
        <v>2</v>
      </c>
      <c r="X590" s="53" t="n">
        <f aca="false">IF(AND(ISNUMBER(P590),Q590&gt;0),P590*365/Q590,"")</f>
        <v>0.0672654763612348</v>
      </c>
      <c r="Y590" s="42" t="n">
        <f aca="false">IF(AND(C591=C590,ISNUMBER(R591)),R591,"")</f>
        <v>0.703334473732364</v>
      </c>
      <c r="Z590" s="52" t="n">
        <f aca="false">IF(AND(W590=1,Q590&gt;Basis_Analysis!$B$3,ISNUMBER(Y590)),1,0)</f>
        <v>0</v>
      </c>
      <c r="AA590" s="43" t="str">
        <f aca="false">IF(W590=1,IF(SUMIFS($L$2:$L$756,$B$2:$B$756,B590,$W$2:$W$756,2)&gt;0,SUMIFS($L$2:$L$756,$B$2:$B$756,B590,$W$2:$W$756,2),""),"")</f>
        <v/>
      </c>
      <c r="AB590" s="54" t="str">
        <f aca="false">IF(AND(W590=1,ISNUMBER(AA590)),L590/(L590+AA590),"")</f>
        <v/>
      </c>
    </row>
    <row r="591" customFormat="false" ht="15" hidden="false" customHeight="true" outlineLevel="0" collapsed="false">
      <c r="A591" s="1" t="s">
        <v>274</v>
      </c>
      <c r="B591" s="46" t="n">
        <v>45936</v>
      </c>
      <c r="C591" s="46" t="n">
        <v>45986</v>
      </c>
      <c r="D591" s="47" t="n">
        <v>25137.5</v>
      </c>
      <c r="E591" s="47" t="n">
        <v>25325</v>
      </c>
      <c r="F591" s="47" t="n">
        <v>25103</v>
      </c>
      <c r="G591" s="47" t="n">
        <v>25314.2</v>
      </c>
      <c r="H591" s="47" t="n">
        <v>25302.3</v>
      </c>
      <c r="I591" s="47" t="n">
        <v>25314.2</v>
      </c>
      <c r="J591" s="48" t="n">
        <v>4636</v>
      </c>
      <c r="K591" s="47" t="n">
        <v>87757.8</v>
      </c>
      <c r="L591" s="48" t="n">
        <v>1101375</v>
      </c>
      <c r="M591" s="48" t="n">
        <v>31425</v>
      </c>
      <c r="N591" s="47" t="n">
        <v>25077.65</v>
      </c>
      <c r="O591" s="47" t="n">
        <f aca="false">IF(AND(ISNUMBER(G591),ISNUMBER(N591)),G591-N591,"")</f>
        <v>236.549999999999</v>
      </c>
      <c r="P591" s="49" t="n">
        <f aca="false">IF(ISNUMBER(O591),O591/N591,"")</f>
        <v>0.00943270202750255</v>
      </c>
      <c r="Q591" s="50" t="n">
        <f aca="false">C591-B591</f>
        <v>50</v>
      </c>
      <c r="R591" s="51" t="n">
        <f aca="false">IF(AND(C591=C590,ISNUMBER(G591),ISNUMBER(G590)),(G591/G590-1)*100,"")</f>
        <v>0.703334473732364</v>
      </c>
      <c r="S591" s="51" t="n">
        <f aca="false">IF(AND(C591=C590,ISNUMBER(L591),ISNUMBER(L590)),(L591/L590-1)*100,"")</f>
        <v>2.937053133324</v>
      </c>
      <c r="T591" s="51" t="n">
        <f aca="false">IF(AND(C591=C590,ISNUMBER(G591),ISNUMBER(G590)),G591-G590,"")</f>
        <v>176.799999999999</v>
      </c>
      <c r="U591" s="1" t="str">
        <f aca="false">IF(OR(NOT(ISNUMBER(R591)),NOT(ISNUMBER(S591))),"Not classified",IF(AND(R591&gt;0,S591&gt;0),"Long buildup (interpretation)",IF(AND(R591&lt;0,S591&gt;0),"Short buildup (interpretation)",IF(AND(R591&gt;0,S591&lt;0),"Short covering (interpretation)",IF(AND(R591&lt;0,S591&lt;0),"Long unwinding (interpretation)","Neutral")))))</f>
        <v>Long buildup (interpretation)</v>
      </c>
      <c r="V591" s="52" t="str">
        <f aca="false">TEXT(B591,"yyyy-mm")</f>
        <v>2025-10</v>
      </c>
      <c r="W591" s="52" t="n">
        <f aca="false">1+COUNTIFS($B$2:$B$756,B591,$C$2:$C$756,"&lt;"&amp;C591)</f>
        <v>2</v>
      </c>
      <c r="X591" s="53" t="n">
        <f aca="false">IF(AND(ISNUMBER(P591),Q591&gt;0),P591*365/Q591,"")</f>
        <v>0.0688587248007686</v>
      </c>
      <c r="Y591" s="42" t="n">
        <f aca="false">IF(AND(C592=C591,ISNUMBER(R592)),R592,"")</f>
        <v>0.165519747809517</v>
      </c>
      <c r="Z591" s="52" t="n">
        <f aca="false">IF(AND(W591=1,Q591&gt;Basis_Analysis!$B$3,ISNUMBER(Y591)),1,0)</f>
        <v>0</v>
      </c>
      <c r="AA591" s="43" t="str">
        <f aca="false">IF(W591=1,IF(SUMIFS($L$2:$L$756,$B$2:$B$756,B591,$W$2:$W$756,2)&gt;0,SUMIFS($L$2:$L$756,$B$2:$B$756,B591,$W$2:$W$756,2),""),"")</f>
        <v/>
      </c>
      <c r="AB591" s="54" t="str">
        <f aca="false">IF(AND(W591=1,ISNUMBER(AA591)),L591/(L591+AA591),"")</f>
        <v/>
      </c>
    </row>
    <row r="592" customFormat="false" ht="15" hidden="false" customHeight="true" outlineLevel="0" collapsed="false">
      <c r="A592" s="1" t="s">
        <v>274</v>
      </c>
      <c r="B592" s="46" t="n">
        <v>45937</v>
      </c>
      <c r="C592" s="46" t="n">
        <v>45986</v>
      </c>
      <c r="D592" s="47" t="n">
        <v>25334.9</v>
      </c>
      <c r="E592" s="47" t="n">
        <v>25439.8</v>
      </c>
      <c r="F592" s="47" t="n">
        <v>25306.6</v>
      </c>
      <c r="G592" s="47" t="n">
        <v>25356.1</v>
      </c>
      <c r="H592" s="47" t="n">
        <v>25361</v>
      </c>
      <c r="I592" s="47" t="n">
        <v>25356.1</v>
      </c>
      <c r="J592" s="48" t="n">
        <v>4377</v>
      </c>
      <c r="K592" s="47" t="n">
        <v>83310.95</v>
      </c>
      <c r="L592" s="48" t="n">
        <v>1105950</v>
      </c>
      <c r="M592" s="48" t="n">
        <v>4575</v>
      </c>
      <c r="N592" s="47" t="n">
        <v>25108.3</v>
      </c>
      <c r="O592" s="47" t="n">
        <f aca="false">IF(AND(ISNUMBER(G592),ISNUMBER(N592)),G592-N592,"")</f>
        <v>247.799999999999</v>
      </c>
      <c r="P592" s="49" t="n">
        <f aca="false">IF(ISNUMBER(O592),O592/N592,"")</f>
        <v>0.00986924642448908</v>
      </c>
      <c r="Q592" s="50" t="n">
        <f aca="false">C592-B592</f>
        <v>49</v>
      </c>
      <c r="R592" s="51" t="n">
        <f aca="false">IF(AND(C592=C591,ISNUMBER(G592),ISNUMBER(G591)),(G592/G591-1)*100,"")</f>
        <v>0.165519747809517</v>
      </c>
      <c r="S592" s="51" t="n">
        <f aca="false">IF(AND(C592=C591,ISNUMBER(L592),ISNUMBER(L591)),(L592/L591-1)*100,"")</f>
        <v>0.415389853592107</v>
      </c>
      <c r="T592" s="51" t="n">
        <f aca="false">IF(AND(C592=C591,ISNUMBER(G592),ISNUMBER(G591)),G592-G591,"")</f>
        <v>41.8999999999978</v>
      </c>
      <c r="U592" s="1" t="str">
        <f aca="false">IF(OR(NOT(ISNUMBER(R592)),NOT(ISNUMBER(S592))),"Not classified",IF(AND(R592&gt;0,S592&gt;0),"Long buildup (interpretation)",IF(AND(R592&lt;0,S592&gt;0),"Short buildup (interpretation)",IF(AND(R592&gt;0,S592&lt;0),"Short covering (interpretation)",IF(AND(R592&lt;0,S592&lt;0),"Long unwinding (interpretation)","Neutral")))))</f>
        <v>Long buildup (interpretation)</v>
      </c>
      <c r="V592" s="52" t="str">
        <f aca="false">TEXT(B592,"yyyy-mm")</f>
        <v>2025-10</v>
      </c>
      <c r="W592" s="52" t="n">
        <f aca="false">1+COUNTIFS($B$2:$B$756,B592,$C$2:$C$756,"&lt;"&amp;C592)</f>
        <v>2</v>
      </c>
      <c r="X592" s="53" t="n">
        <f aca="false">IF(AND(ISNUMBER(P592),Q592&gt;0),P592*365/Q592,"")</f>
        <v>0.0735158152028269</v>
      </c>
      <c r="Y592" s="42" t="n">
        <f aca="false">IF(AND(C593=C592,ISNUMBER(R593)),R593,"")</f>
        <v>-0.42751053987008</v>
      </c>
      <c r="Z592" s="52" t="n">
        <f aca="false">IF(AND(W592=1,Q592&gt;Basis_Analysis!$B$3,ISNUMBER(Y592)),1,0)</f>
        <v>0</v>
      </c>
      <c r="AA592" s="43" t="str">
        <f aca="false">IF(W592=1,IF(SUMIFS($L$2:$L$756,$B$2:$B$756,B592,$W$2:$W$756,2)&gt;0,SUMIFS($L$2:$L$756,$B$2:$B$756,B592,$W$2:$W$756,2),""),"")</f>
        <v/>
      </c>
      <c r="AB592" s="54" t="str">
        <f aca="false">IF(AND(W592=1,ISNUMBER(AA592)),L592/(L592+AA592),"")</f>
        <v/>
      </c>
    </row>
    <row r="593" customFormat="false" ht="15" hidden="false" customHeight="true" outlineLevel="0" collapsed="false">
      <c r="A593" s="1" t="s">
        <v>274</v>
      </c>
      <c r="B593" s="46" t="n">
        <v>45938</v>
      </c>
      <c r="C593" s="46" t="n">
        <v>45986</v>
      </c>
      <c r="D593" s="47" t="n">
        <v>25365.1</v>
      </c>
      <c r="E593" s="47" t="n">
        <v>25415</v>
      </c>
      <c r="F593" s="47" t="n">
        <v>25222</v>
      </c>
      <c r="G593" s="47" t="n">
        <v>25247.7</v>
      </c>
      <c r="H593" s="47" t="n">
        <v>25252.5</v>
      </c>
      <c r="I593" s="47" t="n">
        <v>25247.7</v>
      </c>
      <c r="J593" s="48" t="n">
        <v>4312</v>
      </c>
      <c r="K593" s="47" t="n">
        <v>81836.45</v>
      </c>
      <c r="L593" s="48" t="n">
        <v>1135800</v>
      </c>
      <c r="M593" s="48" t="n">
        <v>29850</v>
      </c>
      <c r="N593" s="47" t="n">
        <v>25046.15</v>
      </c>
      <c r="O593" s="47" t="n">
        <f aca="false">IF(AND(ISNUMBER(G593),ISNUMBER(N593)),G593-N593,"")</f>
        <v>201.549999999999</v>
      </c>
      <c r="P593" s="49" t="n">
        <f aca="false">IF(ISNUMBER(O593),O593/N593,"")</f>
        <v>0.00804714497038464</v>
      </c>
      <c r="Q593" s="50" t="n">
        <f aca="false">C593-B593</f>
        <v>48</v>
      </c>
      <c r="R593" s="51" t="n">
        <f aca="false">IF(AND(C593=C592,ISNUMBER(G593),ISNUMBER(G592)),(G593/G592-1)*100,"")</f>
        <v>-0.42751053987008</v>
      </c>
      <c r="S593" s="51" t="n">
        <f aca="false">IF(AND(C593=C592,ISNUMBER(L593),ISNUMBER(L592)),(L593/L592-1)*100,"")</f>
        <v>2.69903702699037</v>
      </c>
      <c r="T593" s="51" t="n">
        <f aca="false">IF(AND(C593=C592,ISNUMBER(G593),ISNUMBER(G592)),G593-G592,"")</f>
        <v>-108.399999999998</v>
      </c>
      <c r="U593" s="1" t="str">
        <f aca="false">IF(OR(NOT(ISNUMBER(R593)),NOT(ISNUMBER(S593))),"Not classified",IF(AND(R593&gt;0,S593&gt;0),"Long buildup (interpretation)",IF(AND(R593&lt;0,S593&gt;0),"Short buildup (interpretation)",IF(AND(R593&gt;0,S593&lt;0),"Short covering (interpretation)",IF(AND(R593&lt;0,S593&lt;0),"Long unwinding (interpretation)","Neutral")))))</f>
        <v>Short buildup (interpretation)</v>
      </c>
      <c r="V593" s="52" t="str">
        <f aca="false">TEXT(B593,"yyyy-mm")</f>
        <v>2025-10</v>
      </c>
      <c r="W593" s="52" t="n">
        <f aca="false">1+COUNTIFS($B$2:$B$756,B593,$C$2:$C$756,"&lt;"&amp;C593)</f>
        <v>2</v>
      </c>
      <c r="X593" s="53" t="n">
        <f aca="false">IF(AND(ISNUMBER(P593),Q593&gt;0),P593*365/Q593,"")</f>
        <v>0.0611918315456332</v>
      </c>
      <c r="Y593" s="42" t="n">
        <f aca="false">IF(AND(C594=C593,ISNUMBER(R594)),R594,"")</f>
        <v>0.615105534365501</v>
      </c>
      <c r="Z593" s="52" t="n">
        <f aca="false">IF(AND(W593=1,Q593&gt;Basis_Analysis!$B$3,ISNUMBER(Y593)),1,0)</f>
        <v>0</v>
      </c>
      <c r="AA593" s="43" t="str">
        <f aca="false">IF(W593=1,IF(SUMIFS($L$2:$L$756,$B$2:$B$756,B593,$W$2:$W$756,2)&gt;0,SUMIFS($L$2:$L$756,$B$2:$B$756,B593,$W$2:$W$756,2),""),"")</f>
        <v/>
      </c>
      <c r="AB593" s="54" t="str">
        <f aca="false">IF(AND(W593=1,ISNUMBER(AA593)),L593/(L593+AA593),"")</f>
        <v/>
      </c>
    </row>
    <row r="594" customFormat="false" ht="15" hidden="false" customHeight="true" outlineLevel="0" collapsed="false">
      <c r="A594" s="1" t="s">
        <v>274</v>
      </c>
      <c r="B594" s="46" t="n">
        <v>45939</v>
      </c>
      <c r="C594" s="46" t="n">
        <v>45986</v>
      </c>
      <c r="D594" s="47" t="n">
        <v>25265.8</v>
      </c>
      <c r="E594" s="47" t="n">
        <v>25418.4</v>
      </c>
      <c r="F594" s="47" t="n">
        <v>25253.7</v>
      </c>
      <c r="G594" s="47" t="n">
        <v>25403</v>
      </c>
      <c r="H594" s="47" t="n">
        <v>25408</v>
      </c>
      <c r="I594" s="47" t="n">
        <v>25403</v>
      </c>
      <c r="J594" s="48" t="n">
        <v>3302</v>
      </c>
      <c r="K594" s="47" t="n">
        <v>62798.51</v>
      </c>
      <c r="L594" s="48" t="n">
        <v>1147050</v>
      </c>
      <c r="M594" s="48" t="n">
        <v>11250</v>
      </c>
      <c r="N594" s="47" t="n">
        <v>25181.8</v>
      </c>
      <c r="O594" s="47" t="n">
        <f aca="false">IF(AND(ISNUMBER(G594),ISNUMBER(N594)),G594-N594,"")</f>
        <v>221.200000000001</v>
      </c>
      <c r="P594" s="49" t="n">
        <f aca="false">IF(ISNUMBER(O594),O594/N594,"")</f>
        <v>0.00878412186579199</v>
      </c>
      <c r="Q594" s="50" t="n">
        <f aca="false">C594-B594</f>
        <v>47</v>
      </c>
      <c r="R594" s="51" t="n">
        <f aca="false">IF(AND(C594=C593,ISNUMBER(G594),ISNUMBER(G593)),(G594/G593-1)*100,"")</f>
        <v>0.615105534365501</v>
      </c>
      <c r="S594" s="51" t="n">
        <f aca="false">IF(AND(C594=C593,ISNUMBER(L594),ISNUMBER(L593)),(L594/L593-1)*100,"")</f>
        <v>0.990491283676698</v>
      </c>
      <c r="T594" s="51" t="n">
        <f aca="false">IF(AND(C594=C593,ISNUMBER(G594),ISNUMBER(G593)),G594-G593,"")</f>
        <v>155.299999999999</v>
      </c>
      <c r="U594" s="1" t="str">
        <f aca="false">IF(OR(NOT(ISNUMBER(R594)),NOT(ISNUMBER(S594))),"Not classified",IF(AND(R594&gt;0,S594&gt;0),"Long buildup (interpretation)",IF(AND(R594&lt;0,S594&gt;0),"Short buildup (interpretation)",IF(AND(R594&gt;0,S594&lt;0),"Short covering (interpretation)",IF(AND(R594&lt;0,S594&lt;0),"Long unwinding (interpretation)","Neutral")))))</f>
        <v>Long buildup (interpretation)</v>
      </c>
      <c r="V594" s="52" t="str">
        <f aca="false">TEXT(B594,"yyyy-mm")</f>
        <v>2025-10</v>
      </c>
      <c r="W594" s="52" t="n">
        <f aca="false">1+COUNTIFS($B$2:$B$756,B594,$C$2:$C$756,"&lt;"&amp;C594)</f>
        <v>2</v>
      </c>
      <c r="X594" s="53" t="n">
        <f aca="false">IF(AND(ISNUMBER(P594),Q594&gt;0),P594*365/Q594,"")</f>
        <v>0.0682171166173208</v>
      </c>
      <c r="Y594" s="42" t="n">
        <f aca="false">IF(AND(C595=C594,ISNUMBER(R595)),R595,"")</f>
        <v>0.539700035428892</v>
      </c>
      <c r="Z594" s="52" t="n">
        <f aca="false">IF(AND(W594=1,Q594&gt;Basis_Analysis!$B$3,ISNUMBER(Y594)),1,0)</f>
        <v>0</v>
      </c>
      <c r="AA594" s="43" t="str">
        <f aca="false">IF(W594=1,IF(SUMIFS($L$2:$L$756,$B$2:$B$756,B594,$W$2:$W$756,2)&gt;0,SUMIFS($L$2:$L$756,$B$2:$B$756,B594,$W$2:$W$756,2),""),"")</f>
        <v/>
      </c>
      <c r="AB594" s="54" t="str">
        <f aca="false">IF(AND(W594=1,ISNUMBER(AA594)),L594/(L594+AA594),"")</f>
        <v/>
      </c>
    </row>
    <row r="595" customFormat="false" ht="15" hidden="false" customHeight="true" outlineLevel="0" collapsed="false">
      <c r="A595" s="1" t="s">
        <v>274</v>
      </c>
      <c r="B595" s="46" t="n">
        <v>45940</v>
      </c>
      <c r="C595" s="46" t="n">
        <v>45986</v>
      </c>
      <c r="D595" s="47" t="n">
        <v>25401.3</v>
      </c>
      <c r="E595" s="47" t="n">
        <v>25585</v>
      </c>
      <c r="F595" s="47" t="n">
        <v>25395</v>
      </c>
      <c r="G595" s="47" t="n">
        <v>25540.1</v>
      </c>
      <c r="H595" s="47" t="n">
        <v>25543.3</v>
      </c>
      <c r="I595" s="47" t="n">
        <v>25540.1</v>
      </c>
      <c r="J595" s="48" t="n">
        <v>5375</v>
      </c>
      <c r="K595" s="47" t="n">
        <v>102901.36</v>
      </c>
      <c r="L595" s="48" t="n">
        <v>1245375</v>
      </c>
      <c r="M595" s="48" t="n">
        <v>98325</v>
      </c>
      <c r="N595" s="47" t="n">
        <v>25285.35</v>
      </c>
      <c r="O595" s="47" t="n">
        <f aca="false">IF(AND(ISNUMBER(G595),ISNUMBER(N595)),G595-N595,"")</f>
        <v>254.75</v>
      </c>
      <c r="P595" s="49" t="n">
        <f aca="false">IF(ISNUMBER(O595),O595/N595,"")</f>
        <v>0.0100750039054235</v>
      </c>
      <c r="Q595" s="50" t="n">
        <f aca="false">C595-B595</f>
        <v>46</v>
      </c>
      <c r="R595" s="51" t="n">
        <f aca="false">IF(AND(C595=C594,ISNUMBER(G595),ISNUMBER(G594)),(G595/G594-1)*100,"")</f>
        <v>0.539700035428892</v>
      </c>
      <c r="S595" s="51" t="n">
        <f aca="false">IF(AND(C595=C594,ISNUMBER(L595),ISNUMBER(L594)),(L595/L594-1)*100,"")</f>
        <v>8.57198901530012</v>
      </c>
      <c r="T595" s="51" t="n">
        <f aca="false">IF(AND(C595=C594,ISNUMBER(G595),ISNUMBER(G594)),G595-G594,"")</f>
        <v>137.099999999999</v>
      </c>
      <c r="U595" s="1" t="str">
        <f aca="false">IF(OR(NOT(ISNUMBER(R595)),NOT(ISNUMBER(S595))),"Not classified",IF(AND(R595&gt;0,S595&gt;0),"Long buildup (interpretation)",IF(AND(R595&lt;0,S595&gt;0),"Short buildup (interpretation)",IF(AND(R595&gt;0,S595&lt;0),"Short covering (interpretation)",IF(AND(R595&lt;0,S595&lt;0),"Long unwinding (interpretation)","Neutral")))))</f>
        <v>Long buildup (interpretation)</v>
      </c>
      <c r="V595" s="52" t="str">
        <f aca="false">TEXT(B595,"yyyy-mm")</f>
        <v>2025-10</v>
      </c>
      <c r="W595" s="52" t="n">
        <f aca="false">1+COUNTIFS($B$2:$B$756,B595,$C$2:$C$756,"&lt;"&amp;C595)</f>
        <v>2</v>
      </c>
      <c r="X595" s="53" t="n">
        <f aca="false">IF(AND(ISNUMBER(P595),Q595&gt;0),P595*365/Q595,"")</f>
        <v>0.0799429657712951</v>
      </c>
      <c r="Y595" s="42" t="n">
        <f aca="false">IF(AND(C596=C595,ISNUMBER(R596)),R596,"")</f>
        <v>-0.368440217540256</v>
      </c>
      <c r="Z595" s="52" t="n">
        <f aca="false">IF(AND(W595=1,Q595&gt;Basis_Analysis!$B$3,ISNUMBER(Y595)),1,0)</f>
        <v>0</v>
      </c>
      <c r="AA595" s="43" t="str">
        <f aca="false">IF(W595=1,IF(SUMIFS($L$2:$L$756,$B$2:$B$756,B595,$W$2:$W$756,2)&gt;0,SUMIFS($L$2:$L$756,$B$2:$B$756,B595,$W$2:$W$756,2),""),"")</f>
        <v/>
      </c>
      <c r="AB595" s="54" t="str">
        <f aca="false">IF(AND(W595=1,ISNUMBER(AA595)),L595/(L595+AA595),"")</f>
        <v/>
      </c>
    </row>
    <row r="596" customFormat="false" ht="15" hidden="false" customHeight="true" outlineLevel="0" collapsed="false">
      <c r="A596" s="1" t="s">
        <v>274</v>
      </c>
      <c r="B596" s="46" t="n">
        <v>45943</v>
      </c>
      <c r="C596" s="46" t="n">
        <v>45986</v>
      </c>
      <c r="D596" s="47" t="n">
        <v>25454.3</v>
      </c>
      <c r="E596" s="47" t="n">
        <v>25477.9</v>
      </c>
      <c r="F596" s="47" t="n">
        <v>25370</v>
      </c>
      <c r="G596" s="47" t="n">
        <v>25446</v>
      </c>
      <c r="H596" s="47" t="n">
        <v>25452</v>
      </c>
      <c r="I596" s="47" t="n">
        <v>25446</v>
      </c>
      <c r="J596" s="48" t="n">
        <v>5410</v>
      </c>
      <c r="K596" s="47" t="n">
        <v>103126.08</v>
      </c>
      <c r="L596" s="48" t="n">
        <v>1328700</v>
      </c>
      <c r="M596" s="48" t="n">
        <v>83325</v>
      </c>
      <c r="N596" s="47" t="n">
        <v>25227.35</v>
      </c>
      <c r="O596" s="47" t="n">
        <f aca="false">IF(AND(ISNUMBER(G596),ISNUMBER(N596)),G596-N596,"")</f>
        <v>218.650000000001</v>
      </c>
      <c r="P596" s="49" t="n">
        <f aca="false">IF(ISNUMBER(O596),O596/N596,"")</f>
        <v>0.00866718065908633</v>
      </c>
      <c r="Q596" s="50" t="n">
        <f aca="false">C596-B596</f>
        <v>43</v>
      </c>
      <c r="R596" s="51" t="n">
        <f aca="false">IF(AND(C596=C595,ISNUMBER(G596),ISNUMBER(G595)),(G596/G595-1)*100,"")</f>
        <v>-0.368440217540256</v>
      </c>
      <c r="S596" s="51" t="n">
        <f aca="false">IF(AND(C596=C595,ISNUMBER(L596),ISNUMBER(L595)),(L596/L595-1)*100,"")</f>
        <v>6.69075579644685</v>
      </c>
      <c r="T596" s="51" t="n">
        <f aca="false">IF(AND(C596=C595,ISNUMBER(G596),ISNUMBER(G595)),G596-G595,"")</f>
        <v>-94.0999999999985</v>
      </c>
      <c r="U596" s="1" t="str">
        <f aca="false">IF(OR(NOT(ISNUMBER(R596)),NOT(ISNUMBER(S596))),"Not classified",IF(AND(R596&gt;0,S596&gt;0),"Long buildup (interpretation)",IF(AND(R596&lt;0,S596&gt;0),"Short buildup (interpretation)",IF(AND(R596&gt;0,S596&lt;0),"Short covering (interpretation)",IF(AND(R596&lt;0,S596&lt;0),"Long unwinding (interpretation)","Neutral")))))</f>
        <v>Short buildup (interpretation)</v>
      </c>
      <c r="V596" s="52" t="str">
        <f aca="false">TEXT(B596,"yyyy-mm")</f>
        <v>2025-10</v>
      </c>
      <c r="W596" s="52" t="n">
        <f aca="false">1+COUNTIFS($B$2:$B$756,B596,$C$2:$C$756,"&lt;"&amp;C596)</f>
        <v>2</v>
      </c>
      <c r="X596" s="53" t="n">
        <f aca="false">IF(AND(ISNUMBER(P596),Q596&gt;0),P596*365/Q596,"")</f>
        <v>0.0735702544317793</v>
      </c>
      <c r="Y596" s="42" t="n">
        <f aca="false">IF(AND(C597=C596,ISNUMBER(R597)),R597,"")</f>
        <v>-0.436610862218023</v>
      </c>
      <c r="Z596" s="52" t="n">
        <f aca="false">IF(AND(W596=1,Q596&gt;Basis_Analysis!$B$3,ISNUMBER(Y596)),1,0)</f>
        <v>0</v>
      </c>
      <c r="AA596" s="43" t="str">
        <f aca="false">IF(W596=1,IF(SUMIFS($L$2:$L$756,$B$2:$B$756,B596,$W$2:$W$756,2)&gt;0,SUMIFS($L$2:$L$756,$B$2:$B$756,B596,$W$2:$W$756,2),""),"")</f>
        <v/>
      </c>
      <c r="AB596" s="54" t="str">
        <f aca="false">IF(AND(W596=1,ISNUMBER(AA596)),L596/(L596+AA596),"")</f>
        <v/>
      </c>
    </row>
    <row r="597" customFormat="false" ht="15" hidden="false" customHeight="true" outlineLevel="0" collapsed="false">
      <c r="A597" s="1" t="s">
        <v>274</v>
      </c>
      <c r="B597" s="46" t="n">
        <v>45944</v>
      </c>
      <c r="C597" s="46" t="n">
        <v>45986</v>
      </c>
      <c r="D597" s="47" t="n">
        <v>25452.9</v>
      </c>
      <c r="E597" s="47" t="n">
        <v>25505</v>
      </c>
      <c r="F597" s="47" t="n">
        <v>25263</v>
      </c>
      <c r="G597" s="47" t="n">
        <v>25334.9</v>
      </c>
      <c r="H597" s="47" t="n">
        <v>25314.2</v>
      </c>
      <c r="I597" s="47" t="n">
        <v>25334.9</v>
      </c>
      <c r="J597" s="48" t="n">
        <v>7301</v>
      </c>
      <c r="K597" s="47" t="n">
        <v>138889</v>
      </c>
      <c r="L597" s="48" t="n">
        <v>1460250</v>
      </c>
      <c r="M597" s="48" t="n">
        <v>131550</v>
      </c>
      <c r="N597" s="47" t="n">
        <v>25145.5</v>
      </c>
      <c r="O597" s="47" t="n">
        <f aca="false">IF(AND(ISNUMBER(G597),ISNUMBER(N597)),G597-N597,"")</f>
        <v>189.400000000001</v>
      </c>
      <c r="P597" s="49" t="n">
        <f aca="false">IF(ISNUMBER(O597),O597/N597,"")</f>
        <v>0.00753216281243171</v>
      </c>
      <c r="Q597" s="50" t="n">
        <f aca="false">C597-B597</f>
        <v>42</v>
      </c>
      <c r="R597" s="51" t="n">
        <f aca="false">IF(AND(C597=C596,ISNUMBER(G597),ISNUMBER(G596)),(G597/G596-1)*100,"")</f>
        <v>-0.436610862218023</v>
      </c>
      <c r="S597" s="51" t="n">
        <f aca="false">IF(AND(C597=C596,ISNUMBER(L597),ISNUMBER(L596)),(L597/L596-1)*100,"")</f>
        <v>9.90065477534432</v>
      </c>
      <c r="T597" s="51" t="n">
        <f aca="false">IF(AND(C597=C596,ISNUMBER(G597),ISNUMBER(G596)),G597-G596,"")</f>
        <v>-111.099999999999</v>
      </c>
      <c r="U597" s="1" t="str">
        <f aca="false">IF(OR(NOT(ISNUMBER(R597)),NOT(ISNUMBER(S597))),"Not classified",IF(AND(R597&gt;0,S597&gt;0),"Long buildup (interpretation)",IF(AND(R597&lt;0,S597&gt;0),"Short buildup (interpretation)",IF(AND(R597&gt;0,S597&lt;0),"Short covering (interpretation)",IF(AND(R597&lt;0,S597&lt;0),"Long unwinding (interpretation)","Neutral")))))</f>
        <v>Short buildup (interpretation)</v>
      </c>
      <c r="V597" s="52" t="str">
        <f aca="false">TEXT(B597,"yyyy-mm")</f>
        <v>2025-10</v>
      </c>
      <c r="W597" s="52" t="n">
        <f aca="false">1+COUNTIFS($B$2:$B$756,B597,$C$2:$C$756,"&lt;"&amp;C597)</f>
        <v>2</v>
      </c>
      <c r="X597" s="53" t="n">
        <f aca="false">IF(AND(ISNUMBER(P597),Q597&gt;0),P597*365/Q597,"")</f>
        <v>0.0654580815842279</v>
      </c>
      <c r="Y597" s="42" t="n">
        <f aca="false">IF(AND(C598=C597,ISNUMBER(R598)),R598,"")</f>
        <v>0.843500467734226</v>
      </c>
      <c r="Z597" s="52" t="n">
        <f aca="false">IF(AND(W597=1,Q597&gt;Basis_Analysis!$B$3,ISNUMBER(Y597)),1,0)</f>
        <v>0</v>
      </c>
      <c r="AA597" s="43" t="str">
        <f aca="false">IF(W597=1,IF(SUMIFS($L$2:$L$756,$B$2:$B$756,B597,$W$2:$W$756,2)&gt;0,SUMIFS($L$2:$L$756,$B$2:$B$756,B597,$W$2:$W$756,2),""),"")</f>
        <v/>
      </c>
      <c r="AB597" s="54" t="str">
        <f aca="false">IF(AND(W597=1,ISNUMBER(AA597)),L597/(L597+AA597),"")</f>
        <v/>
      </c>
    </row>
    <row r="598" customFormat="false" ht="15" hidden="false" customHeight="true" outlineLevel="0" collapsed="false">
      <c r="A598" s="1" t="s">
        <v>274</v>
      </c>
      <c r="B598" s="46" t="n">
        <v>45945</v>
      </c>
      <c r="C598" s="46" t="n">
        <v>45986</v>
      </c>
      <c r="D598" s="47" t="n">
        <v>25346.1</v>
      </c>
      <c r="E598" s="47" t="n">
        <v>25588</v>
      </c>
      <c r="F598" s="47" t="n">
        <v>25346.1</v>
      </c>
      <c r="G598" s="47" t="n">
        <v>25548.6</v>
      </c>
      <c r="H598" s="47" t="n">
        <v>25562.7</v>
      </c>
      <c r="I598" s="47" t="n">
        <v>25548.6</v>
      </c>
      <c r="J598" s="48" t="n">
        <v>12436</v>
      </c>
      <c r="K598" s="47" t="n">
        <v>237907.88</v>
      </c>
      <c r="L598" s="48" t="n">
        <v>1920450</v>
      </c>
      <c r="M598" s="48" t="n">
        <v>460200</v>
      </c>
      <c r="N598" s="47" t="n">
        <v>25323.55</v>
      </c>
      <c r="O598" s="47" t="n">
        <f aca="false">IF(AND(ISNUMBER(G598),ISNUMBER(N598)),G598-N598,"")</f>
        <v>225.049999999999</v>
      </c>
      <c r="P598" s="49" t="n">
        <f aca="false">IF(ISNUMBER(O598),O598/N598,"")</f>
        <v>0.0088869846447279</v>
      </c>
      <c r="Q598" s="50" t="n">
        <f aca="false">C598-B598</f>
        <v>41</v>
      </c>
      <c r="R598" s="51" t="n">
        <f aca="false">IF(AND(C598=C597,ISNUMBER(G598),ISNUMBER(G597)),(G598/G597-1)*100,"")</f>
        <v>0.843500467734226</v>
      </c>
      <c r="S598" s="51" t="n">
        <f aca="false">IF(AND(C598=C597,ISNUMBER(L598),ISNUMBER(L597)),(L598/L597-1)*100,"")</f>
        <v>31.5151515151515</v>
      </c>
      <c r="T598" s="51" t="n">
        <f aca="false">IF(AND(C598=C597,ISNUMBER(G598),ISNUMBER(G597)),G598-G597,"")</f>
        <v>213.699999999997</v>
      </c>
      <c r="U598" s="1" t="str">
        <f aca="false">IF(OR(NOT(ISNUMBER(R598)),NOT(ISNUMBER(S598))),"Not classified",IF(AND(R598&gt;0,S598&gt;0),"Long buildup (interpretation)",IF(AND(R598&lt;0,S598&gt;0),"Short buildup (interpretation)",IF(AND(R598&gt;0,S598&lt;0),"Short covering (interpretation)",IF(AND(R598&lt;0,S598&lt;0),"Long unwinding (interpretation)","Neutral")))))</f>
        <v>Long buildup (interpretation)</v>
      </c>
      <c r="V598" s="52" t="str">
        <f aca="false">TEXT(B598,"yyyy-mm")</f>
        <v>2025-10</v>
      </c>
      <c r="W598" s="52" t="n">
        <f aca="false">1+COUNTIFS($B$2:$B$756,B598,$C$2:$C$756,"&lt;"&amp;C598)</f>
        <v>2</v>
      </c>
      <c r="X598" s="53" t="n">
        <f aca="false">IF(AND(ISNUMBER(P598),Q598&gt;0),P598*365/Q598,"")</f>
        <v>0.0791158389103825</v>
      </c>
      <c r="Y598" s="42" t="n">
        <f aca="false">IF(AND(C599=C598,ISNUMBER(R599)),R599,"")</f>
        <v>0.930775071823908</v>
      </c>
      <c r="Z598" s="52" t="n">
        <f aca="false">IF(AND(W598=1,Q598&gt;Basis_Analysis!$B$3,ISNUMBER(Y598)),1,0)</f>
        <v>0</v>
      </c>
      <c r="AA598" s="43" t="str">
        <f aca="false">IF(W598=1,IF(SUMIFS($L$2:$L$756,$B$2:$B$756,B598,$W$2:$W$756,2)&gt;0,SUMIFS($L$2:$L$756,$B$2:$B$756,B598,$W$2:$W$756,2),""),"")</f>
        <v/>
      </c>
      <c r="AB598" s="54" t="str">
        <f aca="false">IF(AND(W598=1,ISNUMBER(AA598)),L598/(L598+AA598),"")</f>
        <v/>
      </c>
    </row>
    <row r="599" customFormat="false" ht="15" hidden="false" customHeight="true" outlineLevel="0" collapsed="false">
      <c r="A599" s="1" t="s">
        <v>274</v>
      </c>
      <c r="B599" s="46" t="n">
        <v>45946</v>
      </c>
      <c r="C599" s="46" t="n">
        <v>45986</v>
      </c>
      <c r="D599" s="47" t="n">
        <v>25598.8</v>
      </c>
      <c r="E599" s="47" t="n">
        <v>25825.4</v>
      </c>
      <c r="F599" s="47" t="n">
        <v>25598.8</v>
      </c>
      <c r="G599" s="47" t="n">
        <v>25786.4</v>
      </c>
      <c r="H599" s="47" t="n">
        <v>25775</v>
      </c>
      <c r="I599" s="47" t="n">
        <v>25786.4</v>
      </c>
      <c r="J599" s="48" t="n">
        <v>12103</v>
      </c>
      <c r="K599" s="47" t="n">
        <v>233525.97</v>
      </c>
      <c r="L599" s="48" t="n">
        <v>2180925</v>
      </c>
      <c r="M599" s="48" t="n">
        <v>260475</v>
      </c>
      <c r="N599" s="47" t="n">
        <v>25585.3</v>
      </c>
      <c r="O599" s="47" t="n">
        <f aca="false">IF(AND(ISNUMBER(G599),ISNUMBER(N599)),G599-N599,"")</f>
        <v>201.100000000002</v>
      </c>
      <c r="P599" s="49" t="n">
        <f aca="false">IF(ISNUMBER(O599),O599/N599,"")</f>
        <v>0.00785998209909605</v>
      </c>
      <c r="Q599" s="50" t="n">
        <f aca="false">C599-B599</f>
        <v>40</v>
      </c>
      <c r="R599" s="51" t="n">
        <f aca="false">IF(AND(C599=C598,ISNUMBER(G599),ISNUMBER(G598)),(G599/G598-1)*100,"")</f>
        <v>0.930775071823908</v>
      </c>
      <c r="S599" s="51" t="n">
        <f aca="false">IF(AND(C599=C598,ISNUMBER(L599),ISNUMBER(L598)),(L599/L598-1)*100,"")</f>
        <v>13.5632273685855</v>
      </c>
      <c r="T599" s="51" t="n">
        <f aca="false">IF(AND(C599=C598,ISNUMBER(G599),ISNUMBER(G598)),G599-G598,"")</f>
        <v>237.800000000003</v>
      </c>
      <c r="U599" s="1" t="str">
        <f aca="false">IF(OR(NOT(ISNUMBER(R599)),NOT(ISNUMBER(S599))),"Not classified",IF(AND(R599&gt;0,S599&gt;0),"Long buildup (interpretation)",IF(AND(R599&lt;0,S599&gt;0),"Short buildup (interpretation)",IF(AND(R599&gt;0,S599&lt;0),"Short covering (interpretation)",IF(AND(R599&lt;0,S599&lt;0),"Long unwinding (interpretation)","Neutral")))))</f>
        <v>Long buildup (interpretation)</v>
      </c>
      <c r="V599" s="52" t="str">
        <f aca="false">TEXT(B599,"yyyy-mm")</f>
        <v>2025-10</v>
      </c>
      <c r="W599" s="52" t="n">
        <f aca="false">1+COUNTIFS($B$2:$B$756,B599,$C$2:$C$756,"&lt;"&amp;C599)</f>
        <v>2</v>
      </c>
      <c r="X599" s="53" t="n">
        <f aca="false">IF(AND(ISNUMBER(P599),Q599&gt;0),P599*365/Q599,"")</f>
        <v>0.0717223366542515</v>
      </c>
      <c r="Y599" s="42" t="n">
        <f aca="false">IF(AND(C600=C599,ISNUMBER(R600)),R600,"")</f>
        <v>0.411069400924524</v>
      </c>
      <c r="Z599" s="52" t="n">
        <f aca="false">IF(AND(W599=1,Q599&gt;Basis_Analysis!$B$3,ISNUMBER(Y599)),1,0)</f>
        <v>0</v>
      </c>
      <c r="AA599" s="43" t="str">
        <f aca="false">IF(W599=1,IF(SUMIFS($L$2:$L$756,$B$2:$B$756,B599,$W$2:$W$756,2)&gt;0,SUMIFS($L$2:$L$756,$B$2:$B$756,B599,$W$2:$W$756,2),""),"")</f>
        <v/>
      </c>
      <c r="AB599" s="54" t="str">
        <f aca="false">IF(AND(W599=1,ISNUMBER(AA599)),L599/(L599+AA599),"")</f>
        <v/>
      </c>
    </row>
    <row r="600" customFormat="false" ht="15" hidden="false" customHeight="true" outlineLevel="0" collapsed="false">
      <c r="A600" s="1" t="s">
        <v>274</v>
      </c>
      <c r="B600" s="46" t="n">
        <v>45947</v>
      </c>
      <c r="C600" s="46" t="n">
        <v>45986</v>
      </c>
      <c r="D600" s="47" t="n">
        <v>25750.5</v>
      </c>
      <c r="E600" s="47" t="n">
        <v>25975</v>
      </c>
      <c r="F600" s="47" t="n">
        <v>25720</v>
      </c>
      <c r="G600" s="47" t="n">
        <v>25892.4</v>
      </c>
      <c r="H600" s="47" t="n">
        <v>25880.1</v>
      </c>
      <c r="I600" s="47" t="n">
        <v>25892.4</v>
      </c>
      <c r="J600" s="48" t="n">
        <v>12676</v>
      </c>
      <c r="K600" s="47" t="n">
        <v>245973.25</v>
      </c>
      <c r="L600" s="48" t="n">
        <v>2352300</v>
      </c>
      <c r="M600" s="48" t="n">
        <v>171375</v>
      </c>
      <c r="N600" s="47" t="n">
        <v>25709.85</v>
      </c>
      <c r="O600" s="47" t="n">
        <f aca="false">IF(AND(ISNUMBER(G600),ISNUMBER(N600)),G600-N600,"")</f>
        <v>182.550000000003</v>
      </c>
      <c r="P600" s="49" t="n">
        <f aca="false">IF(ISNUMBER(O600),O600/N600,"")</f>
        <v>0.0071003914841978</v>
      </c>
      <c r="Q600" s="50" t="n">
        <f aca="false">C600-B600</f>
        <v>39</v>
      </c>
      <c r="R600" s="51" t="n">
        <f aca="false">IF(AND(C600=C599,ISNUMBER(G600),ISNUMBER(G599)),(G600/G599-1)*100,"")</f>
        <v>0.411069400924524</v>
      </c>
      <c r="S600" s="51" t="n">
        <f aca="false">IF(AND(C600=C599,ISNUMBER(L600),ISNUMBER(L599)),(L600/L599-1)*100,"")</f>
        <v>7.85790432958493</v>
      </c>
      <c r="T600" s="51" t="n">
        <f aca="false">IF(AND(C600=C599,ISNUMBER(G600),ISNUMBER(G599)),G600-G599,"")</f>
        <v>106</v>
      </c>
      <c r="U600" s="1" t="str">
        <f aca="false">IF(OR(NOT(ISNUMBER(R600)),NOT(ISNUMBER(S600))),"Not classified",IF(AND(R600&gt;0,S600&gt;0),"Long buildup (interpretation)",IF(AND(R600&lt;0,S600&gt;0),"Short buildup (interpretation)",IF(AND(R600&gt;0,S600&lt;0),"Short covering (interpretation)",IF(AND(R600&lt;0,S600&lt;0),"Long unwinding (interpretation)","Neutral")))))</f>
        <v>Long buildup (interpretation)</v>
      </c>
      <c r="V600" s="52" t="str">
        <f aca="false">TEXT(B600,"yyyy-mm")</f>
        <v>2025-10</v>
      </c>
      <c r="W600" s="52" t="n">
        <f aca="false">1+COUNTIFS($B$2:$B$756,B600,$C$2:$C$756,"&lt;"&amp;C600)</f>
        <v>2</v>
      </c>
      <c r="X600" s="53" t="n">
        <f aca="false">IF(AND(ISNUMBER(P600),Q600&gt;0),P600*365/Q600,"")</f>
        <v>0.0664523818392871</v>
      </c>
      <c r="Y600" s="42" t="n">
        <f aca="false">IF(AND(C601=C600,ISNUMBER(R601)),R601,"")</f>
        <v>0.594382907725821</v>
      </c>
      <c r="Z600" s="52" t="n">
        <f aca="false">IF(AND(W600=1,Q600&gt;Basis_Analysis!$B$3,ISNUMBER(Y600)),1,0)</f>
        <v>0</v>
      </c>
      <c r="AA600" s="43" t="str">
        <f aca="false">IF(W600=1,IF(SUMIFS($L$2:$L$756,$B$2:$B$756,B600,$W$2:$W$756,2)&gt;0,SUMIFS($L$2:$L$756,$B$2:$B$756,B600,$W$2:$W$756,2),""),"")</f>
        <v/>
      </c>
      <c r="AB600" s="54" t="str">
        <f aca="false">IF(AND(W600=1,ISNUMBER(AA600)),L600/(L600+AA600),"")</f>
        <v/>
      </c>
    </row>
    <row r="601" customFormat="false" ht="15" hidden="false" customHeight="true" outlineLevel="0" collapsed="false">
      <c r="A601" s="1" t="s">
        <v>274</v>
      </c>
      <c r="B601" s="46" t="n">
        <v>45950</v>
      </c>
      <c r="C601" s="46" t="n">
        <v>45986</v>
      </c>
      <c r="D601" s="47" t="n">
        <v>26000</v>
      </c>
      <c r="E601" s="47" t="n">
        <v>26093.7</v>
      </c>
      <c r="F601" s="47" t="n">
        <v>25964</v>
      </c>
      <c r="G601" s="47" t="n">
        <v>26046.3</v>
      </c>
      <c r="H601" s="47" t="n">
        <v>26060.7</v>
      </c>
      <c r="I601" s="47" t="n">
        <v>26046.3</v>
      </c>
      <c r="J601" s="48" t="n">
        <v>13869</v>
      </c>
      <c r="K601" s="47" t="n">
        <v>270829.12</v>
      </c>
      <c r="L601" s="48" t="n">
        <v>2728650</v>
      </c>
      <c r="M601" s="48" t="n">
        <v>376350</v>
      </c>
      <c r="N601" s="47" t="n">
        <v>25843.15</v>
      </c>
      <c r="O601" s="47" t="n">
        <f aca="false">IF(AND(ISNUMBER(G601),ISNUMBER(N601)),G601-N601,"")</f>
        <v>203.149999999998</v>
      </c>
      <c r="P601" s="49" t="n">
        <f aca="false">IF(ISNUMBER(O601),O601/N601,"")</f>
        <v>0.00786088383188574</v>
      </c>
      <c r="Q601" s="50" t="n">
        <f aca="false">C601-B601</f>
        <v>36</v>
      </c>
      <c r="R601" s="51" t="n">
        <f aca="false">IF(AND(C601=C600,ISNUMBER(G601),ISNUMBER(G600)),(G601/G600-1)*100,"")</f>
        <v>0.594382907725821</v>
      </c>
      <c r="S601" s="51" t="n">
        <f aca="false">IF(AND(C601=C600,ISNUMBER(L601),ISNUMBER(L600)),(L601/L600-1)*100,"")</f>
        <v>15.9992347914807</v>
      </c>
      <c r="T601" s="51" t="n">
        <f aca="false">IF(AND(C601=C600,ISNUMBER(G601),ISNUMBER(G600)),G601-G600,"")</f>
        <v>153.899999999998</v>
      </c>
      <c r="U601" s="1" t="str">
        <f aca="false">IF(OR(NOT(ISNUMBER(R601)),NOT(ISNUMBER(S601))),"Not classified",IF(AND(R601&gt;0,S601&gt;0),"Long buildup (interpretation)",IF(AND(R601&lt;0,S601&gt;0),"Short buildup (interpretation)",IF(AND(R601&gt;0,S601&lt;0),"Short covering (interpretation)",IF(AND(R601&lt;0,S601&lt;0),"Long unwinding (interpretation)","Neutral")))))</f>
        <v>Long buildup (interpretation)</v>
      </c>
      <c r="V601" s="52" t="str">
        <f aca="false">TEXT(B601,"yyyy-mm")</f>
        <v>2025-10</v>
      </c>
      <c r="W601" s="52" t="n">
        <f aca="false">1+COUNTIFS($B$2:$B$756,B601,$C$2:$C$756,"&lt;"&amp;C601)</f>
        <v>2</v>
      </c>
      <c r="X601" s="53" t="n">
        <f aca="false">IF(AND(ISNUMBER(P601),Q601&gt;0),P601*365/Q601,"")</f>
        <v>0.0797006277399526</v>
      </c>
      <c r="Y601" s="42" t="n">
        <f aca="false">IF(AND(C602=C601,ISNUMBER(R602)),R602,"")</f>
        <v>-0.0276430817429008</v>
      </c>
      <c r="Z601" s="52" t="n">
        <f aca="false">IF(AND(W601=1,Q601&gt;Basis_Analysis!$B$3,ISNUMBER(Y601)),1,0)</f>
        <v>0</v>
      </c>
      <c r="AA601" s="43" t="str">
        <f aca="false">IF(W601=1,IF(SUMIFS($L$2:$L$756,$B$2:$B$756,B601,$W$2:$W$756,2)&gt;0,SUMIFS($L$2:$L$756,$B$2:$B$756,B601,$W$2:$W$756,2),""),"")</f>
        <v/>
      </c>
      <c r="AB601" s="54" t="str">
        <f aca="false">IF(AND(W601=1,ISNUMBER(AA601)),L601/(L601+AA601),"")</f>
        <v/>
      </c>
    </row>
    <row r="602" customFormat="false" ht="15" hidden="false" customHeight="true" outlineLevel="0" collapsed="false">
      <c r="A602" s="1" t="s">
        <v>274</v>
      </c>
      <c r="B602" s="46" t="n">
        <v>45951</v>
      </c>
      <c r="C602" s="46" t="n">
        <v>45986</v>
      </c>
      <c r="D602" s="47" t="n">
        <v>26090.9</v>
      </c>
      <c r="E602" s="47" t="n">
        <v>26099</v>
      </c>
      <c r="F602" s="47" t="n">
        <v>26000</v>
      </c>
      <c r="G602" s="47" t="n">
        <v>26039.1</v>
      </c>
      <c r="H602" s="47" t="n">
        <v>26001.6</v>
      </c>
      <c r="I602" s="47" t="n">
        <v>26039.1</v>
      </c>
      <c r="J602" s="48" t="n">
        <v>3077</v>
      </c>
      <c r="K602" s="47" t="n">
        <v>60120.43</v>
      </c>
      <c r="L602" s="48" t="n">
        <v>2768025</v>
      </c>
      <c r="M602" s="48" t="n">
        <v>39375</v>
      </c>
      <c r="N602" s="47" t="n">
        <v>25868.6</v>
      </c>
      <c r="O602" s="47" t="n">
        <f aca="false">IF(AND(ISNUMBER(G602),ISNUMBER(N602)),G602-N602,"")</f>
        <v>170.5</v>
      </c>
      <c r="P602" s="49" t="n">
        <f aca="false">IF(ISNUMBER(O602),O602/N602,"")</f>
        <v>0.00659100221890632</v>
      </c>
      <c r="Q602" s="50" t="n">
        <f aca="false">C602-B602</f>
        <v>35</v>
      </c>
      <c r="R602" s="51" t="n">
        <f aca="false">IF(AND(C602=C601,ISNUMBER(G602),ISNUMBER(G601)),(G602/G601-1)*100,"")</f>
        <v>-0.0276430817429008</v>
      </c>
      <c r="S602" s="51" t="n">
        <f aca="false">IF(AND(C602=C601,ISNUMBER(L602),ISNUMBER(L601)),(L602/L601-1)*100,"")</f>
        <v>1.44302127425651</v>
      </c>
      <c r="T602" s="51" t="n">
        <f aca="false">IF(AND(C602=C601,ISNUMBER(G602),ISNUMBER(G601)),G602-G601,"")</f>
        <v>-7.20000000000073</v>
      </c>
      <c r="U602" s="1" t="str">
        <f aca="false">IF(OR(NOT(ISNUMBER(R602)),NOT(ISNUMBER(S602))),"Not classified",IF(AND(R602&gt;0,S602&gt;0),"Long buildup (interpretation)",IF(AND(R602&lt;0,S602&gt;0),"Short buildup (interpretation)",IF(AND(R602&gt;0,S602&lt;0),"Short covering (interpretation)",IF(AND(R602&lt;0,S602&lt;0),"Long unwinding (interpretation)","Neutral")))))</f>
        <v>Short buildup (interpretation)</v>
      </c>
      <c r="V602" s="52" t="str">
        <f aca="false">TEXT(B602,"yyyy-mm")</f>
        <v>2025-10</v>
      </c>
      <c r="W602" s="52" t="n">
        <f aca="false">1+COUNTIFS($B$2:$B$756,B602,$C$2:$C$756,"&lt;"&amp;C602)</f>
        <v>2</v>
      </c>
      <c r="X602" s="53" t="n">
        <f aca="false">IF(AND(ISNUMBER(P602),Q602&gt;0),P602*365/Q602,"")</f>
        <v>0.0687347374257373</v>
      </c>
      <c r="Y602" s="42" t="n">
        <f aca="false">IF(AND(C603=C602,ISNUMBER(R603)),R603,"")</f>
        <v>0.271130722644042</v>
      </c>
      <c r="Z602" s="52" t="n">
        <f aca="false">IF(AND(W602=1,Q602&gt;Basis_Analysis!$B$3,ISNUMBER(Y602)),1,0)</f>
        <v>0</v>
      </c>
      <c r="AA602" s="43" t="str">
        <f aca="false">IF(W602=1,IF(SUMIFS($L$2:$L$756,$B$2:$B$756,B602,$W$2:$W$756,2)&gt;0,SUMIFS($L$2:$L$756,$B$2:$B$756,B602,$W$2:$W$756,2),""),"")</f>
        <v/>
      </c>
      <c r="AB602" s="54" t="str">
        <f aca="false">IF(AND(W602=1,ISNUMBER(AA602)),L602/(L602+AA602),"")</f>
        <v/>
      </c>
    </row>
    <row r="603" customFormat="false" ht="15" hidden="false" customHeight="true" outlineLevel="0" collapsed="false">
      <c r="A603" s="1" t="s">
        <v>274</v>
      </c>
      <c r="B603" s="46" t="n">
        <v>45953</v>
      </c>
      <c r="C603" s="46" t="n">
        <v>45986</v>
      </c>
      <c r="D603" s="47" t="n">
        <v>26201</v>
      </c>
      <c r="E603" s="47" t="n">
        <v>26310</v>
      </c>
      <c r="F603" s="47" t="n">
        <v>26076.8</v>
      </c>
      <c r="G603" s="47" t="n">
        <v>26109.7</v>
      </c>
      <c r="H603" s="47" t="n">
        <v>26091.8</v>
      </c>
      <c r="I603" s="47" t="n">
        <v>26109.7</v>
      </c>
      <c r="J603" s="48" t="n">
        <v>38207</v>
      </c>
      <c r="K603" s="47" t="n">
        <v>751556.72</v>
      </c>
      <c r="L603" s="48" t="n">
        <v>3844350</v>
      </c>
      <c r="M603" s="48" t="n">
        <v>1076325</v>
      </c>
      <c r="N603" s="47" t="n">
        <v>25891.4</v>
      </c>
      <c r="O603" s="47" t="n">
        <f aca="false">IF(AND(ISNUMBER(G603),ISNUMBER(N603)),G603-N603,"")</f>
        <v>218.299999999999</v>
      </c>
      <c r="P603" s="49" t="n">
        <f aca="false">IF(ISNUMBER(O603),O603/N603,"")</f>
        <v>0.00843137103439749</v>
      </c>
      <c r="Q603" s="50" t="n">
        <f aca="false">C603-B603</f>
        <v>33</v>
      </c>
      <c r="R603" s="51" t="n">
        <f aca="false">IF(AND(C603=C602,ISNUMBER(G603),ISNUMBER(G602)),(G603/G602-1)*100,"")</f>
        <v>0.271130722644042</v>
      </c>
      <c r="S603" s="51" t="n">
        <f aca="false">IF(AND(C603=C602,ISNUMBER(L603),ISNUMBER(L602)),(L603/L602-1)*100,"")</f>
        <v>38.8842225052158</v>
      </c>
      <c r="T603" s="51" t="n">
        <f aca="false">IF(AND(C603=C602,ISNUMBER(G603),ISNUMBER(G602)),G603-G602,"")</f>
        <v>70.6000000000022</v>
      </c>
      <c r="U603" s="1" t="str">
        <f aca="false">IF(OR(NOT(ISNUMBER(R603)),NOT(ISNUMBER(S603))),"Not classified",IF(AND(R603&gt;0,S603&gt;0),"Long buildup (interpretation)",IF(AND(R603&lt;0,S603&gt;0),"Short buildup (interpretation)",IF(AND(R603&gt;0,S603&lt;0),"Short covering (interpretation)",IF(AND(R603&lt;0,S603&lt;0),"Long unwinding (interpretation)","Neutral")))))</f>
        <v>Long buildup (interpretation)</v>
      </c>
      <c r="V603" s="52" t="str">
        <f aca="false">TEXT(B603,"yyyy-mm")</f>
        <v>2025-10</v>
      </c>
      <c r="W603" s="52" t="n">
        <f aca="false">1+COUNTIFS($B$2:$B$756,B603,$C$2:$C$756,"&lt;"&amp;C603)</f>
        <v>2</v>
      </c>
      <c r="X603" s="53" t="n">
        <f aca="false">IF(AND(ISNUMBER(P603),Q603&gt;0),P603*365/Q603,"")</f>
        <v>0.0932560735622753</v>
      </c>
      <c r="Y603" s="42" t="n">
        <f aca="false">IF(AND(C604=C603,ISNUMBER(R604)),R604,"")</f>
        <v>-0.60399008797497</v>
      </c>
      <c r="Z603" s="52" t="n">
        <f aca="false">IF(AND(W603=1,Q603&gt;Basis_Analysis!$B$3,ISNUMBER(Y603)),1,0)</f>
        <v>0</v>
      </c>
      <c r="AA603" s="43" t="str">
        <f aca="false">IF(W603=1,IF(SUMIFS($L$2:$L$756,$B$2:$B$756,B603,$W$2:$W$756,2)&gt;0,SUMIFS($L$2:$L$756,$B$2:$B$756,B603,$W$2:$W$756,2),""),"")</f>
        <v/>
      </c>
      <c r="AB603" s="54" t="str">
        <f aca="false">IF(AND(W603=1,ISNUMBER(AA603)),L603/(L603+AA603),"")</f>
        <v/>
      </c>
    </row>
    <row r="604" customFormat="false" ht="15" hidden="false" customHeight="true" outlineLevel="0" collapsed="false">
      <c r="A604" s="1" t="s">
        <v>274</v>
      </c>
      <c r="B604" s="46" t="n">
        <v>45954</v>
      </c>
      <c r="C604" s="46" t="n">
        <v>45986</v>
      </c>
      <c r="D604" s="47" t="n">
        <v>26110</v>
      </c>
      <c r="E604" s="47" t="n">
        <v>26145</v>
      </c>
      <c r="F604" s="47" t="n">
        <v>25875</v>
      </c>
      <c r="G604" s="47" t="n">
        <v>25952</v>
      </c>
      <c r="H604" s="47" t="n">
        <v>25952</v>
      </c>
      <c r="I604" s="47" t="n">
        <v>25952</v>
      </c>
      <c r="J604" s="48" t="n">
        <v>45929</v>
      </c>
      <c r="K604" s="47" t="n">
        <v>895238.7</v>
      </c>
      <c r="L604" s="48" t="n">
        <v>5634150</v>
      </c>
      <c r="M604" s="48" t="n">
        <v>1789800</v>
      </c>
      <c r="N604" s="47" t="n">
        <v>25795.15</v>
      </c>
      <c r="O604" s="47" t="n">
        <f aca="false">IF(AND(ISNUMBER(G604),ISNUMBER(N604)),G604-N604,"")</f>
        <v>156.849999999999</v>
      </c>
      <c r="P604" s="49" t="n">
        <f aca="false">IF(ISNUMBER(O604),O604/N604,"")</f>
        <v>0.00608060042294767</v>
      </c>
      <c r="Q604" s="50" t="n">
        <f aca="false">C604-B604</f>
        <v>32</v>
      </c>
      <c r="R604" s="51" t="n">
        <f aca="false">IF(AND(C604=C603,ISNUMBER(G604),ISNUMBER(G603)),(G604/G603-1)*100,"")</f>
        <v>-0.60399008797497</v>
      </c>
      <c r="S604" s="51" t="n">
        <f aca="false">IF(AND(C604=C603,ISNUMBER(L604),ISNUMBER(L603)),(L604/L603-1)*100,"")</f>
        <v>46.556635061844</v>
      </c>
      <c r="T604" s="51" t="n">
        <f aca="false">IF(AND(C604=C603,ISNUMBER(G604),ISNUMBER(G603)),G604-G603,"")</f>
        <v>-157.700000000001</v>
      </c>
      <c r="U604" s="1" t="str">
        <f aca="false">IF(OR(NOT(ISNUMBER(R604)),NOT(ISNUMBER(S604))),"Not classified",IF(AND(R604&gt;0,S604&gt;0),"Long buildup (interpretation)",IF(AND(R604&lt;0,S604&gt;0),"Short buildup (interpretation)",IF(AND(R604&gt;0,S604&lt;0),"Short covering (interpretation)",IF(AND(R604&lt;0,S604&lt;0),"Long unwinding (interpretation)","Neutral")))))</f>
        <v>Short buildup (interpretation)</v>
      </c>
      <c r="V604" s="52" t="str">
        <f aca="false">TEXT(B604,"yyyy-mm")</f>
        <v>2025-10</v>
      </c>
      <c r="W604" s="52" t="n">
        <f aca="false">1+COUNTIFS($B$2:$B$756,B604,$C$2:$C$756,"&lt;"&amp;C604)</f>
        <v>2</v>
      </c>
      <c r="X604" s="53" t="n">
        <f aca="false">IF(AND(ISNUMBER(P604),Q604&gt;0),P604*365/Q604,"")</f>
        <v>0.0693568485742468</v>
      </c>
      <c r="Y604" s="42" t="n">
        <f aca="false">IF(AND(C605=C604,ISNUMBER(R605)),R605,"")</f>
        <v>0.8338471023428</v>
      </c>
      <c r="Z604" s="52" t="n">
        <f aca="false">IF(AND(W604=1,Q604&gt;Basis_Analysis!$B$3,ISNUMBER(Y604)),1,0)</f>
        <v>0</v>
      </c>
      <c r="AA604" s="43" t="str">
        <f aca="false">IF(W604=1,IF(SUMIFS($L$2:$L$756,$B$2:$B$756,B604,$W$2:$W$756,2)&gt;0,SUMIFS($L$2:$L$756,$B$2:$B$756,B604,$W$2:$W$756,2),""),"")</f>
        <v/>
      </c>
      <c r="AB604" s="54" t="str">
        <f aca="false">IF(AND(W604=1,ISNUMBER(AA604)),L604/(L604+AA604),"")</f>
        <v/>
      </c>
    </row>
    <row r="605" customFormat="false" ht="15" hidden="false" customHeight="true" outlineLevel="0" collapsed="false">
      <c r="A605" s="1" t="s">
        <v>274</v>
      </c>
      <c r="B605" s="46" t="n">
        <v>45957</v>
      </c>
      <c r="C605" s="46" t="n">
        <v>45986</v>
      </c>
      <c r="D605" s="47" t="n">
        <v>26021.1</v>
      </c>
      <c r="E605" s="47" t="n">
        <v>26207.4</v>
      </c>
      <c r="F605" s="47" t="n">
        <v>26020.2</v>
      </c>
      <c r="G605" s="47" t="n">
        <v>26168.4</v>
      </c>
      <c r="H605" s="47" t="n">
        <v>26189</v>
      </c>
      <c r="I605" s="47" t="n">
        <v>26168.4</v>
      </c>
      <c r="J605" s="48" t="n">
        <v>93374</v>
      </c>
      <c r="K605" s="47" t="n">
        <v>1831413.47</v>
      </c>
      <c r="L605" s="48" t="n">
        <v>10076025</v>
      </c>
      <c r="M605" s="48" t="n">
        <v>4441875</v>
      </c>
      <c r="N605" s="47" t="n">
        <v>25966.05</v>
      </c>
      <c r="O605" s="47" t="n">
        <f aca="false">IF(AND(ISNUMBER(G605),ISNUMBER(N605)),G605-N605,"")</f>
        <v>202.350000000002</v>
      </c>
      <c r="P605" s="49" t="n">
        <f aca="false">IF(ISNUMBER(O605),O605/N605,"")</f>
        <v>0.00779286799493963</v>
      </c>
      <c r="Q605" s="50" t="n">
        <f aca="false">C605-B605</f>
        <v>29</v>
      </c>
      <c r="R605" s="51" t="n">
        <f aca="false">IF(AND(C605=C604,ISNUMBER(G605),ISNUMBER(G604)),(G605/G604-1)*100,"")</f>
        <v>0.8338471023428</v>
      </c>
      <c r="S605" s="51" t="n">
        <f aca="false">IF(AND(C605=C604,ISNUMBER(L605),ISNUMBER(L604)),(L605/L604-1)*100,"")</f>
        <v>78.838422832193</v>
      </c>
      <c r="T605" s="51" t="n">
        <f aca="false">IF(AND(C605=C604,ISNUMBER(G605),ISNUMBER(G604)),G605-G604,"")</f>
        <v>216.400000000001</v>
      </c>
      <c r="U605" s="1" t="str">
        <f aca="false">IF(OR(NOT(ISNUMBER(R605)),NOT(ISNUMBER(S605))),"Not classified",IF(AND(R605&gt;0,S605&gt;0),"Long buildup (interpretation)",IF(AND(R605&lt;0,S605&gt;0),"Short buildup (interpretation)",IF(AND(R605&gt;0,S605&lt;0),"Short covering (interpretation)",IF(AND(R605&lt;0,S605&lt;0),"Long unwinding (interpretation)","Neutral")))))</f>
        <v>Long buildup (interpretation)</v>
      </c>
      <c r="V605" s="52" t="str">
        <f aca="false">TEXT(B605,"yyyy-mm")</f>
        <v>2025-10</v>
      </c>
      <c r="W605" s="52" t="n">
        <f aca="false">1+COUNTIFS($B$2:$B$756,B605,$C$2:$C$756,"&lt;"&amp;C605)</f>
        <v>2</v>
      </c>
      <c r="X605" s="53" t="n">
        <f aca="false">IF(AND(ISNUMBER(P605),Q605&gt;0),P605*365/Q605,"")</f>
        <v>0.0980826489018264</v>
      </c>
      <c r="Y605" s="42" t="n">
        <f aca="false">IF(AND(C606=C605,ISNUMBER(R606)),R606,"")</f>
        <v>-0.29921584812217</v>
      </c>
      <c r="Z605" s="52" t="n">
        <f aca="false">IF(AND(W605=1,Q605&gt;Basis_Analysis!$B$3,ISNUMBER(Y605)),1,0)</f>
        <v>0</v>
      </c>
      <c r="AA605" s="43" t="str">
        <f aca="false">IF(W605=1,IF(SUMIFS($L$2:$L$756,$B$2:$B$756,B605,$W$2:$W$756,2)&gt;0,SUMIFS($L$2:$L$756,$B$2:$B$756,B605,$W$2:$W$756,2),""),"")</f>
        <v/>
      </c>
      <c r="AB605" s="54" t="str">
        <f aca="false">IF(AND(W605=1,ISNUMBER(AA605)),L605/(L605+AA605),"")</f>
        <v/>
      </c>
    </row>
    <row r="606" customFormat="false" ht="15" hidden="false" customHeight="true" outlineLevel="0" collapsed="false">
      <c r="A606" s="1" t="s">
        <v>274</v>
      </c>
      <c r="B606" s="46" t="n">
        <v>45958</v>
      </c>
      <c r="C606" s="46" t="n">
        <v>45986</v>
      </c>
      <c r="D606" s="47" t="n">
        <v>26179</v>
      </c>
      <c r="E606" s="47" t="n">
        <v>26225</v>
      </c>
      <c r="F606" s="47" t="n">
        <v>26001</v>
      </c>
      <c r="G606" s="47" t="n">
        <v>26090.1</v>
      </c>
      <c r="H606" s="47" t="n">
        <v>26099</v>
      </c>
      <c r="I606" s="47" t="n">
        <v>26090.1</v>
      </c>
      <c r="J606" s="48" t="n">
        <v>125138</v>
      </c>
      <c r="K606" s="47" t="n">
        <v>2447815.73</v>
      </c>
      <c r="L606" s="48" t="n">
        <v>14262375</v>
      </c>
      <c r="M606" s="48" t="n">
        <v>4186350</v>
      </c>
      <c r="N606" s="47" t="n">
        <v>25936.2</v>
      </c>
      <c r="O606" s="47" t="n">
        <f aca="false">IF(AND(ISNUMBER(G606),ISNUMBER(N606)),G606-N606,"")</f>
        <v>153.899999999998</v>
      </c>
      <c r="P606" s="49" t="n">
        <f aca="false">IF(ISNUMBER(O606),O606/N606,"")</f>
        <v>0.00593379138038717</v>
      </c>
      <c r="Q606" s="50" t="n">
        <f aca="false">C606-B606</f>
        <v>28</v>
      </c>
      <c r="R606" s="51" t="n">
        <f aca="false">IF(AND(C606=C605,ISNUMBER(G606),ISNUMBER(G605)),(G606/G605-1)*100,"")</f>
        <v>-0.29921584812217</v>
      </c>
      <c r="S606" s="51" t="n">
        <f aca="false">IF(AND(C606=C605,ISNUMBER(L606),ISNUMBER(L605)),(L606/L605-1)*100,"")</f>
        <v>41.5476341116661</v>
      </c>
      <c r="T606" s="51" t="n">
        <f aca="false">IF(AND(C606=C605,ISNUMBER(G606),ISNUMBER(G605)),G606-G605,"")</f>
        <v>-78.3000000000029</v>
      </c>
      <c r="U606" s="1" t="str">
        <f aca="false">IF(OR(NOT(ISNUMBER(R606)),NOT(ISNUMBER(S606))),"Not classified",IF(AND(R606&gt;0,S606&gt;0),"Long buildup (interpretation)",IF(AND(R606&lt;0,S606&gt;0),"Short buildup (interpretation)",IF(AND(R606&gt;0,S606&lt;0),"Short covering (interpretation)",IF(AND(R606&lt;0,S606&lt;0),"Long unwinding (interpretation)","Neutral")))))</f>
        <v>Short buildup (interpretation)</v>
      </c>
      <c r="V606" s="52" t="str">
        <f aca="false">TEXT(B606,"yyyy-mm")</f>
        <v>2025-10</v>
      </c>
      <c r="W606" s="52" t="n">
        <f aca="false">1+COUNTIFS($B$2:$B$756,B606,$C$2:$C$756,"&lt;"&amp;C606)</f>
        <v>2</v>
      </c>
      <c r="X606" s="53" t="n">
        <f aca="false">IF(AND(ISNUMBER(P606),Q606&gt;0),P606*365/Q606,"")</f>
        <v>0.0773512090657614</v>
      </c>
      <c r="Y606" s="42" t="n">
        <f aca="false">IF(AND(C607=C606,ISNUMBER(R607)),R607,"")</f>
        <v>0.569564700786907</v>
      </c>
      <c r="Z606" s="52" t="n">
        <f aca="false">IF(AND(W606=1,Q606&gt;Basis_Analysis!$B$3,ISNUMBER(Y606)),1,0)</f>
        <v>0</v>
      </c>
      <c r="AA606" s="43" t="str">
        <f aca="false">IF(W606=1,IF(SUMIFS($L$2:$L$756,$B$2:$B$756,B606,$W$2:$W$756,2)&gt;0,SUMIFS($L$2:$L$756,$B$2:$B$756,B606,$W$2:$W$756,2),""),"")</f>
        <v/>
      </c>
      <c r="AB606" s="54" t="str">
        <f aca="false">IF(AND(W606=1,ISNUMBER(AA606)),L606/(L606+AA606),"")</f>
        <v/>
      </c>
    </row>
    <row r="607" customFormat="false" ht="15" hidden="false" customHeight="true" outlineLevel="0" collapsed="false">
      <c r="A607" s="1" t="s">
        <v>274</v>
      </c>
      <c r="B607" s="46" t="n">
        <v>45959</v>
      </c>
      <c r="C607" s="46" t="n">
        <v>45986</v>
      </c>
      <c r="D607" s="47" t="n">
        <v>26125</v>
      </c>
      <c r="E607" s="47" t="n">
        <v>26284.9</v>
      </c>
      <c r="F607" s="47" t="n">
        <v>26101</v>
      </c>
      <c r="G607" s="47" t="n">
        <v>26238.7</v>
      </c>
      <c r="H607" s="47" t="n">
        <v>26261.3</v>
      </c>
      <c r="I607" s="47" t="n">
        <v>26238.7</v>
      </c>
      <c r="J607" s="48" t="n">
        <v>81623</v>
      </c>
      <c r="K607" s="47" t="n">
        <v>1605133.75</v>
      </c>
      <c r="L607" s="48" t="n">
        <v>14784150</v>
      </c>
      <c r="M607" s="48" t="n">
        <v>521775</v>
      </c>
      <c r="N607" s="47" t="n">
        <v>26053.9</v>
      </c>
      <c r="O607" s="47" t="n">
        <f aca="false">IF(AND(ISNUMBER(G607),ISNUMBER(N607)),G607-N607,"")</f>
        <v>184.799999999999</v>
      </c>
      <c r="P607" s="49" t="n">
        <f aca="false">IF(ISNUMBER(O607),O607/N607,"")</f>
        <v>0.00709298799795805</v>
      </c>
      <c r="Q607" s="50" t="n">
        <f aca="false">C607-B607</f>
        <v>27</v>
      </c>
      <c r="R607" s="51" t="n">
        <f aca="false">IF(AND(C607=C606,ISNUMBER(G607),ISNUMBER(G606)),(G607/G606-1)*100,"")</f>
        <v>0.569564700786907</v>
      </c>
      <c r="S607" s="51" t="n">
        <f aca="false">IF(AND(C607=C606,ISNUMBER(L607),ISNUMBER(L606)),(L607/L606-1)*100,"")</f>
        <v>3.65840191412721</v>
      </c>
      <c r="T607" s="51" t="n">
        <f aca="false">IF(AND(C607=C606,ISNUMBER(G607),ISNUMBER(G606)),G607-G606,"")</f>
        <v>148.600000000002</v>
      </c>
      <c r="U607" s="1" t="str">
        <f aca="false">IF(OR(NOT(ISNUMBER(R607)),NOT(ISNUMBER(S607))),"Not classified",IF(AND(R607&gt;0,S607&gt;0),"Long buildup (interpretation)",IF(AND(R607&lt;0,S607&gt;0),"Short buildup (interpretation)",IF(AND(R607&gt;0,S607&lt;0),"Short covering (interpretation)",IF(AND(R607&lt;0,S607&lt;0),"Long unwinding (interpretation)","Neutral")))))</f>
        <v>Long buildup (interpretation)</v>
      </c>
      <c r="V607" s="52" t="str">
        <f aca="false">TEXT(B607,"yyyy-mm")</f>
        <v>2025-10</v>
      </c>
      <c r="W607" s="52" t="n">
        <f aca="false">1+COUNTIFS($B$2:$B$756,B607,$C$2:$C$756,"&lt;"&amp;C607)</f>
        <v>1</v>
      </c>
      <c r="X607" s="53" t="n">
        <f aca="false">IF(AND(ISNUMBER(P607),Q607&gt;0),P607*365/Q607,"")</f>
        <v>0.0958866896020255</v>
      </c>
      <c r="Y607" s="42" t="n">
        <f aca="false">IF(AND(C608=C607,ISNUMBER(R608)),R608,"")</f>
        <v>-0.789292152431342</v>
      </c>
      <c r="Z607" s="52" t="n">
        <f aca="false">IF(AND(W607=1,Q607&gt;Basis_Analysis!$B$3,ISNUMBER(Y607)),1,0)</f>
        <v>1</v>
      </c>
      <c r="AA607" s="43" t="n">
        <f aca="false">IF(W607=1,IF(SUMIFS($L$2:$L$756,$B$2:$B$756,B607,$W$2:$W$756,2)&gt;0,SUMIFS($L$2:$L$756,$B$2:$B$756,B607,$W$2:$W$756,2),""),"")</f>
        <v>928425</v>
      </c>
      <c r="AB607" s="54" t="n">
        <f aca="false">IF(AND(W607=1,ISNUMBER(AA607)),L607/(L607+AA607),"")</f>
        <v>0.940911976553811</v>
      </c>
    </row>
    <row r="608" customFormat="false" ht="15" hidden="false" customHeight="true" outlineLevel="0" collapsed="false">
      <c r="A608" s="1" t="s">
        <v>274</v>
      </c>
      <c r="B608" s="46" t="n">
        <v>45960</v>
      </c>
      <c r="C608" s="46" t="n">
        <v>45986</v>
      </c>
      <c r="D608" s="47" t="n">
        <v>26199.9</v>
      </c>
      <c r="E608" s="47" t="n">
        <v>26199.9</v>
      </c>
      <c r="F608" s="47" t="n">
        <v>26010</v>
      </c>
      <c r="G608" s="47" t="n">
        <v>26031.6</v>
      </c>
      <c r="H608" s="47" t="n">
        <v>26037.4</v>
      </c>
      <c r="I608" s="47" t="n">
        <v>26031.6</v>
      </c>
      <c r="J608" s="48" t="n">
        <v>84090</v>
      </c>
      <c r="K608" s="47" t="n">
        <v>1644091.56</v>
      </c>
      <c r="L608" s="48" t="n">
        <v>15791250</v>
      </c>
      <c r="M608" s="48" t="n">
        <v>1007100</v>
      </c>
      <c r="N608" s="47" t="n">
        <v>25877.85</v>
      </c>
      <c r="O608" s="47" t="n">
        <f aca="false">IF(AND(ISNUMBER(G608),ISNUMBER(N608)),G608-N608,"")</f>
        <v>153.75</v>
      </c>
      <c r="P608" s="49" t="n">
        <f aca="false">IF(ISNUMBER(O608),O608/N608,"")</f>
        <v>0.00594137457323541</v>
      </c>
      <c r="Q608" s="50" t="n">
        <f aca="false">C608-B608</f>
        <v>26</v>
      </c>
      <c r="R608" s="51" t="n">
        <f aca="false">IF(AND(C608=C607,ISNUMBER(G608),ISNUMBER(G607)),(G608/G607-1)*100,"")</f>
        <v>-0.789292152431342</v>
      </c>
      <c r="S608" s="51" t="n">
        <f aca="false">IF(AND(C608=C607,ISNUMBER(L608),ISNUMBER(L607)),(L608/L607-1)*100,"")</f>
        <v>6.81202504033036</v>
      </c>
      <c r="T608" s="51" t="n">
        <f aca="false">IF(AND(C608=C607,ISNUMBER(G608),ISNUMBER(G607)),G608-G607,"")</f>
        <v>-207.100000000002</v>
      </c>
      <c r="U608" s="1" t="str">
        <f aca="false">IF(OR(NOT(ISNUMBER(R608)),NOT(ISNUMBER(S608))),"Not classified",IF(AND(R608&gt;0,S608&gt;0),"Long buildup (interpretation)",IF(AND(R608&lt;0,S608&gt;0),"Short buildup (interpretation)",IF(AND(R608&gt;0,S608&lt;0),"Short covering (interpretation)",IF(AND(R608&lt;0,S608&lt;0),"Long unwinding (interpretation)","Neutral")))))</f>
        <v>Short buildup (interpretation)</v>
      </c>
      <c r="V608" s="52" t="str">
        <f aca="false">TEXT(B608,"yyyy-mm")</f>
        <v>2025-10</v>
      </c>
      <c r="W608" s="52" t="n">
        <f aca="false">1+COUNTIFS($B$2:$B$756,B608,$C$2:$C$756,"&lt;"&amp;C608)</f>
        <v>1</v>
      </c>
      <c r="X608" s="53" t="n">
        <f aca="false">IF(AND(ISNUMBER(P608),Q608&gt;0),P608*365/Q608,"")</f>
        <v>0.0834077584319587</v>
      </c>
      <c r="Y608" s="42" t="n">
        <f aca="false">IF(AND(C609=C608,ISNUMBER(R609)),R609,"")</f>
        <v>-0.48441125401435</v>
      </c>
      <c r="Z608" s="52" t="n">
        <f aca="false">IF(AND(W608=1,Q608&gt;Basis_Analysis!$B$3,ISNUMBER(Y608)),1,0)</f>
        <v>1</v>
      </c>
      <c r="AA608" s="43" t="n">
        <f aca="false">IF(W608=1,IF(SUMIFS($L$2:$L$756,$B$2:$B$756,B608,$W$2:$W$756,2)&gt;0,SUMIFS($L$2:$L$756,$B$2:$B$756,B608,$W$2:$W$756,2),""),"")</f>
        <v>1019775</v>
      </c>
      <c r="AB608" s="54" t="n">
        <f aca="false">IF(AND(W608=1,ISNUMBER(AA608)),L608/(L608+AA608),"")</f>
        <v>0.939338915979246</v>
      </c>
    </row>
    <row r="609" customFormat="false" ht="15" hidden="false" customHeight="true" outlineLevel="0" collapsed="false">
      <c r="A609" s="1" t="s">
        <v>274</v>
      </c>
      <c r="B609" s="46" t="n">
        <v>45961</v>
      </c>
      <c r="C609" s="46" t="n">
        <v>45986</v>
      </c>
      <c r="D609" s="47" t="n">
        <v>26012.1</v>
      </c>
      <c r="E609" s="47" t="n">
        <v>26116.1</v>
      </c>
      <c r="F609" s="47" t="n">
        <v>25890</v>
      </c>
      <c r="G609" s="47" t="n">
        <v>25905.5</v>
      </c>
      <c r="H609" s="47" t="n">
        <v>25907.1</v>
      </c>
      <c r="I609" s="47" t="n">
        <v>25905.5</v>
      </c>
      <c r="J609" s="48" t="n">
        <v>87970</v>
      </c>
      <c r="K609" s="47" t="n">
        <v>1712892.5</v>
      </c>
      <c r="L609" s="48" t="n">
        <v>16902225</v>
      </c>
      <c r="M609" s="48" t="n">
        <v>1110975</v>
      </c>
      <c r="N609" s="47" t="n">
        <v>25722.1</v>
      </c>
      <c r="O609" s="47" t="n">
        <f aca="false">IF(AND(ISNUMBER(G609),ISNUMBER(N609)),G609-N609,"")</f>
        <v>183.400000000001</v>
      </c>
      <c r="P609" s="49" t="n">
        <f aca="false">IF(ISNUMBER(O609),O609/N609,"")</f>
        <v>0.00713005547758548</v>
      </c>
      <c r="Q609" s="50" t="n">
        <f aca="false">C609-B609</f>
        <v>25</v>
      </c>
      <c r="R609" s="51" t="n">
        <f aca="false">IF(AND(C609=C608,ISNUMBER(G609),ISNUMBER(G608)),(G609/G608-1)*100,"")</f>
        <v>-0.48441125401435</v>
      </c>
      <c r="S609" s="51" t="n">
        <f aca="false">IF(AND(C609=C608,ISNUMBER(L609),ISNUMBER(L608)),(L609/L608-1)*100,"")</f>
        <v>7.03538351935407</v>
      </c>
      <c r="T609" s="51" t="n">
        <f aca="false">IF(AND(C609=C608,ISNUMBER(G609),ISNUMBER(G608)),G609-G608,"")</f>
        <v>-126.099999999999</v>
      </c>
      <c r="U609" s="1" t="str">
        <f aca="false">IF(OR(NOT(ISNUMBER(R609)),NOT(ISNUMBER(S609))),"Not classified",IF(AND(R609&gt;0,S609&gt;0),"Long buildup (interpretation)",IF(AND(R609&lt;0,S609&gt;0),"Short buildup (interpretation)",IF(AND(R609&gt;0,S609&lt;0),"Short covering (interpretation)",IF(AND(R609&lt;0,S609&lt;0),"Long unwinding (interpretation)","Neutral")))))</f>
        <v>Short buildup (interpretation)</v>
      </c>
      <c r="V609" s="52" t="str">
        <f aca="false">TEXT(B609,"yyyy-mm")</f>
        <v>2025-10</v>
      </c>
      <c r="W609" s="52" t="n">
        <f aca="false">1+COUNTIFS($B$2:$B$756,B609,$C$2:$C$756,"&lt;"&amp;C609)</f>
        <v>1</v>
      </c>
      <c r="X609" s="53" t="n">
        <f aca="false">IF(AND(ISNUMBER(P609),Q609&gt;0),P609*365/Q609,"")</f>
        <v>0.104098809972748</v>
      </c>
      <c r="Y609" s="42" t="n">
        <f aca="false">IF(AND(C610=C609,ISNUMBER(R610)),R610,"")</f>
        <v>-0.0254772152631588</v>
      </c>
      <c r="Z609" s="52" t="n">
        <f aca="false">IF(AND(W609=1,Q609&gt;Basis_Analysis!$B$3,ISNUMBER(Y609)),1,0)</f>
        <v>1</v>
      </c>
      <c r="AA609" s="43" t="n">
        <f aca="false">IF(W609=1,IF(SUMIFS($L$2:$L$756,$B$2:$B$756,B609,$W$2:$W$756,2)&gt;0,SUMIFS($L$2:$L$756,$B$2:$B$756,B609,$W$2:$W$756,2),""),"")</f>
        <v>1109400</v>
      </c>
      <c r="AB609" s="54" t="n">
        <f aca="false">IF(AND(W609=1,ISNUMBER(AA609)),L609/(L609+AA609),"")</f>
        <v>0.938406445837064</v>
      </c>
    </row>
    <row r="610" customFormat="false" ht="15" hidden="false" customHeight="true" outlineLevel="0" collapsed="false">
      <c r="A610" s="1" t="s">
        <v>274</v>
      </c>
      <c r="B610" s="46" t="n">
        <v>45964</v>
      </c>
      <c r="C610" s="46" t="n">
        <v>45986</v>
      </c>
      <c r="D610" s="47" t="n">
        <v>25890</v>
      </c>
      <c r="E610" s="47" t="n">
        <v>25942.6</v>
      </c>
      <c r="F610" s="47" t="n">
        <v>25800</v>
      </c>
      <c r="G610" s="47" t="n">
        <v>25898.9</v>
      </c>
      <c r="H610" s="47" t="n">
        <v>25904.4</v>
      </c>
      <c r="I610" s="47" t="n">
        <v>25898.9</v>
      </c>
      <c r="J610" s="48" t="n">
        <v>64885</v>
      </c>
      <c r="K610" s="47" t="n">
        <v>1259368.59</v>
      </c>
      <c r="L610" s="48" t="n">
        <v>16784025</v>
      </c>
      <c r="M610" s="48" t="n">
        <v>-118200</v>
      </c>
      <c r="N610" s="47" t="n">
        <v>25763.35</v>
      </c>
      <c r="O610" s="47" t="n">
        <f aca="false">IF(AND(ISNUMBER(G610),ISNUMBER(N610)),G610-N610,"")</f>
        <v>135.550000000003</v>
      </c>
      <c r="P610" s="49" t="n">
        <f aca="false">IF(ISNUMBER(O610),O610/N610,"")</f>
        <v>0.00526134994090454</v>
      </c>
      <c r="Q610" s="50" t="n">
        <f aca="false">C610-B610</f>
        <v>22</v>
      </c>
      <c r="R610" s="51" t="n">
        <f aca="false">IF(AND(C610=C609,ISNUMBER(G610),ISNUMBER(G609)),(G610/G609-1)*100,"")</f>
        <v>-0.0254772152631588</v>
      </c>
      <c r="S610" s="51" t="n">
        <f aca="false">IF(AND(C610=C609,ISNUMBER(L610),ISNUMBER(L609)),(L610/L609-1)*100,"")</f>
        <v>-0.699316214285395</v>
      </c>
      <c r="T610" s="51" t="n">
        <f aca="false">IF(AND(C610=C609,ISNUMBER(G610),ISNUMBER(G609)),G610-G609,"")</f>
        <v>-6.59999999999855</v>
      </c>
      <c r="U610" s="1" t="str">
        <f aca="false">IF(OR(NOT(ISNUMBER(R610)),NOT(ISNUMBER(S610))),"Not classified",IF(AND(R610&gt;0,S610&gt;0),"Long buildup (interpretation)",IF(AND(R610&lt;0,S610&gt;0),"Short buildup (interpretation)",IF(AND(R610&gt;0,S610&lt;0),"Short covering (interpretation)",IF(AND(R610&lt;0,S610&lt;0),"Long unwinding (interpretation)","Neutral")))))</f>
        <v>Long unwinding (interpretation)</v>
      </c>
      <c r="V610" s="52" t="str">
        <f aca="false">TEXT(B610,"yyyy-mm")</f>
        <v>2025-11</v>
      </c>
      <c r="W610" s="52" t="n">
        <f aca="false">1+COUNTIFS($B$2:$B$756,B610,$C$2:$C$756,"&lt;"&amp;C610)</f>
        <v>1</v>
      </c>
      <c r="X610" s="53" t="n">
        <f aca="false">IF(AND(ISNUMBER(P610),Q610&gt;0),P610*365/Q610,"")</f>
        <v>0.0872905785650071</v>
      </c>
      <c r="Y610" s="42" t="n">
        <f aca="false">IF(AND(C611=C610,ISNUMBER(R611)),R611,"")</f>
        <v>-0.73593859198654</v>
      </c>
      <c r="Z610" s="52" t="n">
        <f aca="false">IF(AND(W610=1,Q610&gt;Basis_Analysis!$B$3,ISNUMBER(Y610)),1,0)</f>
        <v>1</v>
      </c>
      <c r="AA610" s="43" t="n">
        <f aca="false">IF(W610=1,IF(SUMIFS($L$2:$L$756,$B$2:$B$756,B610,$W$2:$W$756,2)&gt;0,SUMIFS($L$2:$L$756,$B$2:$B$756,B610,$W$2:$W$756,2),""),"")</f>
        <v>1133625</v>
      </c>
      <c r="AB610" s="54" t="n">
        <f aca="false">IF(AND(W610=1,ISNUMBER(AA610)),L610/(L610+AA610),"")</f>
        <v>0.936731379394061</v>
      </c>
    </row>
    <row r="611" customFormat="false" ht="15" hidden="false" customHeight="true" outlineLevel="0" collapsed="false">
      <c r="A611" s="1" t="s">
        <v>274</v>
      </c>
      <c r="B611" s="46" t="n">
        <v>45965</v>
      </c>
      <c r="C611" s="46" t="n">
        <v>45986</v>
      </c>
      <c r="D611" s="47" t="n">
        <v>25874.7</v>
      </c>
      <c r="E611" s="47" t="n">
        <v>25911</v>
      </c>
      <c r="F611" s="47" t="n">
        <v>25693</v>
      </c>
      <c r="G611" s="47" t="n">
        <v>25708.3</v>
      </c>
      <c r="H611" s="47" t="n">
        <v>25699</v>
      </c>
      <c r="I611" s="47" t="n">
        <v>25708.3</v>
      </c>
      <c r="J611" s="48" t="n">
        <v>76225</v>
      </c>
      <c r="K611" s="47" t="n">
        <v>1473060.04</v>
      </c>
      <c r="L611" s="48" t="n">
        <v>17687175</v>
      </c>
      <c r="M611" s="48" t="n">
        <v>903150</v>
      </c>
      <c r="N611" s="47" t="n">
        <v>25597.65</v>
      </c>
      <c r="O611" s="47" t="n">
        <f aca="false">IF(AND(ISNUMBER(G611),ISNUMBER(N611)),G611-N611,"")</f>
        <v>110.649999999998</v>
      </c>
      <c r="P611" s="49" t="n">
        <f aca="false">IF(ISNUMBER(O611),O611/N611,"")</f>
        <v>0.00432266243190284</v>
      </c>
      <c r="Q611" s="50" t="n">
        <f aca="false">C611-B611</f>
        <v>21</v>
      </c>
      <c r="R611" s="51" t="n">
        <f aca="false">IF(AND(C611=C610,ISNUMBER(G611),ISNUMBER(G610)),(G611/G610-1)*100,"")</f>
        <v>-0.73593859198654</v>
      </c>
      <c r="S611" s="51" t="n">
        <f aca="false">IF(AND(C611=C610,ISNUMBER(L611),ISNUMBER(L610)),(L611/L610-1)*100,"")</f>
        <v>5.38100962075545</v>
      </c>
      <c r="T611" s="51" t="n">
        <f aca="false">IF(AND(C611=C610,ISNUMBER(G611),ISNUMBER(G610)),G611-G610,"")</f>
        <v>-190.600000000002</v>
      </c>
      <c r="U611" s="1" t="str">
        <f aca="false">IF(OR(NOT(ISNUMBER(R611)),NOT(ISNUMBER(S611))),"Not classified",IF(AND(R611&gt;0,S611&gt;0),"Long buildup (interpretation)",IF(AND(R611&lt;0,S611&gt;0),"Short buildup (interpretation)",IF(AND(R611&gt;0,S611&lt;0),"Short covering (interpretation)",IF(AND(R611&lt;0,S611&lt;0),"Long unwinding (interpretation)","Neutral")))))</f>
        <v>Short buildup (interpretation)</v>
      </c>
      <c r="V611" s="52" t="str">
        <f aca="false">TEXT(B611,"yyyy-mm")</f>
        <v>2025-11</v>
      </c>
      <c r="W611" s="52" t="n">
        <f aca="false">1+COUNTIFS($B$2:$B$756,B611,$C$2:$C$756,"&lt;"&amp;C611)</f>
        <v>1</v>
      </c>
      <c r="X611" s="53" t="n">
        <f aca="false">IF(AND(ISNUMBER(P611),Q611&gt;0),P611*365/Q611,"")</f>
        <v>0.0751319898878351</v>
      </c>
      <c r="Y611" s="42" t="n">
        <f aca="false">IF(AND(C612=C611,ISNUMBER(R612)),R612,"")</f>
        <v>-0.315462321507054</v>
      </c>
      <c r="Z611" s="52" t="n">
        <f aca="false">IF(AND(W611=1,Q611&gt;Basis_Analysis!$B$3,ISNUMBER(Y611)),1,0)</f>
        <v>1</v>
      </c>
      <c r="AA611" s="43" t="n">
        <f aca="false">IF(W611=1,IF(SUMIFS($L$2:$L$756,$B$2:$B$756,B611,$W$2:$W$756,2)&gt;0,SUMIFS($L$2:$L$756,$B$2:$B$756,B611,$W$2:$W$756,2),""),"")</f>
        <v>1209675</v>
      </c>
      <c r="AB611" s="54" t="n">
        <f aca="false">IF(AND(W611=1,ISNUMBER(AA611)),L611/(L611+AA611),"")</f>
        <v>0.935985362639805</v>
      </c>
    </row>
    <row r="612" customFormat="false" ht="15" hidden="false" customHeight="true" outlineLevel="0" collapsed="false">
      <c r="A612" s="1" t="s">
        <v>274</v>
      </c>
      <c r="B612" s="46" t="n">
        <v>45967</v>
      </c>
      <c r="C612" s="46" t="n">
        <v>45986</v>
      </c>
      <c r="D612" s="47" t="n">
        <v>25740.1</v>
      </c>
      <c r="E612" s="47" t="n">
        <v>25805</v>
      </c>
      <c r="F612" s="47" t="n">
        <v>25605</v>
      </c>
      <c r="G612" s="47" t="n">
        <v>25627.2</v>
      </c>
      <c r="H612" s="47" t="n">
        <v>25637.2</v>
      </c>
      <c r="I612" s="47" t="n">
        <v>25627.2</v>
      </c>
      <c r="J612" s="48" t="n">
        <v>60278</v>
      </c>
      <c r="K612" s="47" t="n">
        <v>1161174.33</v>
      </c>
      <c r="L612" s="48" t="n">
        <v>17669175</v>
      </c>
      <c r="M612" s="48" t="n">
        <v>-18000</v>
      </c>
      <c r="N612" s="47" t="n">
        <v>25509.7</v>
      </c>
      <c r="O612" s="47" t="n">
        <f aca="false">IF(AND(ISNUMBER(G612),ISNUMBER(N612)),G612-N612,"")</f>
        <v>117.5</v>
      </c>
      <c r="P612" s="49" t="n">
        <f aca="false">IF(ISNUMBER(O612),O612/N612,"")</f>
        <v>0.00460609101635848</v>
      </c>
      <c r="Q612" s="50" t="n">
        <f aca="false">C612-B612</f>
        <v>19</v>
      </c>
      <c r="R612" s="51" t="n">
        <f aca="false">IF(AND(C612=C611,ISNUMBER(G612),ISNUMBER(G611)),(G612/G611-1)*100,"")</f>
        <v>-0.315462321507054</v>
      </c>
      <c r="S612" s="51" t="n">
        <f aca="false">IF(AND(C612=C611,ISNUMBER(L612),ISNUMBER(L611)),(L612/L611-1)*100,"")</f>
        <v>-0.101768654406376</v>
      </c>
      <c r="T612" s="51" t="n">
        <f aca="false">IF(AND(C612=C611,ISNUMBER(G612),ISNUMBER(G611)),G612-G611,"")</f>
        <v>-81.0999999999985</v>
      </c>
      <c r="U612" s="1" t="str">
        <f aca="false">IF(OR(NOT(ISNUMBER(R612)),NOT(ISNUMBER(S612))),"Not classified",IF(AND(R612&gt;0,S612&gt;0),"Long buildup (interpretation)",IF(AND(R612&lt;0,S612&gt;0),"Short buildup (interpretation)",IF(AND(R612&gt;0,S612&lt;0),"Short covering (interpretation)",IF(AND(R612&lt;0,S612&lt;0),"Long unwinding (interpretation)","Neutral")))))</f>
        <v>Long unwinding (interpretation)</v>
      </c>
      <c r="V612" s="52" t="str">
        <f aca="false">TEXT(B612,"yyyy-mm")</f>
        <v>2025-11</v>
      </c>
      <c r="W612" s="52" t="n">
        <f aca="false">1+COUNTIFS($B$2:$B$756,B612,$C$2:$C$756,"&lt;"&amp;C612)</f>
        <v>1</v>
      </c>
      <c r="X612" s="53" t="n">
        <f aca="false">IF(AND(ISNUMBER(P612),Q612&gt;0),P612*365/Q612,"")</f>
        <v>0.0884854326826761</v>
      </c>
      <c r="Y612" s="42" t="n">
        <f aca="false">IF(AND(C613=C612,ISNUMBER(R613)),R613,"")</f>
        <v>-0.148279952550412</v>
      </c>
      <c r="Z612" s="52" t="n">
        <f aca="false">IF(AND(W612=1,Q612&gt;Basis_Analysis!$B$3,ISNUMBER(Y612)),1,0)</f>
        <v>1</v>
      </c>
      <c r="AA612" s="43" t="n">
        <f aca="false">IF(W612=1,IF(SUMIFS($L$2:$L$756,$B$2:$B$756,B612,$W$2:$W$756,2)&gt;0,SUMIFS($L$2:$L$756,$B$2:$B$756,B612,$W$2:$W$756,2),""),"")</f>
        <v>1233675</v>
      </c>
      <c r="AB612" s="54" t="n">
        <f aca="false">IF(AND(W612=1,ISNUMBER(AA612)),L612/(L612+AA612),"")</f>
        <v>0.93473603186821</v>
      </c>
    </row>
    <row r="613" customFormat="false" ht="15" hidden="false" customHeight="true" outlineLevel="0" collapsed="false">
      <c r="A613" s="1" t="s">
        <v>274</v>
      </c>
      <c r="B613" s="46" t="n">
        <v>45968</v>
      </c>
      <c r="C613" s="46" t="n">
        <v>45986</v>
      </c>
      <c r="D613" s="47" t="n">
        <v>25545</v>
      </c>
      <c r="E613" s="47" t="n">
        <v>25656.4</v>
      </c>
      <c r="F613" s="47" t="n">
        <v>25428.1</v>
      </c>
      <c r="G613" s="47" t="n">
        <v>25589.2</v>
      </c>
      <c r="H613" s="47" t="n">
        <v>25605</v>
      </c>
      <c r="I613" s="47" t="n">
        <v>25589.2</v>
      </c>
      <c r="J613" s="48" t="n">
        <v>92173</v>
      </c>
      <c r="K613" s="47" t="n">
        <v>1765280.93</v>
      </c>
      <c r="L613" s="48" t="n">
        <v>18547500</v>
      </c>
      <c r="M613" s="48" t="n">
        <v>878325</v>
      </c>
      <c r="N613" s="47" t="n">
        <v>25492.3</v>
      </c>
      <c r="O613" s="47" t="n">
        <f aca="false">IF(AND(ISNUMBER(G613),ISNUMBER(N613)),G613-N613,"")</f>
        <v>96.9000000000015</v>
      </c>
      <c r="P613" s="49" t="n">
        <f aca="false">IF(ISNUMBER(O613),O613/N613,"")</f>
        <v>0.0038011477975703</v>
      </c>
      <c r="Q613" s="50" t="n">
        <f aca="false">C613-B613</f>
        <v>18</v>
      </c>
      <c r="R613" s="51" t="n">
        <f aca="false">IF(AND(C613=C612,ISNUMBER(G613),ISNUMBER(G612)),(G613/G612-1)*100,"")</f>
        <v>-0.148279952550412</v>
      </c>
      <c r="S613" s="51" t="n">
        <f aca="false">IF(AND(C613=C612,ISNUMBER(L613),ISNUMBER(L612)),(L613/L612-1)*100,"")</f>
        <v>4.97094516297449</v>
      </c>
      <c r="T613" s="51" t="n">
        <f aca="false">IF(AND(C613=C612,ISNUMBER(G613),ISNUMBER(G612)),G613-G612,"")</f>
        <v>-38</v>
      </c>
      <c r="U613" s="1" t="str">
        <f aca="false">IF(OR(NOT(ISNUMBER(R613)),NOT(ISNUMBER(S613))),"Not classified",IF(AND(R613&gt;0,S613&gt;0),"Long buildup (interpretation)",IF(AND(R613&lt;0,S613&gt;0),"Short buildup (interpretation)",IF(AND(R613&gt;0,S613&lt;0),"Short covering (interpretation)",IF(AND(R613&lt;0,S613&lt;0),"Long unwinding (interpretation)","Neutral")))))</f>
        <v>Short buildup (interpretation)</v>
      </c>
      <c r="V613" s="52" t="str">
        <f aca="false">TEXT(B613,"yyyy-mm")</f>
        <v>2025-11</v>
      </c>
      <c r="W613" s="52" t="n">
        <f aca="false">1+COUNTIFS($B$2:$B$756,B613,$C$2:$C$756,"&lt;"&amp;C613)</f>
        <v>1</v>
      </c>
      <c r="X613" s="53" t="n">
        <f aca="false">IF(AND(ISNUMBER(P613),Q613&gt;0),P613*365/Q613,"")</f>
        <v>0.0770788303396201</v>
      </c>
      <c r="Y613" s="42" t="n">
        <f aca="false">IF(AND(C614=C613,ISNUMBER(R614)),R614,"")</f>
        <v>0.411501727291208</v>
      </c>
      <c r="Z613" s="52" t="n">
        <f aca="false">IF(AND(W613=1,Q613&gt;Basis_Analysis!$B$3,ISNUMBER(Y613)),1,0)</f>
        <v>1</v>
      </c>
      <c r="AA613" s="43" t="n">
        <f aca="false">IF(W613=1,IF(SUMIFS($L$2:$L$756,$B$2:$B$756,B613,$W$2:$W$756,2)&gt;0,SUMIFS($L$2:$L$756,$B$2:$B$756,B613,$W$2:$W$756,2),""),"")</f>
        <v>1364700</v>
      </c>
      <c r="AB613" s="54" t="n">
        <f aca="false">IF(AND(W613=1,ISNUMBER(AA613)),L613/(L613+AA613),"")</f>
        <v>0.931464127519812</v>
      </c>
    </row>
    <row r="614" customFormat="false" ht="15" hidden="false" customHeight="true" outlineLevel="0" collapsed="false">
      <c r="A614" s="1" t="s">
        <v>274</v>
      </c>
      <c r="B614" s="46" t="n">
        <v>45971</v>
      </c>
      <c r="C614" s="46" t="n">
        <v>45986</v>
      </c>
      <c r="D614" s="47" t="n">
        <v>25690</v>
      </c>
      <c r="E614" s="47" t="n">
        <v>25747</v>
      </c>
      <c r="F614" s="47" t="n">
        <v>25617.8</v>
      </c>
      <c r="G614" s="47" t="n">
        <v>25694.5</v>
      </c>
      <c r="H614" s="47" t="n">
        <v>25696.9</v>
      </c>
      <c r="I614" s="47" t="n">
        <v>25694.5</v>
      </c>
      <c r="J614" s="48" t="n">
        <v>48889</v>
      </c>
      <c r="K614" s="47" t="n">
        <v>942202.24</v>
      </c>
      <c r="L614" s="48" t="n">
        <v>18529950</v>
      </c>
      <c r="M614" s="48" t="n">
        <v>-17550</v>
      </c>
      <c r="N614" s="47" t="n">
        <v>25574.35</v>
      </c>
      <c r="O614" s="47" t="n">
        <f aca="false">IF(AND(ISNUMBER(G614),ISNUMBER(N614)),G614-N614,"")</f>
        <v>120.150000000001</v>
      </c>
      <c r="P614" s="49" t="n">
        <f aca="false">IF(ISNUMBER(O614),O614/N614,"")</f>
        <v>0.00469806661752895</v>
      </c>
      <c r="Q614" s="50" t="n">
        <f aca="false">C614-B614</f>
        <v>15</v>
      </c>
      <c r="R614" s="51" t="n">
        <f aca="false">IF(AND(C614=C613,ISNUMBER(G614),ISNUMBER(G613)),(G614/G613-1)*100,"")</f>
        <v>0.411501727291208</v>
      </c>
      <c r="S614" s="51" t="n">
        <f aca="false">IF(AND(C614=C613,ISNUMBER(L614),ISNUMBER(L613)),(L614/L613-1)*100,"")</f>
        <v>-0.0946219167003659</v>
      </c>
      <c r="T614" s="51" t="n">
        <f aca="false">IF(AND(C614=C613,ISNUMBER(G614),ISNUMBER(G613)),G614-G613,"")</f>
        <v>105.299999999999</v>
      </c>
      <c r="U614" s="1" t="str">
        <f aca="false">IF(OR(NOT(ISNUMBER(R614)),NOT(ISNUMBER(S614))),"Not classified",IF(AND(R614&gt;0,S614&gt;0),"Long buildup (interpretation)",IF(AND(R614&lt;0,S614&gt;0),"Short buildup (interpretation)",IF(AND(R614&gt;0,S614&lt;0),"Short covering (interpretation)",IF(AND(R614&lt;0,S614&lt;0),"Long unwinding (interpretation)","Neutral")))))</f>
        <v>Short covering (interpretation)</v>
      </c>
      <c r="V614" s="52" t="str">
        <f aca="false">TEXT(B614,"yyyy-mm")</f>
        <v>2025-11</v>
      </c>
      <c r="W614" s="52" t="n">
        <f aca="false">1+COUNTIFS($B$2:$B$756,B614,$C$2:$C$756,"&lt;"&amp;C614)</f>
        <v>1</v>
      </c>
      <c r="X614" s="53" t="n">
        <f aca="false">IF(AND(ISNUMBER(P614),Q614&gt;0),P614*365/Q614,"")</f>
        <v>0.114319621026538</v>
      </c>
      <c r="Y614" s="42" t="n">
        <f aca="false">IF(AND(C615=C614,ISNUMBER(R615)),R615,"")</f>
        <v>0.454961178462332</v>
      </c>
      <c r="Z614" s="52" t="n">
        <f aca="false">IF(AND(W614=1,Q614&gt;Basis_Analysis!$B$3,ISNUMBER(Y614)),1,0)</f>
        <v>1</v>
      </c>
      <c r="AA614" s="43" t="n">
        <f aca="false">IF(W614=1,IF(SUMIFS($L$2:$L$756,$B$2:$B$756,B614,$W$2:$W$756,2)&gt;0,SUMIFS($L$2:$L$756,$B$2:$B$756,B614,$W$2:$W$756,2),""),"")</f>
        <v>1373250</v>
      </c>
      <c r="AB614" s="54" t="n">
        <f aca="false">IF(AND(W614=1,ISNUMBER(AA614)),L614/(L614+AA614),"")</f>
        <v>0.93100355721693</v>
      </c>
    </row>
    <row r="615" customFormat="false" ht="15" hidden="false" customHeight="true" outlineLevel="0" collapsed="false">
      <c r="A615" s="1" t="s">
        <v>274</v>
      </c>
      <c r="B615" s="46" t="n">
        <v>45972</v>
      </c>
      <c r="C615" s="46" t="n">
        <v>45986</v>
      </c>
      <c r="D615" s="47" t="n">
        <v>25731</v>
      </c>
      <c r="E615" s="47" t="n">
        <v>25835</v>
      </c>
      <c r="F615" s="47" t="n">
        <v>25555</v>
      </c>
      <c r="G615" s="47" t="n">
        <v>25811.4</v>
      </c>
      <c r="H615" s="47" t="n">
        <v>25831.8</v>
      </c>
      <c r="I615" s="47" t="n">
        <v>25811.4</v>
      </c>
      <c r="J615" s="48" t="n">
        <v>87556</v>
      </c>
      <c r="K615" s="47" t="n">
        <v>1687270.36</v>
      </c>
      <c r="L615" s="48" t="n">
        <v>18523050</v>
      </c>
      <c r="M615" s="48" t="n">
        <v>-6900</v>
      </c>
      <c r="N615" s="47" t="n">
        <v>25694.95</v>
      </c>
      <c r="O615" s="47" t="n">
        <f aca="false">IF(AND(ISNUMBER(G615),ISNUMBER(N615)),G615-N615,"")</f>
        <v>116.450000000001</v>
      </c>
      <c r="P615" s="49" t="n">
        <f aca="false">IF(ISNUMBER(O615),O615/N615,"")</f>
        <v>0.00453201893757337</v>
      </c>
      <c r="Q615" s="50" t="n">
        <f aca="false">C615-B615</f>
        <v>14</v>
      </c>
      <c r="R615" s="51" t="n">
        <f aca="false">IF(AND(C615=C614,ISNUMBER(G615),ISNUMBER(G614)),(G615/G614-1)*100,"")</f>
        <v>0.454961178462332</v>
      </c>
      <c r="S615" s="51" t="n">
        <f aca="false">IF(AND(C615=C614,ISNUMBER(L615),ISNUMBER(L614)),(L615/L614-1)*100,"")</f>
        <v>-0.0372370135915068</v>
      </c>
      <c r="T615" s="51" t="n">
        <f aca="false">IF(AND(C615=C614,ISNUMBER(G615),ISNUMBER(G614)),G615-G614,"")</f>
        <v>116.900000000001</v>
      </c>
      <c r="U615" s="1" t="str">
        <f aca="false">IF(OR(NOT(ISNUMBER(R615)),NOT(ISNUMBER(S615))),"Not classified",IF(AND(R615&gt;0,S615&gt;0),"Long buildup (interpretation)",IF(AND(R615&lt;0,S615&gt;0),"Short buildup (interpretation)",IF(AND(R615&gt;0,S615&lt;0),"Short covering (interpretation)",IF(AND(R615&lt;0,S615&lt;0),"Long unwinding (interpretation)","Neutral")))))</f>
        <v>Short covering (interpretation)</v>
      </c>
      <c r="V615" s="52" t="str">
        <f aca="false">TEXT(B615,"yyyy-mm")</f>
        <v>2025-11</v>
      </c>
      <c r="W615" s="52" t="n">
        <f aca="false">1+COUNTIFS($B$2:$B$756,B615,$C$2:$C$756,"&lt;"&amp;C615)</f>
        <v>1</v>
      </c>
      <c r="X615" s="53" t="n">
        <f aca="false">IF(AND(ISNUMBER(P615),Q615&gt;0),P615*365/Q615,"")</f>
        <v>0.118156208015306</v>
      </c>
      <c r="Y615" s="42" t="n">
        <f aca="false">IF(AND(C616=C615,ISNUMBER(R616)),R616,"")</f>
        <v>0.676832717326437</v>
      </c>
      <c r="Z615" s="52" t="n">
        <f aca="false">IF(AND(W615=1,Q615&gt;Basis_Analysis!$B$3,ISNUMBER(Y615)),1,0)</f>
        <v>1</v>
      </c>
      <c r="AA615" s="43" t="n">
        <f aca="false">IF(W615=1,IF(SUMIFS($L$2:$L$756,$B$2:$B$756,B615,$W$2:$W$756,2)&gt;0,SUMIFS($L$2:$L$756,$B$2:$B$756,B615,$W$2:$W$756,2),""),"")</f>
        <v>1410375</v>
      </c>
      <c r="AB615" s="54" t="n">
        <f aca="false">IF(AND(W615=1,ISNUMBER(AA615)),L615/(L615+AA615),"")</f>
        <v>0.929245726712795</v>
      </c>
    </row>
    <row r="616" customFormat="false" ht="15" hidden="false" customHeight="true" outlineLevel="0" collapsed="false">
      <c r="A616" s="1" t="s">
        <v>274</v>
      </c>
      <c r="B616" s="46" t="n">
        <v>45973</v>
      </c>
      <c r="C616" s="46" t="n">
        <v>45986</v>
      </c>
      <c r="D616" s="47" t="n">
        <v>25925.6</v>
      </c>
      <c r="E616" s="47" t="n">
        <v>26024</v>
      </c>
      <c r="F616" s="47" t="n">
        <v>25902.2</v>
      </c>
      <c r="G616" s="47" t="n">
        <v>25986.1</v>
      </c>
      <c r="H616" s="47" t="n">
        <v>25979.1</v>
      </c>
      <c r="I616" s="47" t="n">
        <v>25986.1</v>
      </c>
      <c r="J616" s="48" t="n">
        <v>70367</v>
      </c>
      <c r="K616" s="47" t="n">
        <v>1370374.73</v>
      </c>
      <c r="L616" s="48" t="n">
        <v>17753700</v>
      </c>
      <c r="M616" s="48" t="n">
        <v>-769350</v>
      </c>
      <c r="N616" s="47" t="n">
        <v>25875.8</v>
      </c>
      <c r="O616" s="47" t="n">
        <f aca="false">IF(AND(ISNUMBER(G616),ISNUMBER(N616)),G616-N616,"")</f>
        <v>110.299999999999</v>
      </c>
      <c r="P616" s="49" t="n">
        <f aca="false">IF(ISNUMBER(O616),O616/N616,"")</f>
        <v>0.00426267013966715</v>
      </c>
      <c r="Q616" s="50" t="n">
        <f aca="false">C616-B616</f>
        <v>13</v>
      </c>
      <c r="R616" s="51" t="n">
        <f aca="false">IF(AND(C616=C615,ISNUMBER(G616),ISNUMBER(G615)),(G616/G615-1)*100,"")</f>
        <v>0.676832717326437</v>
      </c>
      <c r="S616" s="51" t="n">
        <f aca="false">IF(AND(C616=C615,ISNUMBER(L616),ISNUMBER(L615)),(L616/L615-1)*100,"")</f>
        <v>-4.15347364499907</v>
      </c>
      <c r="T616" s="51" t="n">
        <f aca="false">IF(AND(C616=C615,ISNUMBER(G616),ISNUMBER(G615)),G616-G615,"")</f>
        <v>174.699999999997</v>
      </c>
      <c r="U616" s="1" t="str">
        <f aca="false">IF(OR(NOT(ISNUMBER(R616)),NOT(ISNUMBER(S616))),"Not classified",IF(AND(R616&gt;0,S616&gt;0),"Long buildup (interpretation)",IF(AND(R616&lt;0,S616&gt;0),"Short buildup (interpretation)",IF(AND(R616&gt;0,S616&lt;0),"Short covering (interpretation)",IF(AND(R616&lt;0,S616&lt;0),"Long unwinding (interpretation)","Neutral")))))</f>
        <v>Short covering (interpretation)</v>
      </c>
      <c r="V616" s="52" t="str">
        <f aca="false">TEXT(B616,"yyyy-mm")</f>
        <v>2025-11</v>
      </c>
      <c r="W616" s="52" t="n">
        <f aca="false">1+COUNTIFS($B$2:$B$756,B616,$C$2:$C$756,"&lt;"&amp;C616)</f>
        <v>1</v>
      </c>
      <c r="X616" s="53" t="n">
        <f aca="false">IF(AND(ISNUMBER(P616),Q616&gt;0),P616*365/Q616,"")</f>
        <v>0.119682661613732</v>
      </c>
      <c r="Y616" s="42" t="n">
        <f aca="false">IF(AND(C617=C616,ISNUMBER(R617)),R617,"")</f>
        <v>-0.124297220437075</v>
      </c>
      <c r="Z616" s="52" t="n">
        <f aca="false">IF(AND(W616=1,Q616&gt;Basis_Analysis!$B$3,ISNUMBER(Y616)),1,0)</f>
        <v>1</v>
      </c>
      <c r="AA616" s="43" t="n">
        <f aca="false">IF(W616=1,IF(SUMIFS($L$2:$L$756,$B$2:$B$756,B616,$W$2:$W$756,2)&gt;0,SUMIFS($L$2:$L$756,$B$2:$B$756,B616,$W$2:$W$756,2),""),"")</f>
        <v>1553100</v>
      </c>
      <c r="AB616" s="54" t="n">
        <f aca="false">IF(AND(W616=1,ISNUMBER(AA616)),L616/(L616+AA616),"")</f>
        <v>0.919556840077071</v>
      </c>
    </row>
    <row r="617" customFormat="false" ht="15" hidden="false" customHeight="true" outlineLevel="0" collapsed="false">
      <c r="A617" s="1" t="s">
        <v>274</v>
      </c>
      <c r="B617" s="46" t="n">
        <v>45974</v>
      </c>
      <c r="C617" s="46" t="n">
        <v>45986</v>
      </c>
      <c r="D617" s="47" t="n">
        <v>25952</v>
      </c>
      <c r="E617" s="47" t="n">
        <v>26092.5</v>
      </c>
      <c r="F617" s="47" t="n">
        <v>25896.2</v>
      </c>
      <c r="G617" s="47" t="n">
        <v>25953.8</v>
      </c>
      <c r="H617" s="47" t="n">
        <v>25951</v>
      </c>
      <c r="I617" s="47" t="n">
        <v>25953.8</v>
      </c>
      <c r="J617" s="48" t="n">
        <v>69068</v>
      </c>
      <c r="K617" s="47" t="n">
        <v>1346793.53</v>
      </c>
      <c r="L617" s="48" t="n">
        <v>17577300</v>
      </c>
      <c r="M617" s="48" t="n">
        <v>-176400</v>
      </c>
      <c r="N617" s="47" t="n">
        <v>25879.15</v>
      </c>
      <c r="O617" s="47" t="n">
        <f aca="false">IF(AND(ISNUMBER(G617),ISNUMBER(N617)),G617-N617,"")</f>
        <v>74.6499999999978</v>
      </c>
      <c r="P617" s="49" t="n">
        <f aca="false">IF(ISNUMBER(O617),O617/N617,"")</f>
        <v>0.00288456150994132</v>
      </c>
      <c r="Q617" s="50" t="n">
        <f aca="false">C617-B617</f>
        <v>12</v>
      </c>
      <c r="R617" s="51" t="n">
        <f aca="false">IF(AND(C617=C616,ISNUMBER(G617),ISNUMBER(G616)),(G617/G616-1)*100,"")</f>
        <v>-0.124297220437075</v>
      </c>
      <c r="S617" s="51" t="n">
        <f aca="false">IF(AND(C617=C616,ISNUMBER(L617),ISNUMBER(L616)),(L617/L616-1)*100,"")</f>
        <v>-0.993595701177785</v>
      </c>
      <c r="T617" s="51" t="n">
        <f aca="false">IF(AND(C617=C616,ISNUMBER(G617),ISNUMBER(G616)),G617-G616,"")</f>
        <v>-32.2999999999993</v>
      </c>
      <c r="U617" s="1" t="str">
        <f aca="false">IF(OR(NOT(ISNUMBER(R617)),NOT(ISNUMBER(S617))),"Not classified",IF(AND(R617&gt;0,S617&gt;0),"Long buildup (interpretation)",IF(AND(R617&lt;0,S617&gt;0),"Short buildup (interpretation)",IF(AND(R617&gt;0,S617&lt;0),"Short covering (interpretation)",IF(AND(R617&lt;0,S617&lt;0),"Long unwinding (interpretation)","Neutral")))))</f>
        <v>Long unwinding (interpretation)</v>
      </c>
      <c r="V617" s="52" t="str">
        <f aca="false">TEXT(B617,"yyyy-mm")</f>
        <v>2025-11</v>
      </c>
      <c r="W617" s="52" t="n">
        <f aca="false">1+COUNTIFS($B$2:$B$756,B617,$C$2:$C$756,"&lt;"&amp;C617)</f>
        <v>1</v>
      </c>
      <c r="X617" s="53" t="n">
        <f aca="false">IF(AND(ISNUMBER(P617),Q617&gt;0),P617*365/Q617,"")</f>
        <v>0.0877387459273817</v>
      </c>
      <c r="Y617" s="42" t="n">
        <f aca="false">IF(AND(C618=C617,ISNUMBER(R618)),R618,"")</f>
        <v>-0.00924720079524821</v>
      </c>
      <c r="Z617" s="52" t="n">
        <f aca="false">IF(AND(W617=1,Q617&gt;Basis_Analysis!$B$3,ISNUMBER(Y617)),1,0)</f>
        <v>1</v>
      </c>
      <c r="AA617" s="43" t="n">
        <f aca="false">IF(W617=1,IF(SUMIFS($L$2:$L$756,$B$2:$B$756,B617,$W$2:$W$756,2)&gt;0,SUMIFS($L$2:$L$756,$B$2:$B$756,B617,$W$2:$W$756,2),""),"")</f>
        <v>1660125</v>
      </c>
      <c r="AB617" s="54" t="n">
        <f aca="false">IF(AND(W617=1,ISNUMBER(AA617)),L617/(L617+AA617),"")</f>
        <v>0.91370336726459</v>
      </c>
    </row>
    <row r="618" customFormat="false" ht="15" hidden="false" customHeight="true" outlineLevel="0" collapsed="false">
      <c r="A618" s="1" t="s">
        <v>274</v>
      </c>
      <c r="B618" s="46" t="n">
        <v>45975</v>
      </c>
      <c r="C618" s="46" t="n">
        <v>45986</v>
      </c>
      <c r="D618" s="47" t="n">
        <v>25904</v>
      </c>
      <c r="E618" s="47" t="n">
        <v>25983</v>
      </c>
      <c r="F618" s="47" t="n">
        <v>25815</v>
      </c>
      <c r="G618" s="47" t="n">
        <v>25951.4</v>
      </c>
      <c r="H618" s="47" t="n">
        <v>25971.6</v>
      </c>
      <c r="I618" s="47" t="n">
        <v>25951.4</v>
      </c>
      <c r="J618" s="48" t="n">
        <v>107879</v>
      </c>
      <c r="K618" s="47" t="n">
        <v>2095969.13</v>
      </c>
      <c r="L618" s="48" t="n">
        <v>18342450</v>
      </c>
      <c r="M618" s="48" t="n">
        <v>765150</v>
      </c>
      <c r="N618" s="47" t="n">
        <v>25910.05</v>
      </c>
      <c r="O618" s="47" t="n">
        <f aca="false">IF(AND(ISNUMBER(G618),ISNUMBER(N618)),G618-N618,"")</f>
        <v>41.3500000000022</v>
      </c>
      <c r="P618" s="49" t="n">
        <f aca="false">IF(ISNUMBER(O618),O618/N618,"")</f>
        <v>0.00159590583576651</v>
      </c>
      <c r="Q618" s="50" t="n">
        <f aca="false">C618-B618</f>
        <v>11</v>
      </c>
      <c r="R618" s="51" t="n">
        <f aca="false">IF(AND(C618=C617,ISNUMBER(G618),ISNUMBER(G617)),(G618/G617-1)*100,"")</f>
        <v>-0.00924720079524821</v>
      </c>
      <c r="S618" s="51" t="n">
        <f aca="false">IF(AND(C618=C617,ISNUMBER(L618),ISNUMBER(L617)),(L618/L617-1)*100,"")</f>
        <v>4.35305763683842</v>
      </c>
      <c r="T618" s="51" t="n">
        <f aca="false">IF(AND(C618=C617,ISNUMBER(G618),ISNUMBER(G617)),G618-G617,"")</f>
        <v>-2.39999999999782</v>
      </c>
      <c r="U618" s="1" t="str">
        <f aca="false">IF(OR(NOT(ISNUMBER(R618)),NOT(ISNUMBER(S618))),"Not classified",IF(AND(R618&gt;0,S618&gt;0),"Long buildup (interpretation)",IF(AND(R618&lt;0,S618&gt;0),"Short buildup (interpretation)",IF(AND(R618&gt;0,S618&lt;0),"Short covering (interpretation)",IF(AND(R618&lt;0,S618&lt;0),"Long unwinding (interpretation)","Neutral")))))</f>
        <v>Short buildup (interpretation)</v>
      </c>
      <c r="V618" s="52" t="str">
        <f aca="false">TEXT(B618,"yyyy-mm")</f>
        <v>2025-11</v>
      </c>
      <c r="W618" s="52" t="n">
        <f aca="false">1+COUNTIFS($B$2:$B$756,B618,$C$2:$C$756,"&lt;"&amp;C618)</f>
        <v>1</v>
      </c>
      <c r="X618" s="53" t="n">
        <f aca="false">IF(AND(ISNUMBER(P618),Q618&gt;0),P618*365/Q618,"")</f>
        <v>0.0529550572777071</v>
      </c>
      <c r="Y618" s="42" t="n">
        <f aca="false">IF(AND(C619=C618,ISNUMBER(R619)),R619,"")</f>
        <v>0.418859868831722</v>
      </c>
      <c r="Z618" s="52" t="n">
        <f aca="false">IF(AND(W618=1,Q618&gt;Basis_Analysis!$B$3,ISNUMBER(Y618)),1,0)</f>
        <v>1</v>
      </c>
      <c r="AA618" s="43" t="n">
        <f aca="false">IF(W618=1,IF(SUMIFS($L$2:$L$756,$B$2:$B$756,B618,$W$2:$W$756,2)&gt;0,SUMIFS($L$2:$L$756,$B$2:$B$756,B618,$W$2:$W$756,2),""),"")</f>
        <v>1849275</v>
      </c>
      <c r="AB618" s="54" t="n">
        <f aca="false">IF(AND(W618=1,ISNUMBER(AA618)),L618/(L618+AA618),"")</f>
        <v>0.908414214238754</v>
      </c>
    </row>
    <row r="619" customFormat="false" ht="15" hidden="false" customHeight="true" outlineLevel="0" collapsed="false">
      <c r="A619" s="1" t="s">
        <v>274</v>
      </c>
      <c r="B619" s="46" t="n">
        <v>45978</v>
      </c>
      <c r="C619" s="46" t="n">
        <v>45986</v>
      </c>
      <c r="D619" s="47" t="n">
        <v>26006</v>
      </c>
      <c r="E619" s="47" t="n">
        <v>26083</v>
      </c>
      <c r="F619" s="47" t="n">
        <v>25971</v>
      </c>
      <c r="G619" s="47" t="n">
        <v>26060.1</v>
      </c>
      <c r="H619" s="47" t="n">
        <v>26061.9</v>
      </c>
      <c r="I619" s="47" t="n">
        <v>26060.1</v>
      </c>
      <c r="J619" s="48" t="n">
        <v>53526</v>
      </c>
      <c r="K619" s="47" t="n">
        <v>1045247.62</v>
      </c>
      <c r="L619" s="48" t="n">
        <v>18060375</v>
      </c>
      <c r="M619" s="48" t="n">
        <v>-282075</v>
      </c>
      <c r="N619" s="47" t="n">
        <v>26013.45</v>
      </c>
      <c r="O619" s="47" t="n">
        <f aca="false">IF(AND(ISNUMBER(G619),ISNUMBER(N619)),G619-N619,"")</f>
        <v>46.6499999999978</v>
      </c>
      <c r="P619" s="49" t="n">
        <f aca="false">IF(ISNUMBER(O619),O619/N619,"")</f>
        <v>0.00179330307975289</v>
      </c>
      <c r="Q619" s="50" t="n">
        <f aca="false">C619-B619</f>
        <v>8</v>
      </c>
      <c r="R619" s="51" t="n">
        <f aca="false">IF(AND(C619=C618,ISNUMBER(G619),ISNUMBER(G618)),(G619/G618-1)*100,"")</f>
        <v>0.418859868831722</v>
      </c>
      <c r="S619" s="51" t="n">
        <f aca="false">IF(AND(C619=C618,ISNUMBER(L619),ISNUMBER(L618)),(L619/L618-1)*100,"")</f>
        <v>-1.5378261900673</v>
      </c>
      <c r="T619" s="51" t="n">
        <f aca="false">IF(AND(C619=C618,ISNUMBER(G619),ISNUMBER(G618)),G619-G618,"")</f>
        <v>108.699999999997</v>
      </c>
      <c r="U619" s="1" t="str">
        <f aca="false">IF(OR(NOT(ISNUMBER(R619)),NOT(ISNUMBER(S619))),"Not classified",IF(AND(R619&gt;0,S619&gt;0),"Long buildup (interpretation)",IF(AND(R619&lt;0,S619&gt;0),"Short buildup (interpretation)",IF(AND(R619&gt;0,S619&lt;0),"Short covering (interpretation)",IF(AND(R619&lt;0,S619&lt;0),"Long unwinding (interpretation)","Neutral")))))</f>
        <v>Short covering (interpretation)</v>
      </c>
      <c r="V619" s="52" t="str">
        <f aca="false">TEXT(B619,"yyyy-mm")</f>
        <v>2025-11</v>
      </c>
      <c r="W619" s="52" t="n">
        <f aca="false">1+COUNTIFS($B$2:$B$756,B619,$C$2:$C$756,"&lt;"&amp;C619)</f>
        <v>1</v>
      </c>
      <c r="X619" s="53" t="n">
        <f aca="false">IF(AND(ISNUMBER(P619),Q619&gt;0),P619*365/Q619,"")</f>
        <v>0.0818194530137256</v>
      </c>
      <c r="Y619" s="42" t="n">
        <f aca="false">IF(AND(C620=C619,ISNUMBER(R620)),R620,"")</f>
        <v>-0.427089688834648</v>
      </c>
      <c r="Z619" s="52" t="n">
        <f aca="false">IF(AND(W619=1,Q619&gt;Basis_Analysis!$B$3,ISNUMBER(Y619)),1,0)</f>
        <v>1</v>
      </c>
      <c r="AA619" s="43" t="n">
        <f aca="false">IF(W619=1,IF(SUMIFS($L$2:$L$756,$B$2:$B$756,B619,$W$2:$W$756,2)&gt;0,SUMIFS($L$2:$L$756,$B$2:$B$756,B619,$W$2:$W$756,2),""),"")</f>
        <v>2064525</v>
      </c>
      <c r="AB619" s="54" t="n">
        <f aca="false">IF(AND(W619=1,ISNUMBER(AA619)),L619/(L619+AA619),"")</f>
        <v>0.897414397090172</v>
      </c>
    </row>
    <row r="620" customFormat="false" ht="15" hidden="false" customHeight="true" outlineLevel="0" collapsed="false">
      <c r="A620" s="1" t="s">
        <v>274</v>
      </c>
      <c r="B620" s="46" t="n">
        <v>45979</v>
      </c>
      <c r="C620" s="46" t="n">
        <v>45986</v>
      </c>
      <c r="D620" s="47" t="n">
        <v>26020</v>
      </c>
      <c r="E620" s="47" t="n">
        <v>26042</v>
      </c>
      <c r="F620" s="47" t="n">
        <v>25905.7</v>
      </c>
      <c r="G620" s="47" t="n">
        <v>25948.8</v>
      </c>
      <c r="H620" s="47" t="n">
        <v>25933.9</v>
      </c>
      <c r="I620" s="47" t="n">
        <v>25948.8</v>
      </c>
      <c r="J620" s="48" t="n">
        <v>68819</v>
      </c>
      <c r="K620" s="47" t="n">
        <v>1340511.43</v>
      </c>
      <c r="L620" s="48" t="n">
        <v>17610000</v>
      </c>
      <c r="M620" s="48" t="n">
        <v>-450375</v>
      </c>
      <c r="N620" s="47" t="n">
        <v>25910.05</v>
      </c>
      <c r="O620" s="47" t="n">
        <f aca="false">IF(AND(ISNUMBER(G620),ISNUMBER(N620)),G620-N620,"")</f>
        <v>38.75</v>
      </c>
      <c r="P620" s="49" t="n">
        <f aca="false">IF(ISNUMBER(O620),O620/N620,"")</f>
        <v>0.00149555867317894</v>
      </c>
      <c r="Q620" s="50" t="n">
        <f aca="false">C620-B620</f>
        <v>7</v>
      </c>
      <c r="R620" s="51" t="n">
        <f aca="false">IF(AND(C620=C619,ISNUMBER(G620),ISNUMBER(G619)),(G620/G619-1)*100,"")</f>
        <v>-0.427089688834648</v>
      </c>
      <c r="S620" s="51" t="n">
        <f aca="false">IF(AND(C620=C619,ISNUMBER(L620),ISNUMBER(L619)),(L620/L619-1)*100,"")</f>
        <v>-2.49371898424036</v>
      </c>
      <c r="T620" s="51" t="n">
        <f aca="false">IF(AND(C620=C619,ISNUMBER(G620),ISNUMBER(G619)),G620-G619,"")</f>
        <v>-111.299999999999</v>
      </c>
      <c r="U620" s="1" t="str">
        <f aca="false">IF(OR(NOT(ISNUMBER(R620)),NOT(ISNUMBER(S620))),"Not classified",IF(AND(R620&gt;0,S620&gt;0),"Long buildup (interpretation)",IF(AND(R620&lt;0,S620&gt;0),"Short buildup (interpretation)",IF(AND(R620&gt;0,S620&lt;0),"Short covering (interpretation)",IF(AND(R620&lt;0,S620&lt;0),"Long unwinding (interpretation)","Neutral")))))</f>
        <v>Long unwinding (interpretation)</v>
      </c>
      <c r="V620" s="52" t="str">
        <f aca="false">TEXT(B620,"yyyy-mm")</f>
        <v>2025-11</v>
      </c>
      <c r="W620" s="52" t="n">
        <f aca="false">1+COUNTIFS($B$2:$B$756,B620,$C$2:$C$756,"&lt;"&amp;C620)</f>
        <v>1</v>
      </c>
      <c r="X620" s="53" t="n">
        <f aca="false">IF(AND(ISNUMBER(P620),Q620&gt;0),P620*365/Q620,"")</f>
        <v>0.0779827022443305</v>
      </c>
      <c r="Y620" s="42" t="n">
        <f aca="false">IF(AND(C621=C620,ISNUMBER(R621)),R621,"")</f>
        <v>0.470927364656548</v>
      </c>
      <c r="Z620" s="52" t="n">
        <f aca="false">IF(AND(W620=1,Q620&gt;Basis_Analysis!$B$3,ISNUMBER(Y620)),1,0)</f>
        <v>1</v>
      </c>
      <c r="AA620" s="43" t="n">
        <f aca="false">IF(W620=1,IF(SUMIFS($L$2:$L$756,$B$2:$B$756,B620,$W$2:$W$756,2)&gt;0,SUMIFS($L$2:$L$756,$B$2:$B$756,B620,$W$2:$W$756,2),""),"")</f>
        <v>2301075</v>
      </c>
      <c r="AB620" s="54" t="n">
        <f aca="false">IF(AND(W620=1,ISNUMBER(AA620)),L620/(L620+AA620),"")</f>
        <v>0.884432407592257</v>
      </c>
    </row>
    <row r="621" customFormat="false" ht="15" hidden="false" customHeight="true" outlineLevel="0" collapsed="false">
      <c r="A621" s="1" t="s">
        <v>274</v>
      </c>
      <c r="B621" s="46" t="n">
        <v>45980</v>
      </c>
      <c r="C621" s="46" t="n">
        <v>45986</v>
      </c>
      <c r="D621" s="47" t="n">
        <v>25940</v>
      </c>
      <c r="E621" s="47" t="n">
        <v>26090</v>
      </c>
      <c r="F621" s="47" t="n">
        <v>25887.8</v>
      </c>
      <c r="G621" s="47" t="n">
        <v>26071</v>
      </c>
      <c r="H621" s="47" t="n">
        <v>26078</v>
      </c>
      <c r="I621" s="47" t="n">
        <v>26071</v>
      </c>
      <c r="J621" s="48" t="n">
        <v>67533</v>
      </c>
      <c r="K621" s="47" t="n">
        <v>1317467.02</v>
      </c>
      <c r="L621" s="48" t="n">
        <v>16795500</v>
      </c>
      <c r="M621" s="48" t="n">
        <v>-814500</v>
      </c>
      <c r="N621" s="47" t="n">
        <v>26052.65</v>
      </c>
      <c r="O621" s="47" t="n">
        <f aca="false">IF(AND(ISNUMBER(G621),ISNUMBER(N621)),G621-N621,"")</f>
        <v>18.3499999999985</v>
      </c>
      <c r="P621" s="49" t="n">
        <f aca="false">IF(ISNUMBER(O621),O621/N621,"")</f>
        <v>0.00070434293632312</v>
      </c>
      <c r="Q621" s="50" t="n">
        <f aca="false">C621-B621</f>
        <v>6</v>
      </c>
      <c r="R621" s="51" t="n">
        <f aca="false">IF(AND(C621=C620,ISNUMBER(G621),ISNUMBER(G620)),(G621/G620-1)*100,"")</f>
        <v>0.470927364656548</v>
      </c>
      <c r="S621" s="51" t="n">
        <f aca="false">IF(AND(C621=C620,ISNUMBER(L621),ISNUMBER(L620)),(L621/L620-1)*100,"")</f>
        <v>-4.6252129471891</v>
      </c>
      <c r="T621" s="51" t="n">
        <f aca="false">IF(AND(C621=C620,ISNUMBER(G621),ISNUMBER(G620)),G621-G620,"")</f>
        <v>122.200000000001</v>
      </c>
      <c r="U621" s="1" t="str">
        <f aca="false">IF(OR(NOT(ISNUMBER(R621)),NOT(ISNUMBER(S621))),"Not classified",IF(AND(R621&gt;0,S621&gt;0),"Long buildup (interpretation)",IF(AND(R621&lt;0,S621&gt;0),"Short buildup (interpretation)",IF(AND(R621&gt;0,S621&lt;0),"Short covering (interpretation)",IF(AND(R621&lt;0,S621&lt;0),"Long unwinding (interpretation)","Neutral")))))</f>
        <v>Short covering (interpretation)</v>
      </c>
      <c r="V621" s="52" t="str">
        <f aca="false">TEXT(B621,"yyyy-mm")</f>
        <v>2025-11</v>
      </c>
      <c r="W621" s="52" t="n">
        <f aca="false">1+COUNTIFS($B$2:$B$756,B621,$C$2:$C$756,"&lt;"&amp;C621)</f>
        <v>1</v>
      </c>
      <c r="X621" s="53" t="n">
        <f aca="false">IF(AND(ISNUMBER(P621),Q621&gt;0),P621*365/Q621,"")</f>
        <v>0.0428475286263232</v>
      </c>
      <c r="Y621" s="42" t="n">
        <f aca="false">IF(AND(C622=C621,ISNUMBER(R622)),R622,"")</f>
        <v>0.574584787695143</v>
      </c>
      <c r="Z621" s="52" t="n">
        <f aca="false">IF(AND(W621=1,Q621&gt;Basis_Analysis!$B$3,ISNUMBER(Y621)),1,0)</f>
        <v>1</v>
      </c>
      <c r="AA621" s="43" t="n">
        <f aca="false">IF(W621=1,IF(SUMIFS($L$2:$L$756,$B$2:$B$756,B621,$W$2:$W$756,2)&gt;0,SUMIFS($L$2:$L$756,$B$2:$B$756,B621,$W$2:$W$756,2),""),"")</f>
        <v>2542800</v>
      </c>
      <c r="AB621" s="54" t="n">
        <f aca="false">IF(AND(W621=1,ISNUMBER(AA621)),L621/(L621+AA621),"")</f>
        <v>0.868509641488652</v>
      </c>
    </row>
    <row r="622" customFormat="false" ht="15" hidden="false" customHeight="true" outlineLevel="0" collapsed="false">
      <c r="A622" s="1" t="s">
        <v>274</v>
      </c>
      <c r="B622" s="46" t="n">
        <v>45981</v>
      </c>
      <c r="C622" s="46" t="n">
        <v>45986</v>
      </c>
      <c r="D622" s="47" t="n">
        <v>26136</v>
      </c>
      <c r="E622" s="47" t="n">
        <v>26264</v>
      </c>
      <c r="F622" s="47" t="n">
        <v>26072</v>
      </c>
      <c r="G622" s="47" t="n">
        <v>26220.8</v>
      </c>
      <c r="H622" s="47" t="n">
        <v>26235.4</v>
      </c>
      <c r="I622" s="47" t="n">
        <v>26220.8</v>
      </c>
      <c r="J622" s="48" t="n">
        <v>88561</v>
      </c>
      <c r="K622" s="47" t="n">
        <v>1739341.51</v>
      </c>
      <c r="L622" s="48" t="n">
        <v>14612850</v>
      </c>
      <c r="M622" s="48" t="n">
        <v>-2182650</v>
      </c>
      <c r="N622" s="47" t="n">
        <v>26192.15</v>
      </c>
      <c r="O622" s="47" t="n">
        <f aca="false">IF(AND(ISNUMBER(G622),ISNUMBER(N622)),G622-N622,"")</f>
        <v>28.6499999999978</v>
      </c>
      <c r="P622" s="49" t="n">
        <f aca="false">IF(ISNUMBER(O622),O622/N622,"")</f>
        <v>0.00109383918464112</v>
      </c>
      <c r="Q622" s="50" t="n">
        <f aca="false">C622-B622</f>
        <v>5</v>
      </c>
      <c r="R622" s="51" t="n">
        <f aca="false">IF(AND(C622=C621,ISNUMBER(G622),ISNUMBER(G621)),(G622/G621-1)*100,"")</f>
        <v>0.574584787695143</v>
      </c>
      <c r="S622" s="51" t="n">
        <f aca="false">IF(AND(C622=C621,ISNUMBER(L622),ISNUMBER(L621)),(L622/L621-1)*100,"")</f>
        <v>-12.995445208538</v>
      </c>
      <c r="T622" s="51" t="n">
        <f aca="false">IF(AND(C622=C621,ISNUMBER(G622),ISNUMBER(G621)),G622-G621,"")</f>
        <v>149.799999999999</v>
      </c>
      <c r="U622" s="1" t="str">
        <f aca="false">IF(OR(NOT(ISNUMBER(R622)),NOT(ISNUMBER(S622))),"Not classified",IF(AND(R622&gt;0,S622&gt;0),"Long buildup (interpretation)",IF(AND(R622&lt;0,S622&gt;0),"Short buildup (interpretation)",IF(AND(R622&gt;0,S622&lt;0),"Short covering (interpretation)",IF(AND(R622&lt;0,S622&lt;0),"Long unwinding (interpretation)","Neutral")))))</f>
        <v>Short covering (interpretation)</v>
      </c>
      <c r="V622" s="52" t="str">
        <f aca="false">TEXT(B622,"yyyy-mm")</f>
        <v>2025-11</v>
      </c>
      <c r="W622" s="52" t="n">
        <f aca="false">1+COUNTIFS($B$2:$B$756,B622,$C$2:$C$756,"&lt;"&amp;C622)</f>
        <v>1</v>
      </c>
      <c r="X622" s="53" t="n">
        <f aca="false">IF(AND(ISNUMBER(P622),Q622&gt;0),P622*365/Q622,"")</f>
        <v>0.0798502604788015</v>
      </c>
      <c r="Y622" s="42" t="n">
        <f aca="false">IF(AND(C623=C622,ISNUMBER(R623)),R623,"")</f>
        <v>-0.546512692213808</v>
      </c>
      <c r="Z622" s="52" t="n">
        <f aca="false">IF(AND(W622=1,Q622&gt;Basis_Analysis!$B$3,ISNUMBER(Y622)),1,0)</f>
        <v>0</v>
      </c>
      <c r="AA622" s="43" t="n">
        <f aca="false">IF(W622=1,IF(SUMIFS($L$2:$L$756,$B$2:$B$756,B622,$W$2:$W$756,2)&gt;0,SUMIFS($L$2:$L$756,$B$2:$B$756,B622,$W$2:$W$756,2),""),"")</f>
        <v>4785750</v>
      </c>
      <c r="AB622" s="54" t="n">
        <f aca="false">IF(AND(W622=1,ISNUMBER(AA622)),L622/(L622+AA622),"")</f>
        <v>0.753294052148093</v>
      </c>
    </row>
    <row r="623" customFormat="false" ht="15" hidden="false" customHeight="true" outlineLevel="0" collapsed="false">
      <c r="A623" s="1" t="s">
        <v>274</v>
      </c>
      <c r="B623" s="46" t="n">
        <v>45982</v>
      </c>
      <c r="C623" s="46" t="n">
        <v>45986</v>
      </c>
      <c r="D623" s="47" t="n">
        <v>26136.3</v>
      </c>
      <c r="E623" s="47" t="n">
        <v>26195</v>
      </c>
      <c r="F623" s="47" t="n">
        <v>26061.3</v>
      </c>
      <c r="G623" s="47" t="n">
        <v>26077.5</v>
      </c>
      <c r="H623" s="47" t="n">
        <v>26074</v>
      </c>
      <c r="I623" s="47" t="n">
        <v>26077.5</v>
      </c>
      <c r="J623" s="48" t="n">
        <v>114909</v>
      </c>
      <c r="K623" s="47" t="n">
        <v>2251175.79</v>
      </c>
      <c r="L623" s="48" t="n">
        <v>12346875</v>
      </c>
      <c r="M623" s="48" t="n">
        <v>-2265975</v>
      </c>
      <c r="N623" s="47" t="n">
        <v>26068.15</v>
      </c>
      <c r="O623" s="47" t="n">
        <f aca="false">IF(AND(ISNUMBER(G623),ISNUMBER(N623)),G623-N623,"")</f>
        <v>9.34999999999855</v>
      </c>
      <c r="P623" s="49" t="n">
        <f aca="false">IF(ISNUMBER(O623),O623/N623,"")</f>
        <v>0.00035867524162622</v>
      </c>
      <c r="Q623" s="50" t="n">
        <f aca="false">C623-B623</f>
        <v>4</v>
      </c>
      <c r="R623" s="51" t="n">
        <f aca="false">IF(AND(C623=C622,ISNUMBER(G623),ISNUMBER(G622)),(G623/G622-1)*100,"")</f>
        <v>-0.546512692213808</v>
      </c>
      <c r="S623" s="51" t="n">
        <f aca="false">IF(AND(C623=C622,ISNUMBER(L623),ISNUMBER(L622)),(L623/L622-1)*100,"")</f>
        <v>-15.5067286668925</v>
      </c>
      <c r="T623" s="51" t="n">
        <f aca="false">IF(AND(C623=C622,ISNUMBER(G623),ISNUMBER(G622)),G623-G622,"")</f>
        <v>-143.299999999999</v>
      </c>
      <c r="U623" s="1" t="str">
        <f aca="false">IF(OR(NOT(ISNUMBER(R623)),NOT(ISNUMBER(S623))),"Not classified",IF(AND(R623&gt;0,S623&gt;0),"Long buildup (interpretation)",IF(AND(R623&lt;0,S623&gt;0),"Short buildup (interpretation)",IF(AND(R623&gt;0,S623&lt;0),"Short covering (interpretation)",IF(AND(R623&lt;0,S623&lt;0),"Long unwinding (interpretation)","Neutral")))))</f>
        <v>Long unwinding (interpretation)</v>
      </c>
      <c r="V623" s="52" t="str">
        <f aca="false">TEXT(B623,"yyyy-mm")</f>
        <v>2025-11</v>
      </c>
      <c r="W623" s="52" t="n">
        <f aca="false">1+COUNTIFS($B$2:$B$756,B623,$C$2:$C$756,"&lt;"&amp;C623)</f>
        <v>1</v>
      </c>
      <c r="X623" s="53" t="n">
        <f aca="false">IF(AND(ISNUMBER(P623),Q623&gt;0),P623*365/Q623,"")</f>
        <v>0.0327291157983926</v>
      </c>
      <c r="Y623" s="42" t="n">
        <f aca="false">IF(AND(C624=C623,ISNUMBER(R624)),R624,"")</f>
        <v>-0.310996069408487</v>
      </c>
      <c r="Z623" s="52" t="n">
        <f aca="false">IF(AND(W623=1,Q623&gt;Basis_Analysis!$B$3,ISNUMBER(Y623)),1,0)</f>
        <v>0</v>
      </c>
      <c r="AA623" s="43" t="n">
        <f aca="false">IF(W623=1,IF(SUMIFS($L$2:$L$756,$B$2:$B$756,B623,$W$2:$W$756,2)&gt;0,SUMIFS($L$2:$L$756,$B$2:$B$756,B623,$W$2:$W$756,2),""),"")</f>
        <v>7686975</v>
      </c>
      <c r="AB623" s="54" t="n">
        <f aca="false">IF(AND(W623=1,ISNUMBER(AA623)),L623/(L623+AA623),"")</f>
        <v>0.616300661131036</v>
      </c>
    </row>
    <row r="624" customFormat="false" ht="15" hidden="false" customHeight="true" outlineLevel="0" collapsed="false">
      <c r="A624" s="1" t="s">
        <v>274</v>
      </c>
      <c r="B624" s="46" t="n">
        <v>45985</v>
      </c>
      <c r="C624" s="46" t="n">
        <v>45986</v>
      </c>
      <c r="D624" s="47" t="n">
        <v>26111</v>
      </c>
      <c r="E624" s="47" t="n">
        <v>26168.8</v>
      </c>
      <c r="F624" s="47" t="n">
        <v>25955</v>
      </c>
      <c r="G624" s="47" t="n">
        <v>25996.4</v>
      </c>
      <c r="H624" s="47" t="n">
        <v>25962.1</v>
      </c>
      <c r="I624" s="47" t="n">
        <v>25996.4</v>
      </c>
      <c r="J624" s="48" t="n">
        <v>97172</v>
      </c>
      <c r="K624" s="47" t="n">
        <v>1900544.21</v>
      </c>
      <c r="L624" s="48" t="n">
        <v>9271125</v>
      </c>
      <c r="M624" s="48" t="n">
        <v>-3075750</v>
      </c>
      <c r="N624" s="47" t="n">
        <v>25959.5</v>
      </c>
      <c r="O624" s="47" t="n">
        <f aca="false">IF(AND(ISNUMBER(G624),ISNUMBER(N624)),G624-N624,"")</f>
        <v>36.9000000000015</v>
      </c>
      <c r="P624" s="49" t="n">
        <f aca="false">IF(ISNUMBER(O624),O624/N624,"")</f>
        <v>0.00142144494308448</v>
      </c>
      <c r="Q624" s="50" t="n">
        <f aca="false">C624-B624</f>
        <v>1</v>
      </c>
      <c r="R624" s="51" t="n">
        <f aca="false">IF(AND(C624=C623,ISNUMBER(G624),ISNUMBER(G623)),(G624/G623-1)*100,"")</f>
        <v>-0.310996069408487</v>
      </c>
      <c r="S624" s="51" t="n">
        <f aca="false">IF(AND(C624=C623,ISNUMBER(L624),ISNUMBER(L623)),(L624/L623-1)*100,"")</f>
        <v>-24.9111617312073</v>
      </c>
      <c r="T624" s="51" t="n">
        <f aca="false">IF(AND(C624=C623,ISNUMBER(G624),ISNUMBER(G623)),G624-G623,"")</f>
        <v>-81.0999999999985</v>
      </c>
      <c r="U624" s="1" t="str">
        <f aca="false">IF(OR(NOT(ISNUMBER(R624)),NOT(ISNUMBER(S624))),"Not classified",IF(AND(R624&gt;0,S624&gt;0),"Long buildup (interpretation)",IF(AND(R624&lt;0,S624&gt;0),"Short buildup (interpretation)",IF(AND(R624&gt;0,S624&lt;0),"Short covering (interpretation)",IF(AND(R624&lt;0,S624&lt;0),"Long unwinding (interpretation)","Neutral")))))</f>
        <v>Long unwinding (interpretation)</v>
      </c>
      <c r="V624" s="52" t="str">
        <f aca="false">TEXT(B624,"yyyy-mm")</f>
        <v>2025-11</v>
      </c>
      <c r="W624" s="52" t="n">
        <f aca="false">1+COUNTIFS($B$2:$B$756,B624,$C$2:$C$756,"&lt;"&amp;C624)</f>
        <v>1</v>
      </c>
      <c r="X624" s="53" t="n">
        <f aca="false">IF(AND(ISNUMBER(P624),Q624&gt;0),P624*365/Q624,"")</f>
        <v>0.518827404225834</v>
      </c>
      <c r="Y624" s="42" t="n">
        <f aca="false">IF(AND(C625=C624,ISNUMBER(R625)),R625,"")</f>
        <v>-0.421596836485061</v>
      </c>
      <c r="Z624" s="52" t="n">
        <f aca="false">IF(AND(W624=1,Q624&gt;Basis_Analysis!$B$3,ISNUMBER(Y624)),1,0)</f>
        <v>0</v>
      </c>
      <c r="AA624" s="43" t="n">
        <f aca="false">IF(W624=1,IF(SUMIFS($L$2:$L$756,$B$2:$B$756,B624,$W$2:$W$756,2)&gt;0,SUMIFS($L$2:$L$756,$B$2:$B$756,B624,$W$2:$W$756,2),""),"")</f>
        <v>11020500</v>
      </c>
      <c r="AB624" s="54" t="n">
        <f aca="false">IF(AND(W624=1,ISNUMBER(AA624)),L624/(L624+AA624),"")</f>
        <v>0.456894162000333</v>
      </c>
    </row>
    <row r="625" customFormat="false" ht="15" hidden="false" customHeight="true" outlineLevel="0" collapsed="false">
      <c r="A625" s="1" t="s">
        <v>274</v>
      </c>
      <c r="B625" s="46" t="n">
        <v>45986</v>
      </c>
      <c r="C625" s="46" t="n">
        <v>45986</v>
      </c>
      <c r="D625" s="47" t="n">
        <v>25961</v>
      </c>
      <c r="E625" s="47" t="n">
        <v>26035</v>
      </c>
      <c r="F625" s="47" t="n">
        <v>25867.4</v>
      </c>
      <c r="G625" s="47" t="n">
        <v>25886.8</v>
      </c>
      <c r="H625" s="47" t="n">
        <v>25883.1</v>
      </c>
      <c r="I625" s="47" t="n">
        <v>25884.8</v>
      </c>
      <c r="J625" s="48" t="n">
        <v>73501</v>
      </c>
      <c r="K625" s="47" t="n">
        <v>1431273.99</v>
      </c>
      <c r="L625" s="48" t="n">
        <v>6607875</v>
      </c>
      <c r="M625" s="48" t="n">
        <v>-2663250</v>
      </c>
      <c r="N625" s="47" t="n">
        <v>25884.8</v>
      </c>
      <c r="O625" s="47" t="n">
        <f aca="false">IF(AND(ISNUMBER(G625),ISNUMBER(N625)),G625-N625,"")</f>
        <v>2</v>
      </c>
      <c r="P625" s="49" t="n">
        <f aca="false">IF(ISNUMBER(O625),O625/N625,"")</f>
        <v>7.72654221782668E-005</v>
      </c>
      <c r="Q625" s="50" t="n">
        <f aca="false">C625-B625</f>
        <v>0</v>
      </c>
      <c r="R625" s="51" t="n">
        <f aca="false">IF(AND(C625=C624,ISNUMBER(G625),ISNUMBER(G624)),(G625/G624-1)*100,"")</f>
        <v>-0.421596836485061</v>
      </c>
      <c r="S625" s="51" t="n">
        <f aca="false">IF(AND(C625=C624,ISNUMBER(L625),ISNUMBER(L624)),(L625/L624-1)*100,"")</f>
        <v>-28.7262872628726</v>
      </c>
      <c r="T625" s="51" t="n">
        <f aca="false">IF(AND(C625=C624,ISNUMBER(G625),ISNUMBER(G624)),G625-G624,"")</f>
        <v>-109.600000000002</v>
      </c>
      <c r="U625" s="1" t="str">
        <f aca="false">IF(OR(NOT(ISNUMBER(R625)),NOT(ISNUMBER(S625))),"Not classified",IF(AND(R625&gt;0,S625&gt;0),"Long buildup (interpretation)",IF(AND(R625&lt;0,S625&gt;0),"Short buildup (interpretation)",IF(AND(R625&gt;0,S625&lt;0),"Short covering (interpretation)",IF(AND(R625&lt;0,S625&lt;0),"Long unwinding (interpretation)","Neutral")))))</f>
        <v>Long unwinding (interpretation)</v>
      </c>
      <c r="V625" s="52" t="str">
        <f aca="false">TEXT(B625,"yyyy-mm")</f>
        <v>2025-11</v>
      </c>
      <c r="W625" s="52" t="n">
        <f aca="false">1+COUNTIFS($B$2:$B$756,B625,$C$2:$C$756,"&lt;"&amp;C625)</f>
        <v>1</v>
      </c>
      <c r="X625" s="53" t="str">
        <f aca="false">IF(AND(ISNUMBER(P625),Q625&gt;0),P625*365/Q625,"")</f>
        <v/>
      </c>
      <c r="Y625" s="42" t="str">
        <f aca="false">IF(AND(C626=C625,ISNUMBER(R626)),R626,"")</f>
        <v/>
      </c>
      <c r="Z625" s="52" t="n">
        <f aca="false">IF(AND(W625=1,Q625&gt;Basis_Analysis!$B$3,ISNUMBER(Y625)),1,0)</f>
        <v>0</v>
      </c>
      <c r="AA625" s="43" t="n">
        <f aca="false">IF(W625=1,IF(SUMIFS($L$2:$L$756,$B$2:$B$756,B625,$W$2:$W$756,2)&gt;0,SUMIFS($L$2:$L$756,$B$2:$B$756,B625,$W$2:$W$756,2),""),"")</f>
        <v>13689450</v>
      </c>
      <c r="AB625" s="54" t="n">
        <f aca="false">IF(AND(W625=1,ISNUMBER(AA625)),L625/(L625+AA625),"")</f>
        <v>0.325553983098758</v>
      </c>
    </row>
    <row r="626" customFormat="false" ht="15" hidden="false" customHeight="true" outlineLevel="0" collapsed="false">
      <c r="A626" s="1" t="s">
        <v>274</v>
      </c>
      <c r="B626" s="46" t="n">
        <v>45931</v>
      </c>
      <c r="C626" s="46" t="n">
        <v>46021</v>
      </c>
      <c r="D626" s="47" t="n">
        <v>25000</v>
      </c>
      <c r="E626" s="47" t="n">
        <v>25260</v>
      </c>
      <c r="F626" s="47" t="n">
        <v>25000</v>
      </c>
      <c r="G626" s="47" t="n">
        <v>25247.5</v>
      </c>
      <c r="H626" s="47" t="n">
        <v>25259</v>
      </c>
      <c r="I626" s="47" t="n">
        <v>25247.5</v>
      </c>
      <c r="J626" s="48" t="n">
        <v>2314</v>
      </c>
      <c r="K626" s="47" t="n">
        <v>43600.83</v>
      </c>
      <c r="L626" s="48" t="n">
        <v>133800</v>
      </c>
      <c r="M626" s="48" t="n">
        <v>133800</v>
      </c>
      <c r="N626" s="47" t="n">
        <v>24836.3</v>
      </c>
      <c r="O626" s="47" t="n">
        <f aca="false">IF(AND(ISNUMBER(G626),ISNUMBER(N626)),G626-N626,"")</f>
        <v>411.200000000001</v>
      </c>
      <c r="P626" s="49" t="n">
        <f aca="false">IF(ISNUMBER(O626),O626/N626,"")</f>
        <v>0.0165564113817276</v>
      </c>
      <c r="Q626" s="50" t="n">
        <f aca="false">C626-B626</f>
        <v>90</v>
      </c>
      <c r="R626" s="51" t="str">
        <f aca="false">IF(AND(C626=C625,ISNUMBER(G626),ISNUMBER(G625)),(G626/G625-1)*100,"")</f>
        <v/>
      </c>
      <c r="S626" s="51" t="str">
        <f aca="false">IF(AND(C626=C625,ISNUMBER(L626),ISNUMBER(L625)),(L626/L625-1)*100,"")</f>
        <v/>
      </c>
      <c r="T626" s="51" t="str">
        <f aca="false">IF(AND(C626=C625,ISNUMBER(G626),ISNUMBER(G625)),G626-G625,"")</f>
        <v/>
      </c>
      <c r="U626" s="1" t="str">
        <f aca="false">IF(OR(NOT(ISNUMBER(R626)),NOT(ISNUMBER(S626))),"Not classified",IF(AND(R626&gt;0,S626&gt;0),"Long buildup (interpretation)",IF(AND(R626&lt;0,S626&gt;0),"Short buildup (interpretation)",IF(AND(R626&gt;0,S626&lt;0),"Short covering (interpretation)",IF(AND(R626&lt;0,S626&lt;0),"Long unwinding (interpretation)","Neutral")))))</f>
        <v>Not classified</v>
      </c>
      <c r="V626" s="52" t="str">
        <f aca="false">TEXT(B626,"yyyy-mm")</f>
        <v>2025-10</v>
      </c>
      <c r="W626" s="52" t="n">
        <f aca="false">1+COUNTIFS($B$2:$B$756,B626,$C$2:$C$756,"&lt;"&amp;C626)</f>
        <v>3</v>
      </c>
      <c r="X626" s="53" t="n">
        <f aca="false">IF(AND(ISNUMBER(P626),Q626&gt;0),P626*365/Q626,"")</f>
        <v>0.0671454461592285</v>
      </c>
      <c r="Y626" s="42" t="n">
        <f aca="false">IF(AND(C627=C626,ISNUMBER(R627)),R627,"")</f>
        <v>0.171106050103975</v>
      </c>
      <c r="Z626" s="52" t="n">
        <f aca="false">IF(AND(W626=1,Q626&gt;Basis_Analysis!$B$3,ISNUMBER(Y626)),1,0)</f>
        <v>0</v>
      </c>
      <c r="AA626" s="43" t="str">
        <f aca="false">IF(W626=1,IF(SUMIFS($L$2:$L$756,$B$2:$B$756,B626,$W$2:$W$756,2)&gt;0,SUMIFS($L$2:$L$756,$B$2:$B$756,B626,$W$2:$W$756,2),""),"")</f>
        <v/>
      </c>
      <c r="AB626" s="54" t="str">
        <f aca="false">IF(AND(W626=1,ISNUMBER(AA626)),L626/(L626+AA626),"")</f>
        <v/>
      </c>
    </row>
    <row r="627" customFormat="false" ht="15" hidden="false" customHeight="true" outlineLevel="0" collapsed="false">
      <c r="A627" s="1" t="s">
        <v>274</v>
      </c>
      <c r="B627" s="46" t="n">
        <v>45933</v>
      </c>
      <c r="C627" s="46" t="n">
        <v>46021</v>
      </c>
      <c r="D627" s="47" t="n">
        <v>25259</v>
      </c>
      <c r="E627" s="47" t="n">
        <v>25298</v>
      </c>
      <c r="F627" s="47" t="n">
        <v>25170</v>
      </c>
      <c r="G627" s="47" t="n">
        <v>25290.7</v>
      </c>
      <c r="H627" s="47" t="n">
        <v>25292.8</v>
      </c>
      <c r="I627" s="47" t="n">
        <v>25290.7</v>
      </c>
      <c r="J627" s="48" t="n">
        <v>1195</v>
      </c>
      <c r="K627" s="47" t="n">
        <v>22610.35</v>
      </c>
      <c r="L627" s="48" t="n">
        <v>162075</v>
      </c>
      <c r="M627" s="48" t="n">
        <v>28275</v>
      </c>
      <c r="N627" s="47" t="n">
        <v>24894.25</v>
      </c>
      <c r="O627" s="47" t="n">
        <f aca="false">IF(AND(ISNUMBER(G627),ISNUMBER(N627)),G627-N627,"")</f>
        <v>396.450000000001</v>
      </c>
      <c r="P627" s="49" t="n">
        <f aca="false">IF(ISNUMBER(O627),O627/N627,"")</f>
        <v>0.0159253642909508</v>
      </c>
      <c r="Q627" s="50" t="n">
        <f aca="false">C627-B627</f>
        <v>88</v>
      </c>
      <c r="R627" s="51" t="n">
        <f aca="false">IF(AND(C627=C626,ISNUMBER(G627),ISNUMBER(G626)),(G627/G626-1)*100,"")</f>
        <v>0.171106050103975</v>
      </c>
      <c r="S627" s="51" t="n">
        <f aca="false">IF(AND(C627=C626,ISNUMBER(L627),ISNUMBER(L626)),(L627/L626-1)*100,"")</f>
        <v>21.1322869955157</v>
      </c>
      <c r="T627" s="51" t="n">
        <f aca="false">IF(AND(C627=C626,ISNUMBER(G627),ISNUMBER(G626)),G627-G626,"")</f>
        <v>43.2000000000007</v>
      </c>
      <c r="U627" s="1" t="str">
        <f aca="false">IF(OR(NOT(ISNUMBER(R627)),NOT(ISNUMBER(S627))),"Not classified",IF(AND(R627&gt;0,S627&gt;0),"Long buildup (interpretation)",IF(AND(R627&lt;0,S627&gt;0),"Short buildup (interpretation)",IF(AND(R627&gt;0,S627&lt;0),"Short covering (interpretation)",IF(AND(R627&lt;0,S627&lt;0),"Long unwinding (interpretation)","Neutral")))))</f>
        <v>Long buildup (interpretation)</v>
      </c>
      <c r="V627" s="52" t="str">
        <f aca="false">TEXT(B627,"yyyy-mm")</f>
        <v>2025-10</v>
      </c>
      <c r="W627" s="52" t="n">
        <f aca="false">1+COUNTIFS($B$2:$B$756,B627,$C$2:$C$756,"&lt;"&amp;C627)</f>
        <v>3</v>
      </c>
      <c r="X627" s="53" t="n">
        <f aca="false">IF(AND(ISNUMBER(P627),Q627&gt;0),P627*365/Q627,"")</f>
        <v>0.0660540677976935</v>
      </c>
      <c r="Y627" s="42" t="n">
        <f aca="false">IF(AND(C628=C627,ISNUMBER(R628)),R628,"")</f>
        <v>0.718841313209984</v>
      </c>
      <c r="Z627" s="52" t="n">
        <f aca="false">IF(AND(W627=1,Q627&gt;Basis_Analysis!$B$3,ISNUMBER(Y627)),1,0)</f>
        <v>0</v>
      </c>
      <c r="AA627" s="43" t="str">
        <f aca="false">IF(W627=1,IF(SUMIFS($L$2:$L$756,$B$2:$B$756,B627,$W$2:$W$756,2)&gt;0,SUMIFS($L$2:$L$756,$B$2:$B$756,B627,$W$2:$W$756,2),""),"")</f>
        <v/>
      </c>
      <c r="AB627" s="54" t="str">
        <f aca="false">IF(AND(W627=1,ISNUMBER(AA627)),L627/(L627+AA627),"")</f>
        <v/>
      </c>
    </row>
    <row r="628" customFormat="false" ht="15" hidden="false" customHeight="true" outlineLevel="0" collapsed="false">
      <c r="A628" s="1" t="s">
        <v>274</v>
      </c>
      <c r="B628" s="46" t="n">
        <v>45936</v>
      </c>
      <c r="C628" s="46" t="n">
        <v>46021</v>
      </c>
      <c r="D628" s="47" t="n">
        <v>25290.7</v>
      </c>
      <c r="E628" s="47" t="n">
        <v>25481.2</v>
      </c>
      <c r="F628" s="47" t="n">
        <v>25258.3</v>
      </c>
      <c r="G628" s="47" t="n">
        <v>25472.5</v>
      </c>
      <c r="H628" s="47" t="n">
        <v>25468</v>
      </c>
      <c r="I628" s="47" t="n">
        <v>25472.5</v>
      </c>
      <c r="J628" s="48" t="n">
        <v>1605</v>
      </c>
      <c r="K628" s="47" t="n">
        <v>30568.8</v>
      </c>
      <c r="L628" s="48" t="n">
        <v>197175</v>
      </c>
      <c r="M628" s="48" t="n">
        <v>35100</v>
      </c>
      <c r="N628" s="47" t="n">
        <v>25077.65</v>
      </c>
      <c r="O628" s="47" t="n">
        <f aca="false">IF(AND(ISNUMBER(G628),ISNUMBER(N628)),G628-N628,"")</f>
        <v>394.849999999999</v>
      </c>
      <c r="P628" s="49" t="n">
        <f aca="false">IF(ISNUMBER(O628),O628/N628,"")</f>
        <v>0.0157450957326543</v>
      </c>
      <c r="Q628" s="50" t="n">
        <f aca="false">C628-B628</f>
        <v>85</v>
      </c>
      <c r="R628" s="51" t="n">
        <f aca="false">IF(AND(C628=C627,ISNUMBER(G628),ISNUMBER(G627)),(G628/G627-1)*100,"")</f>
        <v>0.718841313209984</v>
      </c>
      <c r="S628" s="51" t="n">
        <f aca="false">IF(AND(C628=C627,ISNUMBER(L628),ISNUMBER(L627)),(L628/L627-1)*100,"")</f>
        <v>21.6566404442388</v>
      </c>
      <c r="T628" s="51" t="n">
        <f aca="false">IF(AND(C628=C627,ISNUMBER(G628),ISNUMBER(G627)),G628-G627,"")</f>
        <v>181.799999999999</v>
      </c>
      <c r="U628" s="1" t="str">
        <f aca="false">IF(OR(NOT(ISNUMBER(R628)),NOT(ISNUMBER(S628))),"Not classified",IF(AND(R628&gt;0,S628&gt;0),"Long buildup (interpretation)",IF(AND(R628&lt;0,S628&gt;0),"Short buildup (interpretation)",IF(AND(R628&gt;0,S628&lt;0),"Short covering (interpretation)",IF(AND(R628&lt;0,S628&lt;0),"Long unwinding (interpretation)","Neutral")))))</f>
        <v>Long buildup (interpretation)</v>
      </c>
      <c r="V628" s="52" t="str">
        <f aca="false">TEXT(B628,"yyyy-mm")</f>
        <v>2025-10</v>
      </c>
      <c r="W628" s="52" t="n">
        <f aca="false">1+COUNTIFS($B$2:$B$756,B628,$C$2:$C$756,"&lt;"&amp;C628)</f>
        <v>3</v>
      </c>
      <c r="X628" s="53" t="n">
        <f aca="false">IF(AND(ISNUMBER(P628),Q628&gt;0),P628*365/Q628,"")</f>
        <v>0.0676112934402215</v>
      </c>
      <c r="Y628" s="42" t="n">
        <f aca="false">IF(AND(C629=C628,ISNUMBER(R629)),R629,"")</f>
        <v>0.164883698105811</v>
      </c>
      <c r="Z628" s="52" t="n">
        <f aca="false">IF(AND(W628=1,Q628&gt;Basis_Analysis!$B$3,ISNUMBER(Y628)),1,0)</f>
        <v>0</v>
      </c>
      <c r="AA628" s="43" t="str">
        <f aca="false">IF(W628=1,IF(SUMIFS($L$2:$L$756,$B$2:$B$756,B628,$W$2:$W$756,2)&gt;0,SUMIFS($L$2:$L$756,$B$2:$B$756,B628,$W$2:$W$756,2),""),"")</f>
        <v/>
      </c>
      <c r="AB628" s="54" t="str">
        <f aca="false">IF(AND(W628=1,ISNUMBER(AA628)),L628/(L628+AA628),"")</f>
        <v/>
      </c>
    </row>
    <row r="629" customFormat="false" ht="15" hidden="false" customHeight="true" outlineLevel="0" collapsed="false">
      <c r="A629" s="1" t="s">
        <v>274</v>
      </c>
      <c r="B629" s="46" t="n">
        <v>45937</v>
      </c>
      <c r="C629" s="46" t="n">
        <v>46021</v>
      </c>
      <c r="D629" s="47" t="n">
        <v>25472.6</v>
      </c>
      <c r="E629" s="47" t="n">
        <v>25596</v>
      </c>
      <c r="F629" s="47" t="n">
        <v>25466</v>
      </c>
      <c r="G629" s="47" t="n">
        <v>25514.5</v>
      </c>
      <c r="H629" s="47" t="n">
        <v>25519.6</v>
      </c>
      <c r="I629" s="47" t="n">
        <v>25514.5</v>
      </c>
      <c r="J629" s="48" t="n">
        <v>1923</v>
      </c>
      <c r="K629" s="47" t="n">
        <v>36837.29</v>
      </c>
      <c r="L629" s="48" t="n">
        <v>240825</v>
      </c>
      <c r="M629" s="48" t="n">
        <v>43650</v>
      </c>
      <c r="N629" s="47" t="n">
        <v>25108.3</v>
      </c>
      <c r="O629" s="47" t="n">
        <f aca="false">IF(AND(ISNUMBER(G629),ISNUMBER(N629)),G629-N629,"")</f>
        <v>406.200000000001</v>
      </c>
      <c r="P629" s="49" t="n">
        <f aca="false">IF(ISNUMBER(O629),O629/N629,"")</f>
        <v>0.0161779172624192</v>
      </c>
      <c r="Q629" s="50" t="n">
        <f aca="false">C629-B629</f>
        <v>84</v>
      </c>
      <c r="R629" s="51" t="n">
        <f aca="false">IF(AND(C629=C628,ISNUMBER(G629),ISNUMBER(G628)),(G629/G628-1)*100,"")</f>
        <v>0.164883698105811</v>
      </c>
      <c r="S629" s="51" t="n">
        <f aca="false">IF(AND(C629=C628,ISNUMBER(L629),ISNUMBER(L628)),(L629/L628-1)*100,"")</f>
        <v>22.1376949410422</v>
      </c>
      <c r="T629" s="51" t="n">
        <f aca="false">IF(AND(C629=C628,ISNUMBER(G629),ISNUMBER(G628)),G629-G628,"")</f>
        <v>42</v>
      </c>
      <c r="U629" s="1" t="str">
        <f aca="false">IF(OR(NOT(ISNUMBER(R629)),NOT(ISNUMBER(S629))),"Not classified",IF(AND(R629&gt;0,S629&gt;0),"Long buildup (interpretation)",IF(AND(R629&lt;0,S629&gt;0),"Short buildup (interpretation)",IF(AND(R629&gt;0,S629&lt;0),"Short covering (interpretation)",IF(AND(R629&lt;0,S629&lt;0),"Long unwinding (interpretation)","Neutral")))))</f>
        <v>Long buildup (interpretation)</v>
      </c>
      <c r="V629" s="52" t="str">
        <f aca="false">TEXT(B629,"yyyy-mm")</f>
        <v>2025-10</v>
      </c>
      <c r="W629" s="52" t="n">
        <f aca="false">1+COUNTIFS($B$2:$B$756,B629,$C$2:$C$756,"&lt;"&amp;C629)</f>
        <v>3</v>
      </c>
      <c r="X629" s="53" t="n">
        <f aca="false">IF(AND(ISNUMBER(P629),Q629&gt;0),P629*365/Q629,"")</f>
        <v>0.070296902390274</v>
      </c>
      <c r="Y629" s="42" t="n">
        <f aca="false">IF(AND(C630=C629,ISNUMBER(R630)),R630,"")</f>
        <v>-0.422896784181548</v>
      </c>
      <c r="Z629" s="52" t="n">
        <f aca="false">IF(AND(W629=1,Q629&gt;Basis_Analysis!$B$3,ISNUMBER(Y629)),1,0)</f>
        <v>0</v>
      </c>
      <c r="AA629" s="43" t="str">
        <f aca="false">IF(W629=1,IF(SUMIFS($L$2:$L$756,$B$2:$B$756,B629,$W$2:$W$756,2)&gt;0,SUMIFS($L$2:$L$756,$B$2:$B$756,B629,$W$2:$W$756,2),""),"")</f>
        <v/>
      </c>
      <c r="AB629" s="54" t="str">
        <f aca="false">IF(AND(W629=1,ISNUMBER(AA629)),L629/(L629+AA629),"")</f>
        <v/>
      </c>
    </row>
    <row r="630" customFormat="false" ht="15" hidden="false" customHeight="true" outlineLevel="0" collapsed="false">
      <c r="A630" s="1" t="s">
        <v>274</v>
      </c>
      <c r="B630" s="46" t="n">
        <v>45938</v>
      </c>
      <c r="C630" s="46" t="n">
        <v>46021</v>
      </c>
      <c r="D630" s="47" t="n">
        <v>25519.6</v>
      </c>
      <c r="E630" s="47" t="n">
        <v>25569.9</v>
      </c>
      <c r="F630" s="47" t="n">
        <v>25380</v>
      </c>
      <c r="G630" s="47" t="n">
        <v>25406.6</v>
      </c>
      <c r="H630" s="47" t="n">
        <v>25402.4</v>
      </c>
      <c r="I630" s="47" t="n">
        <v>25406.6</v>
      </c>
      <c r="J630" s="48" t="n">
        <v>1678</v>
      </c>
      <c r="K630" s="47" t="n">
        <v>32045.68</v>
      </c>
      <c r="L630" s="48" t="n">
        <v>264225</v>
      </c>
      <c r="M630" s="48" t="n">
        <v>23400</v>
      </c>
      <c r="N630" s="47" t="n">
        <v>25046.15</v>
      </c>
      <c r="O630" s="47" t="n">
        <f aca="false">IF(AND(ISNUMBER(G630),ISNUMBER(N630)),G630-N630,"")</f>
        <v>360.449999999997</v>
      </c>
      <c r="P630" s="49" t="n">
        <f aca="false">IF(ISNUMBER(O630),O630/N630,"")</f>
        <v>0.0143914334139178</v>
      </c>
      <c r="Q630" s="50" t="n">
        <f aca="false">C630-B630</f>
        <v>83</v>
      </c>
      <c r="R630" s="51" t="n">
        <f aca="false">IF(AND(C630=C629,ISNUMBER(G630),ISNUMBER(G629)),(G630/G629-1)*100,"")</f>
        <v>-0.422896784181548</v>
      </c>
      <c r="S630" s="51" t="n">
        <f aca="false">IF(AND(C630=C629,ISNUMBER(L630),ISNUMBER(L629)),(L630/L629-1)*100,"")</f>
        <v>9.7165991902834</v>
      </c>
      <c r="T630" s="51" t="n">
        <f aca="false">IF(AND(C630=C629,ISNUMBER(G630),ISNUMBER(G629)),G630-G629,"")</f>
        <v>-107.900000000001</v>
      </c>
      <c r="U630" s="1" t="str">
        <f aca="false">IF(OR(NOT(ISNUMBER(R630)),NOT(ISNUMBER(S630))),"Not classified",IF(AND(R630&gt;0,S630&gt;0),"Long buildup (interpretation)",IF(AND(R630&lt;0,S630&gt;0),"Short buildup (interpretation)",IF(AND(R630&gt;0,S630&lt;0),"Short covering (interpretation)",IF(AND(R630&lt;0,S630&lt;0),"Long unwinding (interpretation)","Neutral")))))</f>
        <v>Short buildup (interpretation)</v>
      </c>
      <c r="V630" s="52" t="str">
        <f aca="false">TEXT(B630,"yyyy-mm")</f>
        <v>2025-10</v>
      </c>
      <c r="W630" s="52" t="n">
        <f aca="false">1+COUNTIFS($B$2:$B$756,B630,$C$2:$C$756,"&lt;"&amp;C630)</f>
        <v>3</v>
      </c>
      <c r="X630" s="53" t="n">
        <f aca="false">IF(AND(ISNUMBER(P630),Q630&gt;0),P630*365/Q630,"")</f>
        <v>0.0632876288684337</v>
      </c>
      <c r="Y630" s="42" t="n">
        <f aca="false">IF(AND(C631=C630,ISNUMBER(R631)),R631,"")</f>
        <v>0.609290499319082</v>
      </c>
      <c r="Z630" s="52" t="n">
        <f aca="false">IF(AND(W630=1,Q630&gt;Basis_Analysis!$B$3,ISNUMBER(Y630)),1,0)</f>
        <v>0</v>
      </c>
      <c r="AA630" s="43" t="str">
        <f aca="false">IF(W630=1,IF(SUMIFS($L$2:$L$756,$B$2:$B$756,B630,$W$2:$W$756,2)&gt;0,SUMIFS($L$2:$L$756,$B$2:$B$756,B630,$W$2:$W$756,2),""),"")</f>
        <v/>
      </c>
      <c r="AB630" s="54" t="str">
        <f aca="false">IF(AND(W630=1,ISNUMBER(AA630)),L630/(L630+AA630),"")</f>
        <v/>
      </c>
    </row>
    <row r="631" customFormat="false" ht="15" hidden="false" customHeight="true" outlineLevel="0" collapsed="false">
      <c r="A631" s="1" t="s">
        <v>274</v>
      </c>
      <c r="B631" s="46" t="n">
        <v>45939</v>
      </c>
      <c r="C631" s="46" t="n">
        <v>46021</v>
      </c>
      <c r="D631" s="47" t="n">
        <v>25425.8</v>
      </c>
      <c r="E631" s="47" t="n">
        <v>25573.9</v>
      </c>
      <c r="F631" s="47" t="n">
        <v>25418</v>
      </c>
      <c r="G631" s="47" t="n">
        <v>25561.4</v>
      </c>
      <c r="H631" s="47" t="n">
        <v>25565.1</v>
      </c>
      <c r="I631" s="47" t="n">
        <v>25561.4</v>
      </c>
      <c r="J631" s="48" t="n">
        <v>1469</v>
      </c>
      <c r="K631" s="47" t="n">
        <v>28119.76</v>
      </c>
      <c r="L631" s="48" t="n">
        <v>259275</v>
      </c>
      <c r="M631" s="48" t="n">
        <v>-4950</v>
      </c>
      <c r="N631" s="47" t="n">
        <v>25181.8</v>
      </c>
      <c r="O631" s="47" t="n">
        <f aca="false">IF(AND(ISNUMBER(G631),ISNUMBER(N631)),G631-N631,"")</f>
        <v>379.600000000002</v>
      </c>
      <c r="P631" s="49" t="n">
        <f aca="false">IF(ISNUMBER(O631),O631/N631,"")</f>
        <v>0.0150743791150753</v>
      </c>
      <c r="Q631" s="50" t="n">
        <f aca="false">C631-B631</f>
        <v>82</v>
      </c>
      <c r="R631" s="51" t="n">
        <f aca="false">IF(AND(C631=C630,ISNUMBER(G631),ISNUMBER(G630)),(G631/G630-1)*100,"")</f>
        <v>0.609290499319082</v>
      </c>
      <c r="S631" s="51" t="n">
        <f aca="false">IF(AND(C631=C630,ISNUMBER(L631),ISNUMBER(L630)),(L631/L630-1)*100,"")</f>
        <v>-1.87340334941811</v>
      </c>
      <c r="T631" s="51" t="n">
        <f aca="false">IF(AND(C631=C630,ISNUMBER(G631),ISNUMBER(G630)),G631-G630,"")</f>
        <v>154.800000000003</v>
      </c>
      <c r="U631" s="1" t="str">
        <f aca="false">IF(OR(NOT(ISNUMBER(R631)),NOT(ISNUMBER(S631))),"Not classified",IF(AND(R631&gt;0,S631&gt;0),"Long buildup (interpretation)",IF(AND(R631&lt;0,S631&gt;0),"Short buildup (interpretation)",IF(AND(R631&gt;0,S631&lt;0),"Short covering (interpretation)",IF(AND(R631&lt;0,S631&lt;0),"Long unwinding (interpretation)","Neutral")))))</f>
        <v>Short covering (interpretation)</v>
      </c>
      <c r="V631" s="52" t="str">
        <f aca="false">TEXT(B631,"yyyy-mm")</f>
        <v>2025-10</v>
      </c>
      <c r="W631" s="52" t="n">
        <f aca="false">1+COUNTIFS($B$2:$B$756,B631,$C$2:$C$756,"&lt;"&amp;C631)</f>
        <v>3</v>
      </c>
      <c r="X631" s="53" t="n">
        <f aca="false">IF(AND(ISNUMBER(P631),Q631&gt;0),P631*365/Q631,"")</f>
        <v>0.0670993704512496</v>
      </c>
      <c r="Y631" s="42" t="n">
        <f aca="false">IF(AND(C632=C631,ISNUMBER(R632)),R632,"")</f>
        <v>0.549656904551399</v>
      </c>
      <c r="Z631" s="52" t="n">
        <f aca="false">IF(AND(W631=1,Q631&gt;Basis_Analysis!$B$3,ISNUMBER(Y631)),1,0)</f>
        <v>0</v>
      </c>
      <c r="AA631" s="43" t="str">
        <f aca="false">IF(W631=1,IF(SUMIFS($L$2:$L$756,$B$2:$B$756,B631,$W$2:$W$756,2)&gt;0,SUMIFS($L$2:$L$756,$B$2:$B$756,B631,$W$2:$W$756,2),""),"")</f>
        <v/>
      </c>
      <c r="AB631" s="54" t="str">
        <f aca="false">IF(AND(W631=1,ISNUMBER(AA631)),L631/(L631+AA631),"")</f>
        <v/>
      </c>
    </row>
    <row r="632" customFormat="false" ht="15" hidden="false" customHeight="true" outlineLevel="0" collapsed="false">
      <c r="A632" s="1" t="s">
        <v>274</v>
      </c>
      <c r="B632" s="46" t="n">
        <v>45940</v>
      </c>
      <c r="C632" s="46" t="n">
        <v>46021</v>
      </c>
      <c r="D632" s="47" t="n">
        <v>25561.3</v>
      </c>
      <c r="E632" s="47" t="n">
        <v>25745</v>
      </c>
      <c r="F632" s="47" t="n">
        <v>25560.2</v>
      </c>
      <c r="G632" s="47" t="n">
        <v>25701.9</v>
      </c>
      <c r="H632" s="47" t="n">
        <v>25702</v>
      </c>
      <c r="I632" s="47" t="n">
        <v>25701.9</v>
      </c>
      <c r="J632" s="48" t="n">
        <v>1811</v>
      </c>
      <c r="K632" s="47" t="n">
        <v>34882.76</v>
      </c>
      <c r="L632" s="48" t="n">
        <v>285600</v>
      </c>
      <c r="M632" s="48" t="n">
        <v>26325</v>
      </c>
      <c r="N632" s="47" t="n">
        <v>25285.35</v>
      </c>
      <c r="O632" s="47" t="n">
        <f aca="false">IF(AND(ISNUMBER(G632),ISNUMBER(N632)),G632-N632,"")</f>
        <v>416.550000000003</v>
      </c>
      <c r="P632" s="49" t="n">
        <f aca="false">IF(ISNUMBER(O632),O632/N632,"")</f>
        <v>0.0164739661503599</v>
      </c>
      <c r="Q632" s="50" t="n">
        <f aca="false">C632-B632</f>
        <v>81</v>
      </c>
      <c r="R632" s="51" t="n">
        <f aca="false">IF(AND(C632=C631,ISNUMBER(G632),ISNUMBER(G631)),(G632/G631-1)*100,"")</f>
        <v>0.549656904551399</v>
      </c>
      <c r="S632" s="51" t="n">
        <f aca="false">IF(AND(C632=C631,ISNUMBER(L632),ISNUMBER(L631)),(L632/L631-1)*100,"")</f>
        <v>10.1533121203355</v>
      </c>
      <c r="T632" s="51" t="n">
        <f aca="false">IF(AND(C632=C631,ISNUMBER(G632),ISNUMBER(G631)),G632-G631,"")</f>
        <v>140.5</v>
      </c>
      <c r="U632" s="1" t="str">
        <f aca="false">IF(OR(NOT(ISNUMBER(R632)),NOT(ISNUMBER(S632))),"Not classified",IF(AND(R632&gt;0,S632&gt;0),"Long buildup (interpretation)",IF(AND(R632&lt;0,S632&gt;0),"Short buildup (interpretation)",IF(AND(R632&gt;0,S632&lt;0),"Short covering (interpretation)",IF(AND(R632&lt;0,S632&lt;0),"Long unwinding (interpretation)","Neutral")))))</f>
        <v>Long buildup (interpretation)</v>
      </c>
      <c r="V632" s="52" t="str">
        <f aca="false">TEXT(B632,"yyyy-mm")</f>
        <v>2025-10</v>
      </c>
      <c r="W632" s="52" t="n">
        <f aca="false">1+COUNTIFS($B$2:$B$756,B632,$C$2:$C$756,"&lt;"&amp;C632)</f>
        <v>3</v>
      </c>
      <c r="X632" s="53" t="n">
        <f aca="false">IF(AND(ISNUMBER(P632),Q632&gt;0),P632*365/Q632,"")</f>
        <v>0.0742345388256959</v>
      </c>
      <c r="Y632" s="42" t="n">
        <f aca="false">IF(AND(C633=C632,ISNUMBER(R633)),R633,"")</f>
        <v>-0.368066174096082</v>
      </c>
      <c r="Z632" s="52" t="n">
        <f aca="false">IF(AND(W632=1,Q632&gt;Basis_Analysis!$B$3,ISNUMBER(Y632)),1,0)</f>
        <v>0</v>
      </c>
      <c r="AA632" s="43" t="str">
        <f aca="false">IF(W632=1,IF(SUMIFS($L$2:$L$756,$B$2:$B$756,B632,$W$2:$W$756,2)&gt;0,SUMIFS($L$2:$L$756,$B$2:$B$756,B632,$W$2:$W$756,2),""),"")</f>
        <v/>
      </c>
      <c r="AB632" s="54" t="str">
        <f aca="false">IF(AND(W632=1,ISNUMBER(AA632)),L632/(L632+AA632),"")</f>
        <v/>
      </c>
    </row>
    <row r="633" customFormat="false" ht="15" hidden="false" customHeight="true" outlineLevel="0" collapsed="false">
      <c r="A633" s="1" t="s">
        <v>274</v>
      </c>
      <c r="B633" s="46" t="n">
        <v>45943</v>
      </c>
      <c r="C633" s="46" t="n">
        <v>46021</v>
      </c>
      <c r="D633" s="47" t="n">
        <v>25610</v>
      </c>
      <c r="E633" s="47" t="n">
        <v>25635</v>
      </c>
      <c r="F633" s="47" t="n">
        <v>25538</v>
      </c>
      <c r="G633" s="47" t="n">
        <v>25607.3</v>
      </c>
      <c r="H633" s="47" t="n">
        <v>25612</v>
      </c>
      <c r="I633" s="47" t="n">
        <v>25607.3</v>
      </c>
      <c r="J633" s="48" t="n">
        <v>1652</v>
      </c>
      <c r="K633" s="47" t="n">
        <v>31698.19</v>
      </c>
      <c r="L633" s="48" t="n">
        <v>323325</v>
      </c>
      <c r="M633" s="48" t="n">
        <v>37725</v>
      </c>
      <c r="N633" s="47" t="n">
        <v>25227.35</v>
      </c>
      <c r="O633" s="47" t="n">
        <f aca="false">IF(AND(ISNUMBER(G633),ISNUMBER(N633)),G633-N633,"")</f>
        <v>379.950000000001</v>
      </c>
      <c r="P633" s="49" t="n">
        <f aca="false">IF(ISNUMBER(O633),O633/N633,"")</f>
        <v>0.0150610349481813</v>
      </c>
      <c r="Q633" s="50" t="n">
        <f aca="false">C633-B633</f>
        <v>78</v>
      </c>
      <c r="R633" s="51" t="n">
        <f aca="false">IF(AND(C633=C632,ISNUMBER(G633),ISNUMBER(G632)),(G633/G632-1)*100,"")</f>
        <v>-0.368066174096082</v>
      </c>
      <c r="S633" s="51" t="n">
        <f aca="false">IF(AND(C633=C632,ISNUMBER(L633),ISNUMBER(L632)),(L633/L632-1)*100,"")</f>
        <v>13.2090336134454</v>
      </c>
      <c r="T633" s="51" t="n">
        <f aca="false">IF(AND(C633=C632,ISNUMBER(G633),ISNUMBER(G632)),G633-G632,"")</f>
        <v>-94.6000000000022</v>
      </c>
      <c r="U633" s="1" t="str">
        <f aca="false">IF(OR(NOT(ISNUMBER(R633)),NOT(ISNUMBER(S633))),"Not classified",IF(AND(R633&gt;0,S633&gt;0),"Long buildup (interpretation)",IF(AND(R633&lt;0,S633&gt;0),"Short buildup (interpretation)",IF(AND(R633&gt;0,S633&lt;0),"Short covering (interpretation)",IF(AND(R633&lt;0,S633&lt;0),"Long unwinding (interpretation)","Neutral")))))</f>
        <v>Short buildup (interpretation)</v>
      </c>
      <c r="V633" s="52" t="str">
        <f aca="false">TEXT(B633,"yyyy-mm")</f>
        <v>2025-10</v>
      </c>
      <c r="W633" s="52" t="n">
        <f aca="false">1+COUNTIFS($B$2:$B$756,B633,$C$2:$C$756,"&lt;"&amp;C633)</f>
        <v>3</v>
      </c>
      <c r="X633" s="53" t="n">
        <f aca="false">IF(AND(ISNUMBER(P633),Q633&gt;0),P633*365/Q633,"")</f>
        <v>0.0704779199498226</v>
      </c>
      <c r="Y633" s="42" t="n">
        <f aca="false">IF(AND(C634=C633,ISNUMBER(R634)),R634,"")</f>
        <v>-0.405743674655268</v>
      </c>
      <c r="Z633" s="52" t="n">
        <f aca="false">IF(AND(W633=1,Q633&gt;Basis_Analysis!$B$3,ISNUMBER(Y633)),1,0)</f>
        <v>0</v>
      </c>
      <c r="AA633" s="43" t="str">
        <f aca="false">IF(W633=1,IF(SUMIFS($L$2:$L$756,$B$2:$B$756,B633,$W$2:$W$756,2)&gt;0,SUMIFS($L$2:$L$756,$B$2:$B$756,B633,$W$2:$W$756,2),""),"")</f>
        <v/>
      </c>
      <c r="AB633" s="54" t="str">
        <f aca="false">IF(AND(W633=1,ISNUMBER(AA633)),L633/(L633+AA633),"")</f>
        <v/>
      </c>
    </row>
    <row r="634" customFormat="false" ht="15" hidden="false" customHeight="true" outlineLevel="0" collapsed="false">
      <c r="A634" s="1" t="s">
        <v>274</v>
      </c>
      <c r="B634" s="46" t="n">
        <v>45944</v>
      </c>
      <c r="C634" s="46" t="n">
        <v>46021</v>
      </c>
      <c r="D634" s="47" t="n">
        <v>25611.9</v>
      </c>
      <c r="E634" s="47" t="n">
        <v>25668.7</v>
      </c>
      <c r="F634" s="47" t="n">
        <v>25430</v>
      </c>
      <c r="G634" s="47" t="n">
        <v>25503.4</v>
      </c>
      <c r="H634" s="47" t="n">
        <v>25485</v>
      </c>
      <c r="I634" s="47" t="n">
        <v>25503.4</v>
      </c>
      <c r="J634" s="48" t="n">
        <v>2183</v>
      </c>
      <c r="K634" s="47" t="n">
        <v>41801.35</v>
      </c>
      <c r="L634" s="48" t="n">
        <v>361050</v>
      </c>
      <c r="M634" s="48" t="n">
        <v>37725</v>
      </c>
      <c r="N634" s="47" t="n">
        <v>25145.5</v>
      </c>
      <c r="O634" s="47" t="n">
        <f aca="false">IF(AND(ISNUMBER(G634),ISNUMBER(N634)),G634-N634,"")</f>
        <v>357.900000000001</v>
      </c>
      <c r="P634" s="49" t="n">
        <f aca="false">IF(ISNUMBER(O634),O634/N634,"")</f>
        <v>0.0142331629913902</v>
      </c>
      <c r="Q634" s="50" t="n">
        <f aca="false">C634-B634</f>
        <v>77</v>
      </c>
      <c r="R634" s="51" t="n">
        <f aca="false">IF(AND(C634=C633,ISNUMBER(G634),ISNUMBER(G633)),(G634/G633-1)*100,"")</f>
        <v>-0.405743674655268</v>
      </c>
      <c r="S634" s="51" t="n">
        <f aca="false">IF(AND(C634=C633,ISNUMBER(L634),ISNUMBER(L633)),(L634/L633-1)*100,"")</f>
        <v>11.6678264903735</v>
      </c>
      <c r="T634" s="51" t="n">
        <f aca="false">IF(AND(C634=C633,ISNUMBER(G634),ISNUMBER(G633)),G634-G633,"")</f>
        <v>-103.899999999998</v>
      </c>
      <c r="U634" s="1" t="str">
        <f aca="false">IF(OR(NOT(ISNUMBER(R634)),NOT(ISNUMBER(S634))),"Not classified",IF(AND(R634&gt;0,S634&gt;0),"Long buildup (interpretation)",IF(AND(R634&lt;0,S634&gt;0),"Short buildup (interpretation)",IF(AND(R634&gt;0,S634&lt;0),"Short covering (interpretation)",IF(AND(R634&lt;0,S634&lt;0),"Long unwinding (interpretation)","Neutral")))))</f>
        <v>Short buildup (interpretation)</v>
      </c>
      <c r="V634" s="52" t="str">
        <f aca="false">TEXT(B634,"yyyy-mm")</f>
        <v>2025-10</v>
      </c>
      <c r="W634" s="52" t="n">
        <f aca="false">1+COUNTIFS($B$2:$B$756,B634,$C$2:$C$756,"&lt;"&amp;C634)</f>
        <v>3</v>
      </c>
      <c r="X634" s="53" t="n">
        <f aca="false">IF(AND(ISNUMBER(P634),Q634&gt;0),P634*365/Q634,"")</f>
        <v>0.0674688895046417</v>
      </c>
      <c r="Y634" s="42" t="n">
        <f aca="false">IF(AND(C635=C634,ISNUMBER(R635)),R635,"")</f>
        <v>0.824203831645964</v>
      </c>
      <c r="Z634" s="52" t="n">
        <f aca="false">IF(AND(W634=1,Q634&gt;Basis_Analysis!$B$3,ISNUMBER(Y634)),1,0)</f>
        <v>0</v>
      </c>
      <c r="AA634" s="43" t="str">
        <f aca="false">IF(W634=1,IF(SUMIFS($L$2:$L$756,$B$2:$B$756,B634,$W$2:$W$756,2)&gt;0,SUMIFS($L$2:$L$756,$B$2:$B$756,B634,$W$2:$W$756,2),""),"")</f>
        <v/>
      </c>
      <c r="AB634" s="54" t="str">
        <f aca="false">IF(AND(W634=1,ISNUMBER(AA634)),L634/(L634+AA634),"")</f>
        <v/>
      </c>
    </row>
    <row r="635" customFormat="false" ht="15" hidden="false" customHeight="true" outlineLevel="0" collapsed="false">
      <c r="A635" s="1" t="s">
        <v>274</v>
      </c>
      <c r="B635" s="46" t="n">
        <v>45945</v>
      </c>
      <c r="C635" s="46" t="n">
        <v>46021</v>
      </c>
      <c r="D635" s="47" t="n">
        <v>25485</v>
      </c>
      <c r="E635" s="47" t="n">
        <v>25742.9</v>
      </c>
      <c r="F635" s="47" t="n">
        <v>25485</v>
      </c>
      <c r="G635" s="47" t="n">
        <v>25713.6</v>
      </c>
      <c r="H635" s="47" t="n">
        <v>25721</v>
      </c>
      <c r="I635" s="47" t="n">
        <v>25713.6</v>
      </c>
      <c r="J635" s="48" t="n">
        <v>2631</v>
      </c>
      <c r="K635" s="47" t="n">
        <v>50680.07</v>
      </c>
      <c r="L635" s="48" t="n">
        <v>356025</v>
      </c>
      <c r="M635" s="48" t="n">
        <v>-5025</v>
      </c>
      <c r="N635" s="47" t="n">
        <v>25323.55</v>
      </c>
      <c r="O635" s="47" t="n">
        <f aca="false">IF(AND(ISNUMBER(G635),ISNUMBER(N635)),G635-N635,"")</f>
        <v>390.049999999999</v>
      </c>
      <c r="P635" s="49" t="n">
        <f aca="false">IF(ISNUMBER(O635),O635/N635,"")</f>
        <v>0.0154026587899406</v>
      </c>
      <c r="Q635" s="50" t="n">
        <f aca="false">C635-B635</f>
        <v>76</v>
      </c>
      <c r="R635" s="51" t="n">
        <f aca="false">IF(AND(C635=C634,ISNUMBER(G635),ISNUMBER(G634)),(G635/G634-1)*100,"")</f>
        <v>0.824203831645964</v>
      </c>
      <c r="S635" s="51" t="n">
        <f aca="false">IF(AND(C635=C634,ISNUMBER(L635),ISNUMBER(L634)),(L635/L634-1)*100,"")</f>
        <v>-1.39177399252182</v>
      </c>
      <c r="T635" s="51" t="n">
        <f aca="false">IF(AND(C635=C634,ISNUMBER(G635),ISNUMBER(G634)),G635-G634,"")</f>
        <v>210.199999999997</v>
      </c>
      <c r="U635" s="1" t="str">
        <f aca="false">IF(OR(NOT(ISNUMBER(R635)),NOT(ISNUMBER(S635))),"Not classified",IF(AND(R635&gt;0,S635&gt;0),"Long buildup (interpretation)",IF(AND(R635&lt;0,S635&gt;0),"Short buildup (interpretation)",IF(AND(R635&gt;0,S635&lt;0),"Short covering (interpretation)",IF(AND(R635&lt;0,S635&lt;0),"Long unwinding (interpretation)","Neutral")))))</f>
        <v>Short covering (interpretation)</v>
      </c>
      <c r="V635" s="52" t="str">
        <f aca="false">TEXT(B635,"yyyy-mm")</f>
        <v>2025-10</v>
      </c>
      <c r="W635" s="52" t="n">
        <f aca="false">1+COUNTIFS($B$2:$B$756,B635,$C$2:$C$756,"&lt;"&amp;C635)</f>
        <v>3</v>
      </c>
      <c r="X635" s="53" t="n">
        <f aca="false">IF(AND(ISNUMBER(P635),Q635&gt;0),P635*365/Q635,"")</f>
        <v>0.0739732955043198</v>
      </c>
      <c r="Y635" s="42" t="n">
        <f aca="false">IF(AND(C636=C635,ISNUMBER(R636)),R636,"")</f>
        <v>0.892523800634693</v>
      </c>
      <c r="Z635" s="52" t="n">
        <f aca="false">IF(AND(W635=1,Q635&gt;Basis_Analysis!$B$3,ISNUMBER(Y635)),1,0)</f>
        <v>0</v>
      </c>
      <c r="AA635" s="43" t="str">
        <f aca="false">IF(W635=1,IF(SUMIFS($L$2:$L$756,$B$2:$B$756,B635,$W$2:$W$756,2)&gt;0,SUMIFS($L$2:$L$756,$B$2:$B$756,B635,$W$2:$W$756,2),""),"")</f>
        <v/>
      </c>
      <c r="AB635" s="54" t="str">
        <f aca="false">IF(AND(W635=1,ISNUMBER(AA635)),L635/(L635+AA635),"")</f>
        <v/>
      </c>
    </row>
    <row r="636" customFormat="false" ht="15" hidden="false" customHeight="true" outlineLevel="0" collapsed="false">
      <c r="A636" s="1" t="s">
        <v>274</v>
      </c>
      <c r="B636" s="46" t="n">
        <v>45946</v>
      </c>
      <c r="C636" s="46" t="n">
        <v>46021</v>
      </c>
      <c r="D636" s="47" t="n">
        <v>25760</v>
      </c>
      <c r="E636" s="47" t="n">
        <v>25980</v>
      </c>
      <c r="F636" s="47" t="n">
        <v>25760</v>
      </c>
      <c r="G636" s="47" t="n">
        <v>25943.1</v>
      </c>
      <c r="H636" s="47" t="n">
        <v>25931.6</v>
      </c>
      <c r="I636" s="47" t="n">
        <v>25943.1</v>
      </c>
      <c r="J636" s="48" t="n">
        <v>2733</v>
      </c>
      <c r="K636" s="47" t="n">
        <v>53041.07</v>
      </c>
      <c r="L636" s="48" t="n">
        <v>403950</v>
      </c>
      <c r="M636" s="48" t="n">
        <v>47925</v>
      </c>
      <c r="N636" s="47" t="n">
        <v>25585.3</v>
      </c>
      <c r="O636" s="47" t="n">
        <f aca="false">IF(AND(ISNUMBER(G636),ISNUMBER(N636)),G636-N636,"")</f>
        <v>357.799999999999</v>
      </c>
      <c r="P636" s="49" t="n">
        <f aca="false">IF(ISNUMBER(O636),O636/N636,"")</f>
        <v>0.0139845927153482</v>
      </c>
      <c r="Q636" s="50" t="n">
        <f aca="false">C636-B636</f>
        <v>75</v>
      </c>
      <c r="R636" s="51" t="n">
        <f aca="false">IF(AND(C636=C635,ISNUMBER(G636),ISNUMBER(G635)),(G636/G635-1)*100,"")</f>
        <v>0.892523800634693</v>
      </c>
      <c r="S636" s="51" t="n">
        <f aca="false">IF(AND(C636=C635,ISNUMBER(L636),ISNUMBER(L635)),(L636/L635-1)*100,"")</f>
        <v>13.4611333473773</v>
      </c>
      <c r="T636" s="51" t="n">
        <f aca="false">IF(AND(C636=C635,ISNUMBER(G636),ISNUMBER(G635)),G636-G635,"")</f>
        <v>229.5</v>
      </c>
      <c r="U636" s="1" t="str">
        <f aca="false">IF(OR(NOT(ISNUMBER(R636)),NOT(ISNUMBER(S636))),"Not classified",IF(AND(R636&gt;0,S636&gt;0),"Long buildup (interpretation)",IF(AND(R636&lt;0,S636&gt;0),"Short buildup (interpretation)",IF(AND(R636&gt;0,S636&lt;0),"Short covering (interpretation)",IF(AND(R636&lt;0,S636&lt;0),"Long unwinding (interpretation)","Neutral")))))</f>
        <v>Long buildup (interpretation)</v>
      </c>
      <c r="V636" s="52" t="str">
        <f aca="false">TEXT(B636,"yyyy-mm")</f>
        <v>2025-10</v>
      </c>
      <c r="W636" s="52" t="n">
        <f aca="false">1+COUNTIFS($B$2:$B$756,B636,$C$2:$C$756,"&lt;"&amp;C636)</f>
        <v>3</v>
      </c>
      <c r="X636" s="53" t="n">
        <f aca="false">IF(AND(ISNUMBER(P636),Q636&gt;0),P636*365/Q636,"")</f>
        <v>0.0680583512146948</v>
      </c>
      <c r="Y636" s="42" t="n">
        <f aca="false">IF(AND(C637=C636,ISNUMBER(R637)),R637,"")</f>
        <v>0.415910203483794</v>
      </c>
      <c r="Z636" s="52" t="n">
        <f aca="false">IF(AND(W636=1,Q636&gt;Basis_Analysis!$B$3,ISNUMBER(Y636)),1,0)</f>
        <v>0</v>
      </c>
      <c r="AA636" s="43" t="str">
        <f aca="false">IF(W636=1,IF(SUMIFS($L$2:$L$756,$B$2:$B$756,B636,$W$2:$W$756,2)&gt;0,SUMIFS($L$2:$L$756,$B$2:$B$756,B636,$W$2:$W$756,2),""),"")</f>
        <v/>
      </c>
      <c r="AB636" s="54" t="str">
        <f aca="false">IF(AND(W636=1,ISNUMBER(AA636)),L636/(L636+AA636),"")</f>
        <v/>
      </c>
    </row>
    <row r="637" customFormat="false" ht="15" hidden="false" customHeight="true" outlineLevel="0" collapsed="false">
      <c r="A637" s="1" t="s">
        <v>274</v>
      </c>
      <c r="B637" s="46" t="n">
        <v>45947</v>
      </c>
      <c r="C637" s="46" t="n">
        <v>46021</v>
      </c>
      <c r="D637" s="47" t="n">
        <v>25900</v>
      </c>
      <c r="E637" s="47" t="n">
        <v>26136.3</v>
      </c>
      <c r="F637" s="47" t="n">
        <v>25880.3</v>
      </c>
      <c r="G637" s="47" t="n">
        <v>26051</v>
      </c>
      <c r="H637" s="47" t="n">
        <v>26047.2</v>
      </c>
      <c r="I637" s="47" t="n">
        <v>26051</v>
      </c>
      <c r="J637" s="48" t="n">
        <v>5310</v>
      </c>
      <c r="K637" s="47" t="n">
        <v>103654.51</v>
      </c>
      <c r="L637" s="48" t="n">
        <v>488100</v>
      </c>
      <c r="M637" s="48" t="n">
        <v>84150</v>
      </c>
      <c r="N637" s="47" t="n">
        <v>25709.85</v>
      </c>
      <c r="O637" s="47" t="n">
        <f aca="false">IF(AND(ISNUMBER(G637),ISNUMBER(N637)),G637-N637,"")</f>
        <v>341.150000000001</v>
      </c>
      <c r="P637" s="49" t="n">
        <f aca="false">IF(ISNUMBER(O637),O637/N637,"")</f>
        <v>0.0132692333872038</v>
      </c>
      <c r="Q637" s="50" t="n">
        <f aca="false">C637-B637</f>
        <v>74</v>
      </c>
      <c r="R637" s="51" t="n">
        <f aca="false">IF(AND(C637=C636,ISNUMBER(G637),ISNUMBER(G636)),(G637/G636-1)*100,"")</f>
        <v>0.415910203483794</v>
      </c>
      <c r="S637" s="51" t="n">
        <f aca="false">IF(AND(C637=C636,ISNUMBER(L637),ISNUMBER(L636)),(L637/L636-1)*100,"")</f>
        <v>20.8317861121426</v>
      </c>
      <c r="T637" s="51" t="n">
        <f aca="false">IF(AND(C637=C636,ISNUMBER(G637),ISNUMBER(G636)),G637-G636,"")</f>
        <v>107.900000000001</v>
      </c>
      <c r="U637" s="1" t="str">
        <f aca="false">IF(OR(NOT(ISNUMBER(R637)),NOT(ISNUMBER(S637))),"Not classified",IF(AND(R637&gt;0,S637&gt;0),"Long buildup (interpretation)",IF(AND(R637&lt;0,S637&gt;0),"Short buildup (interpretation)",IF(AND(R637&gt;0,S637&lt;0),"Short covering (interpretation)",IF(AND(R637&lt;0,S637&lt;0),"Long unwinding (interpretation)","Neutral")))))</f>
        <v>Long buildup (interpretation)</v>
      </c>
      <c r="V637" s="52" t="str">
        <f aca="false">TEXT(B637,"yyyy-mm")</f>
        <v>2025-10</v>
      </c>
      <c r="W637" s="52" t="n">
        <f aca="false">1+COUNTIFS($B$2:$B$756,B637,$C$2:$C$756,"&lt;"&amp;C637)</f>
        <v>3</v>
      </c>
      <c r="X637" s="53" t="n">
        <f aca="false">IF(AND(ISNUMBER(P637),Q637&gt;0),P637*365/Q637,"")</f>
        <v>0.0654495971125593</v>
      </c>
      <c r="Y637" s="42" t="n">
        <f aca="false">IF(AND(C638=C637,ISNUMBER(R638)),R638,"")</f>
        <v>0.597289931288625</v>
      </c>
      <c r="Z637" s="52" t="n">
        <f aca="false">IF(AND(W637=1,Q637&gt;Basis_Analysis!$B$3,ISNUMBER(Y637)),1,0)</f>
        <v>0</v>
      </c>
      <c r="AA637" s="43" t="str">
        <f aca="false">IF(W637=1,IF(SUMIFS($L$2:$L$756,$B$2:$B$756,B637,$W$2:$W$756,2)&gt;0,SUMIFS($L$2:$L$756,$B$2:$B$756,B637,$W$2:$W$756,2),""),"")</f>
        <v/>
      </c>
      <c r="AB637" s="54" t="str">
        <f aca="false">IF(AND(W637=1,ISNUMBER(AA637)),L637/(L637+AA637),"")</f>
        <v/>
      </c>
    </row>
    <row r="638" customFormat="false" ht="15" hidden="false" customHeight="true" outlineLevel="0" collapsed="false">
      <c r="A638" s="1" t="s">
        <v>274</v>
      </c>
      <c r="B638" s="46" t="n">
        <v>45950</v>
      </c>
      <c r="C638" s="46" t="n">
        <v>46021</v>
      </c>
      <c r="D638" s="47" t="n">
        <v>26151</v>
      </c>
      <c r="E638" s="47" t="n">
        <v>26252</v>
      </c>
      <c r="F638" s="47" t="n">
        <v>26125</v>
      </c>
      <c r="G638" s="47" t="n">
        <v>26206.6</v>
      </c>
      <c r="H638" s="47" t="n">
        <v>26223.2</v>
      </c>
      <c r="I638" s="47" t="n">
        <v>26206.6</v>
      </c>
      <c r="J638" s="48" t="n">
        <v>3790</v>
      </c>
      <c r="K638" s="47" t="n">
        <v>74456.96</v>
      </c>
      <c r="L638" s="48" t="n">
        <v>525075</v>
      </c>
      <c r="M638" s="48" t="n">
        <v>36975</v>
      </c>
      <c r="N638" s="47" t="n">
        <v>25843.15</v>
      </c>
      <c r="O638" s="47" t="n">
        <f aca="false">IF(AND(ISNUMBER(G638),ISNUMBER(N638)),G638-N638,"")</f>
        <v>363.449999999997</v>
      </c>
      <c r="P638" s="49" t="n">
        <f aca="false">IF(ISNUMBER(O638),O638/N638,"")</f>
        <v>0.0140636880566029</v>
      </c>
      <c r="Q638" s="50" t="n">
        <f aca="false">C638-B638</f>
        <v>71</v>
      </c>
      <c r="R638" s="51" t="n">
        <f aca="false">IF(AND(C638=C637,ISNUMBER(G638),ISNUMBER(G637)),(G638/G637-1)*100,"")</f>
        <v>0.597289931288625</v>
      </c>
      <c r="S638" s="51" t="n">
        <f aca="false">IF(AND(C638=C637,ISNUMBER(L638),ISNUMBER(L637)),(L638/L637-1)*100,"")</f>
        <v>7.57529194837123</v>
      </c>
      <c r="T638" s="51" t="n">
        <f aca="false">IF(AND(C638=C637,ISNUMBER(G638),ISNUMBER(G637)),G638-G637,"")</f>
        <v>155.599999999999</v>
      </c>
      <c r="U638" s="1" t="str">
        <f aca="false">IF(OR(NOT(ISNUMBER(R638)),NOT(ISNUMBER(S638))),"Not classified",IF(AND(R638&gt;0,S638&gt;0),"Long buildup (interpretation)",IF(AND(R638&lt;0,S638&gt;0),"Short buildup (interpretation)",IF(AND(R638&gt;0,S638&lt;0),"Short covering (interpretation)",IF(AND(R638&lt;0,S638&lt;0),"Long unwinding (interpretation)","Neutral")))))</f>
        <v>Long buildup (interpretation)</v>
      </c>
      <c r="V638" s="52" t="str">
        <f aca="false">TEXT(B638,"yyyy-mm")</f>
        <v>2025-10</v>
      </c>
      <c r="W638" s="52" t="n">
        <f aca="false">1+COUNTIFS($B$2:$B$756,B638,$C$2:$C$756,"&lt;"&amp;C638)</f>
        <v>3</v>
      </c>
      <c r="X638" s="53" t="n">
        <f aca="false">IF(AND(ISNUMBER(P638),Q638&gt;0),P638*365/Q638,"")</f>
        <v>0.0722992414177473</v>
      </c>
      <c r="Y638" s="42" t="n">
        <f aca="false">IF(AND(C639=C638,ISNUMBER(R639)),R639,"")</f>
        <v>-0.0450268253035513</v>
      </c>
      <c r="Z638" s="52" t="n">
        <f aca="false">IF(AND(W638=1,Q638&gt;Basis_Analysis!$B$3,ISNUMBER(Y638)),1,0)</f>
        <v>0</v>
      </c>
      <c r="AA638" s="43" t="str">
        <f aca="false">IF(W638=1,IF(SUMIFS($L$2:$L$756,$B$2:$B$756,B638,$W$2:$W$756,2)&gt;0,SUMIFS($L$2:$L$756,$B$2:$B$756,B638,$W$2:$W$756,2),""),"")</f>
        <v/>
      </c>
      <c r="AB638" s="54" t="str">
        <f aca="false">IF(AND(W638=1,ISNUMBER(AA638)),L638/(L638+AA638),"")</f>
        <v/>
      </c>
    </row>
    <row r="639" customFormat="false" ht="15" hidden="false" customHeight="true" outlineLevel="0" collapsed="false">
      <c r="A639" s="1" t="s">
        <v>274</v>
      </c>
      <c r="B639" s="46" t="n">
        <v>45951</v>
      </c>
      <c r="C639" s="46" t="n">
        <v>46021</v>
      </c>
      <c r="D639" s="47" t="n">
        <v>26223.2</v>
      </c>
      <c r="E639" s="47" t="n">
        <v>26252.1</v>
      </c>
      <c r="F639" s="47" t="n">
        <v>26160</v>
      </c>
      <c r="G639" s="47" t="n">
        <v>26194.8</v>
      </c>
      <c r="H639" s="47" t="n">
        <v>26160</v>
      </c>
      <c r="I639" s="47" t="n">
        <v>26194.8</v>
      </c>
      <c r="J639" s="48" t="n">
        <v>809</v>
      </c>
      <c r="K639" s="47" t="n">
        <v>15903.1</v>
      </c>
      <c r="L639" s="48" t="n">
        <v>533175</v>
      </c>
      <c r="M639" s="48" t="n">
        <v>8100</v>
      </c>
      <c r="N639" s="47" t="n">
        <v>25868.6</v>
      </c>
      <c r="O639" s="47" t="n">
        <f aca="false">IF(AND(ISNUMBER(G639),ISNUMBER(N639)),G639-N639,"")</f>
        <v>326.200000000001</v>
      </c>
      <c r="P639" s="49" t="n">
        <f aca="false">IF(ISNUMBER(O639),O639/N639,"")</f>
        <v>0.0126098822510689</v>
      </c>
      <c r="Q639" s="50" t="n">
        <f aca="false">C639-B639</f>
        <v>70</v>
      </c>
      <c r="R639" s="51" t="n">
        <f aca="false">IF(AND(C639=C638,ISNUMBER(G639),ISNUMBER(G638)),(G639/G638-1)*100,"")</f>
        <v>-0.0450268253035513</v>
      </c>
      <c r="S639" s="51" t="n">
        <f aca="false">IF(AND(C639=C638,ISNUMBER(L639),ISNUMBER(L638)),(L639/L638-1)*100,"")</f>
        <v>1.54263676617625</v>
      </c>
      <c r="T639" s="51" t="n">
        <f aca="false">IF(AND(C639=C638,ISNUMBER(G639),ISNUMBER(G638)),G639-G638,"")</f>
        <v>-11.7999999999993</v>
      </c>
      <c r="U639" s="1" t="str">
        <f aca="false">IF(OR(NOT(ISNUMBER(R639)),NOT(ISNUMBER(S639))),"Not classified",IF(AND(R639&gt;0,S639&gt;0),"Long buildup (interpretation)",IF(AND(R639&lt;0,S639&gt;0),"Short buildup (interpretation)",IF(AND(R639&gt;0,S639&lt;0),"Short covering (interpretation)",IF(AND(R639&lt;0,S639&lt;0),"Long unwinding (interpretation)","Neutral")))))</f>
        <v>Short buildup (interpretation)</v>
      </c>
      <c r="V639" s="52" t="str">
        <f aca="false">TEXT(B639,"yyyy-mm")</f>
        <v>2025-10</v>
      </c>
      <c r="W639" s="52" t="n">
        <f aca="false">1+COUNTIFS($B$2:$B$756,B639,$C$2:$C$756,"&lt;"&amp;C639)</f>
        <v>3</v>
      </c>
      <c r="X639" s="53" t="n">
        <f aca="false">IF(AND(ISNUMBER(P639),Q639&gt;0),P639*365/Q639,"")</f>
        <v>0.0657515288805735</v>
      </c>
      <c r="Y639" s="42" t="n">
        <f aca="false">IF(AND(C640=C639,ISNUMBER(R640)),R640,"")</f>
        <v>0.324491883885347</v>
      </c>
      <c r="Z639" s="52" t="n">
        <f aca="false">IF(AND(W639=1,Q639&gt;Basis_Analysis!$B$3,ISNUMBER(Y639)),1,0)</f>
        <v>0</v>
      </c>
      <c r="AA639" s="43" t="str">
        <f aca="false">IF(W639=1,IF(SUMIFS($L$2:$L$756,$B$2:$B$756,B639,$W$2:$W$756,2)&gt;0,SUMIFS($L$2:$L$756,$B$2:$B$756,B639,$W$2:$W$756,2),""),"")</f>
        <v/>
      </c>
      <c r="AB639" s="54" t="str">
        <f aca="false">IF(AND(W639=1,ISNUMBER(AA639)),L639/(L639+AA639),"")</f>
        <v/>
      </c>
    </row>
    <row r="640" customFormat="false" ht="15" hidden="false" customHeight="true" outlineLevel="0" collapsed="false">
      <c r="A640" s="1" t="s">
        <v>274</v>
      </c>
      <c r="B640" s="46" t="n">
        <v>45953</v>
      </c>
      <c r="C640" s="46" t="n">
        <v>46021</v>
      </c>
      <c r="D640" s="47" t="n">
        <v>26300</v>
      </c>
      <c r="E640" s="47" t="n">
        <v>26466.6</v>
      </c>
      <c r="F640" s="47" t="n">
        <v>26252</v>
      </c>
      <c r="G640" s="47" t="n">
        <v>26279.8</v>
      </c>
      <c r="H640" s="47" t="n">
        <v>26263</v>
      </c>
      <c r="I640" s="47" t="n">
        <v>26279.8</v>
      </c>
      <c r="J640" s="48" t="n">
        <v>5480</v>
      </c>
      <c r="K640" s="47" t="n">
        <v>108440.35</v>
      </c>
      <c r="L640" s="48" t="n">
        <v>653550</v>
      </c>
      <c r="M640" s="48" t="n">
        <v>120375</v>
      </c>
      <c r="N640" s="47" t="n">
        <v>25891.4</v>
      </c>
      <c r="O640" s="47" t="n">
        <f aca="false">IF(AND(ISNUMBER(G640),ISNUMBER(N640)),G640-N640,"")</f>
        <v>388.399999999998</v>
      </c>
      <c r="P640" s="49" t="n">
        <f aca="false">IF(ISNUMBER(O640),O640/N640,"")</f>
        <v>0.0150011200630324</v>
      </c>
      <c r="Q640" s="50" t="n">
        <f aca="false">C640-B640</f>
        <v>68</v>
      </c>
      <c r="R640" s="51" t="n">
        <f aca="false">IF(AND(C640=C639,ISNUMBER(G640),ISNUMBER(G639)),(G640/G639-1)*100,"")</f>
        <v>0.324491883885347</v>
      </c>
      <c r="S640" s="51" t="n">
        <f aca="false">IF(AND(C640=C639,ISNUMBER(L640),ISNUMBER(L639)),(L640/L639-1)*100,"")</f>
        <v>22.5770150513434</v>
      </c>
      <c r="T640" s="51" t="n">
        <f aca="false">IF(AND(C640=C639,ISNUMBER(G640),ISNUMBER(G639)),G640-G639,"")</f>
        <v>85</v>
      </c>
      <c r="U640" s="1" t="str">
        <f aca="false">IF(OR(NOT(ISNUMBER(R640)),NOT(ISNUMBER(S640))),"Not classified",IF(AND(R640&gt;0,S640&gt;0),"Long buildup (interpretation)",IF(AND(R640&lt;0,S640&gt;0),"Short buildup (interpretation)",IF(AND(R640&gt;0,S640&lt;0),"Short covering (interpretation)",IF(AND(R640&lt;0,S640&lt;0),"Long unwinding (interpretation)","Neutral")))))</f>
        <v>Long buildup (interpretation)</v>
      </c>
      <c r="V640" s="52" t="str">
        <f aca="false">TEXT(B640,"yyyy-mm")</f>
        <v>2025-10</v>
      </c>
      <c r="W640" s="52" t="n">
        <f aca="false">1+COUNTIFS($B$2:$B$756,B640,$C$2:$C$756,"&lt;"&amp;C640)</f>
        <v>3</v>
      </c>
      <c r="X640" s="53" t="n">
        <f aca="false">IF(AND(ISNUMBER(P640),Q640&gt;0),P640*365/Q640,"")</f>
        <v>0.0805207179853947</v>
      </c>
      <c r="Y640" s="42" t="n">
        <f aca="false">IF(AND(C641=C640,ISNUMBER(R641)),R641,"")</f>
        <v>-0.569258517949145</v>
      </c>
      <c r="Z640" s="52" t="n">
        <f aca="false">IF(AND(W640=1,Q640&gt;Basis_Analysis!$B$3,ISNUMBER(Y640)),1,0)</f>
        <v>0</v>
      </c>
      <c r="AA640" s="43" t="str">
        <f aca="false">IF(W640=1,IF(SUMIFS($L$2:$L$756,$B$2:$B$756,B640,$W$2:$W$756,2)&gt;0,SUMIFS($L$2:$L$756,$B$2:$B$756,B640,$W$2:$W$756,2),""),"")</f>
        <v/>
      </c>
      <c r="AB640" s="54" t="str">
        <f aca="false">IF(AND(W640=1,ISNUMBER(AA640)),L640/(L640+AA640),"")</f>
        <v/>
      </c>
    </row>
    <row r="641" customFormat="false" ht="15" hidden="false" customHeight="true" outlineLevel="0" collapsed="false">
      <c r="A641" s="1" t="s">
        <v>274</v>
      </c>
      <c r="B641" s="46" t="n">
        <v>45954</v>
      </c>
      <c r="C641" s="46" t="n">
        <v>46021</v>
      </c>
      <c r="D641" s="47" t="n">
        <v>26279.8</v>
      </c>
      <c r="E641" s="47" t="n">
        <v>26297.7</v>
      </c>
      <c r="F641" s="47" t="n">
        <v>26054.6</v>
      </c>
      <c r="G641" s="47" t="n">
        <v>26130.2</v>
      </c>
      <c r="H641" s="47" t="n">
        <v>26131.1</v>
      </c>
      <c r="I641" s="47" t="n">
        <v>26130.2</v>
      </c>
      <c r="J641" s="48" t="n">
        <v>4207</v>
      </c>
      <c r="K641" s="47" t="n">
        <v>82556.3</v>
      </c>
      <c r="L641" s="48" t="n">
        <v>737550</v>
      </c>
      <c r="M641" s="48" t="n">
        <v>84000</v>
      </c>
      <c r="N641" s="47" t="n">
        <v>25795.15</v>
      </c>
      <c r="O641" s="47" t="n">
        <f aca="false">IF(AND(ISNUMBER(G641),ISNUMBER(N641)),G641-N641,"")</f>
        <v>335.049999999999</v>
      </c>
      <c r="P641" s="49" t="n">
        <f aca="false">IF(ISNUMBER(O641),O641/N641,"")</f>
        <v>0.0129888758158026</v>
      </c>
      <c r="Q641" s="50" t="n">
        <f aca="false">C641-B641</f>
        <v>67</v>
      </c>
      <c r="R641" s="51" t="n">
        <f aca="false">IF(AND(C641=C640,ISNUMBER(G641),ISNUMBER(G640)),(G641/G640-1)*100,"")</f>
        <v>-0.569258517949145</v>
      </c>
      <c r="S641" s="51" t="n">
        <f aca="false">IF(AND(C641=C640,ISNUMBER(L641),ISNUMBER(L640)),(L641/L640-1)*100,"")</f>
        <v>12.8528804223089</v>
      </c>
      <c r="T641" s="51" t="n">
        <f aca="false">IF(AND(C641=C640,ISNUMBER(G641),ISNUMBER(G640)),G641-G640,"")</f>
        <v>-149.599999999999</v>
      </c>
      <c r="U641" s="1" t="str">
        <f aca="false">IF(OR(NOT(ISNUMBER(R641)),NOT(ISNUMBER(S641))),"Not classified",IF(AND(R641&gt;0,S641&gt;0),"Long buildup (interpretation)",IF(AND(R641&lt;0,S641&gt;0),"Short buildup (interpretation)",IF(AND(R641&gt;0,S641&lt;0),"Short covering (interpretation)",IF(AND(R641&lt;0,S641&lt;0),"Long unwinding (interpretation)","Neutral")))))</f>
        <v>Short buildup (interpretation)</v>
      </c>
      <c r="V641" s="52" t="str">
        <f aca="false">TEXT(B641,"yyyy-mm")</f>
        <v>2025-10</v>
      </c>
      <c r="W641" s="52" t="n">
        <f aca="false">1+COUNTIFS($B$2:$B$756,B641,$C$2:$C$756,"&lt;"&amp;C641)</f>
        <v>3</v>
      </c>
      <c r="X641" s="53" t="n">
        <f aca="false">IF(AND(ISNUMBER(P641),Q641&gt;0),P641*365/Q641,"")</f>
        <v>0.070760293623402</v>
      </c>
      <c r="Y641" s="42" t="n">
        <f aca="false">IF(AND(C642=C641,ISNUMBER(R642)),R642,"")</f>
        <v>0.830839411868256</v>
      </c>
      <c r="Z641" s="52" t="n">
        <f aca="false">IF(AND(W641=1,Q641&gt;Basis_Analysis!$B$3,ISNUMBER(Y641)),1,0)</f>
        <v>0</v>
      </c>
      <c r="AA641" s="43" t="str">
        <f aca="false">IF(W641=1,IF(SUMIFS($L$2:$L$756,$B$2:$B$756,B641,$W$2:$W$756,2)&gt;0,SUMIFS($L$2:$L$756,$B$2:$B$756,B641,$W$2:$W$756,2),""),"")</f>
        <v/>
      </c>
      <c r="AB641" s="54" t="str">
        <f aca="false">IF(AND(W641=1,ISNUMBER(AA641)),L641/(L641+AA641),"")</f>
        <v/>
      </c>
    </row>
    <row r="642" customFormat="false" ht="15" hidden="false" customHeight="true" outlineLevel="0" collapsed="false">
      <c r="A642" s="1" t="s">
        <v>274</v>
      </c>
      <c r="B642" s="46" t="n">
        <v>45957</v>
      </c>
      <c r="C642" s="46" t="n">
        <v>46021</v>
      </c>
      <c r="D642" s="47" t="n">
        <v>26150</v>
      </c>
      <c r="E642" s="47" t="n">
        <v>26373.9</v>
      </c>
      <c r="F642" s="47" t="n">
        <v>26150</v>
      </c>
      <c r="G642" s="47" t="n">
        <v>26347.3</v>
      </c>
      <c r="H642" s="47" t="n">
        <v>26360</v>
      </c>
      <c r="I642" s="47" t="n">
        <v>26347.3</v>
      </c>
      <c r="J642" s="48" t="n">
        <v>5002</v>
      </c>
      <c r="K642" s="47" t="n">
        <v>98739.77</v>
      </c>
      <c r="L642" s="48" t="n">
        <v>815850</v>
      </c>
      <c r="M642" s="48" t="n">
        <v>78300</v>
      </c>
      <c r="N642" s="47" t="n">
        <v>25966.05</v>
      </c>
      <c r="O642" s="47" t="n">
        <f aca="false">IF(AND(ISNUMBER(G642),ISNUMBER(N642)),G642-N642,"")</f>
        <v>381.25</v>
      </c>
      <c r="P642" s="49" t="n">
        <f aca="false">IF(ISNUMBER(O642),O642/N642,"")</f>
        <v>0.0146826336697341</v>
      </c>
      <c r="Q642" s="50" t="n">
        <f aca="false">C642-B642</f>
        <v>64</v>
      </c>
      <c r="R642" s="51" t="n">
        <f aca="false">IF(AND(C642=C641,ISNUMBER(G642),ISNUMBER(G641)),(G642/G641-1)*100,"")</f>
        <v>0.830839411868256</v>
      </c>
      <c r="S642" s="51" t="n">
        <f aca="false">IF(AND(C642=C641,ISNUMBER(L642),ISNUMBER(L641)),(L642/L641-1)*100,"")</f>
        <v>10.6162294081757</v>
      </c>
      <c r="T642" s="51" t="n">
        <f aca="false">IF(AND(C642=C641,ISNUMBER(G642),ISNUMBER(G641)),G642-G641,"")</f>
        <v>217.099999999999</v>
      </c>
      <c r="U642" s="1" t="str">
        <f aca="false">IF(OR(NOT(ISNUMBER(R642)),NOT(ISNUMBER(S642))),"Not classified",IF(AND(R642&gt;0,S642&gt;0),"Long buildup (interpretation)",IF(AND(R642&lt;0,S642&gt;0),"Short buildup (interpretation)",IF(AND(R642&gt;0,S642&lt;0),"Short covering (interpretation)",IF(AND(R642&lt;0,S642&lt;0),"Long unwinding (interpretation)","Neutral")))))</f>
        <v>Long buildup (interpretation)</v>
      </c>
      <c r="V642" s="52" t="str">
        <f aca="false">TEXT(B642,"yyyy-mm")</f>
        <v>2025-10</v>
      </c>
      <c r="W642" s="52" t="n">
        <f aca="false">1+COUNTIFS($B$2:$B$756,B642,$C$2:$C$756,"&lt;"&amp;C642)</f>
        <v>3</v>
      </c>
      <c r="X642" s="53" t="n">
        <f aca="false">IF(AND(ISNUMBER(P642),Q642&gt;0),P642*365/Q642,"")</f>
        <v>0.0837368951477025</v>
      </c>
      <c r="Y642" s="42" t="n">
        <f aca="false">IF(AND(C643=C642,ISNUMBER(R643)),R643,"")</f>
        <v>-0.311606881919579</v>
      </c>
      <c r="Z642" s="52" t="n">
        <f aca="false">IF(AND(W642=1,Q642&gt;Basis_Analysis!$B$3,ISNUMBER(Y642)),1,0)</f>
        <v>0</v>
      </c>
      <c r="AA642" s="43" t="str">
        <f aca="false">IF(W642=1,IF(SUMIFS($L$2:$L$756,$B$2:$B$756,B642,$W$2:$W$756,2)&gt;0,SUMIFS($L$2:$L$756,$B$2:$B$756,B642,$W$2:$W$756,2),""),"")</f>
        <v/>
      </c>
      <c r="AB642" s="54" t="str">
        <f aca="false">IF(AND(W642=1,ISNUMBER(AA642)),L642/(L642+AA642),"")</f>
        <v/>
      </c>
    </row>
    <row r="643" customFormat="false" ht="15" hidden="false" customHeight="true" outlineLevel="0" collapsed="false">
      <c r="A643" s="1" t="s">
        <v>274</v>
      </c>
      <c r="B643" s="46" t="n">
        <v>45958</v>
      </c>
      <c r="C643" s="46" t="n">
        <v>46021</v>
      </c>
      <c r="D643" s="47" t="n">
        <v>26377.5</v>
      </c>
      <c r="E643" s="47" t="n">
        <v>26394.3</v>
      </c>
      <c r="F643" s="47" t="n">
        <v>26185</v>
      </c>
      <c r="G643" s="47" t="n">
        <v>26265.2</v>
      </c>
      <c r="H643" s="47" t="n">
        <v>26272</v>
      </c>
      <c r="I643" s="47" t="n">
        <v>26265.2</v>
      </c>
      <c r="J643" s="48" t="n">
        <v>5913</v>
      </c>
      <c r="K643" s="47" t="n">
        <v>116476.77</v>
      </c>
      <c r="L643" s="48" t="n">
        <v>906900</v>
      </c>
      <c r="M643" s="48" t="n">
        <v>91050</v>
      </c>
      <c r="N643" s="47" t="n">
        <v>25936.2</v>
      </c>
      <c r="O643" s="47" t="n">
        <f aca="false">IF(AND(ISNUMBER(G643),ISNUMBER(N643)),G643-N643,"")</f>
        <v>329</v>
      </c>
      <c r="P643" s="49" t="n">
        <f aca="false">IF(ISNUMBER(O643),O643/N643,"")</f>
        <v>0.0126849731263639</v>
      </c>
      <c r="Q643" s="50" t="n">
        <f aca="false">C643-B643</f>
        <v>63</v>
      </c>
      <c r="R643" s="51" t="n">
        <f aca="false">IF(AND(C643=C642,ISNUMBER(G643),ISNUMBER(G642)),(G643/G642-1)*100,"")</f>
        <v>-0.311606881919579</v>
      </c>
      <c r="S643" s="51" t="n">
        <f aca="false">IF(AND(C643=C642,ISNUMBER(L643),ISNUMBER(L642)),(L643/L642-1)*100,"")</f>
        <v>11.1601397315683</v>
      </c>
      <c r="T643" s="51" t="n">
        <f aca="false">IF(AND(C643=C642,ISNUMBER(G643),ISNUMBER(G642)),G643-G642,"")</f>
        <v>-82.0999999999985</v>
      </c>
      <c r="U643" s="1" t="str">
        <f aca="false">IF(OR(NOT(ISNUMBER(R643)),NOT(ISNUMBER(S643))),"Not classified",IF(AND(R643&gt;0,S643&gt;0),"Long buildup (interpretation)",IF(AND(R643&lt;0,S643&gt;0),"Short buildup (interpretation)",IF(AND(R643&gt;0,S643&lt;0),"Short covering (interpretation)",IF(AND(R643&lt;0,S643&lt;0),"Long unwinding (interpretation)","Neutral")))))</f>
        <v>Short buildup (interpretation)</v>
      </c>
      <c r="V643" s="52" t="str">
        <f aca="false">TEXT(B643,"yyyy-mm")</f>
        <v>2025-10</v>
      </c>
      <c r="W643" s="52" t="n">
        <f aca="false">1+COUNTIFS($B$2:$B$756,B643,$C$2:$C$756,"&lt;"&amp;C643)</f>
        <v>3</v>
      </c>
      <c r="X643" s="53" t="n">
        <f aca="false">IF(AND(ISNUMBER(P643),Q643&gt;0),P643*365/Q643,"")</f>
        <v>0.0734923046209973</v>
      </c>
      <c r="Y643" s="42" t="n">
        <f aca="false">IF(AND(C644=C643,ISNUMBER(R644)),R644,"")</f>
        <v>0.555868601800102</v>
      </c>
      <c r="Z643" s="52" t="n">
        <f aca="false">IF(AND(W643=1,Q643&gt;Basis_Analysis!$B$3,ISNUMBER(Y643)),1,0)</f>
        <v>0</v>
      </c>
      <c r="AA643" s="43" t="str">
        <f aca="false">IF(W643=1,IF(SUMIFS($L$2:$L$756,$B$2:$B$756,B643,$W$2:$W$756,2)&gt;0,SUMIFS($L$2:$L$756,$B$2:$B$756,B643,$W$2:$W$756,2),""),"")</f>
        <v/>
      </c>
      <c r="AB643" s="54" t="str">
        <f aca="false">IF(AND(W643=1,ISNUMBER(AA643)),L643/(L643+AA643),"")</f>
        <v/>
      </c>
    </row>
    <row r="644" customFormat="false" ht="15" hidden="false" customHeight="true" outlineLevel="0" collapsed="false">
      <c r="A644" s="1" t="s">
        <v>274</v>
      </c>
      <c r="B644" s="46" t="n">
        <v>45959</v>
      </c>
      <c r="C644" s="46" t="n">
        <v>46021</v>
      </c>
      <c r="D644" s="47" t="n">
        <v>26322.1</v>
      </c>
      <c r="E644" s="47" t="n">
        <v>26442.4</v>
      </c>
      <c r="F644" s="47" t="n">
        <v>26300.2</v>
      </c>
      <c r="G644" s="47" t="n">
        <v>26411.2</v>
      </c>
      <c r="H644" s="47" t="n">
        <v>26430</v>
      </c>
      <c r="I644" s="47" t="n">
        <v>26411.2</v>
      </c>
      <c r="J644" s="48" t="n">
        <v>5011</v>
      </c>
      <c r="K644" s="47" t="n">
        <v>99186.67</v>
      </c>
      <c r="L644" s="48" t="n">
        <v>928425</v>
      </c>
      <c r="M644" s="48" t="n">
        <v>21525</v>
      </c>
      <c r="N644" s="47" t="n">
        <v>26053.9</v>
      </c>
      <c r="O644" s="47" t="n">
        <f aca="false">IF(AND(ISNUMBER(G644),ISNUMBER(N644)),G644-N644,"")</f>
        <v>357.299999999999</v>
      </c>
      <c r="P644" s="49" t="n">
        <f aca="false">IF(ISNUMBER(O644),O644/N644,"")</f>
        <v>0.0137138777687793</v>
      </c>
      <c r="Q644" s="50" t="n">
        <f aca="false">C644-B644</f>
        <v>62</v>
      </c>
      <c r="R644" s="51" t="n">
        <f aca="false">IF(AND(C644=C643,ISNUMBER(G644),ISNUMBER(G643)),(G644/G643-1)*100,"")</f>
        <v>0.555868601800102</v>
      </c>
      <c r="S644" s="51" t="n">
        <f aca="false">IF(AND(C644=C643,ISNUMBER(L644),ISNUMBER(L643)),(L644/L643-1)*100,"")</f>
        <v>2.37347006285147</v>
      </c>
      <c r="T644" s="51" t="n">
        <f aca="false">IF(AND(C644=C643,ISNUMBER(G644),ISNUMBER(G643)),G644-G643,"")</f>
        <v>146</v>
      </c>
      <c r="U644" s="1" t="str">
        <f aca="false">IF(OR(NOT(ISNUMBER(R644)),NOT(ISNUMBER(S644))),"Not classified",IF(AND(R644&gt;0,S644&gt;0),"Long buildup (interpretation)",IF(AND(R644&lt;0,S644&gt;0),"Short buildup (interpretation)",IF(AND(R644&gt;0,S644&lt;0),"Short covering (interpretation)",IF(AND(R644&lt;0,S644&lt;0),"Long unwinding (interpretation)","Neutral")))))</f>
        <v>Long buildup (interpretation)</v>
      </c>
      <c r="V644" s="52" t="str">
        <f aca="false">TEXT(B644,"yyyy-mm")</f>
        <v>2025-10</v>
      </c>
      <c r="W644" s="52" t="n">
        <f aca="false">1+COUNTIFS($B$2:$B$756,B644,$C$2:$C$756,"&lt;"&amp;C644)</f>
        <v>2</v>
      </c>
      <c r="X644" s="53" t="n">
        <f aca="false">IF(AND(ISNUMBER(P644),Q644&gt;0),P644*365/Q644,"")</f>
        <v>0.0807349255742653</v>
      </c>
      <c r="Y644" s="42" t="n">
        <f aca="false">IF(AND(C645=C644,ISNUMBER(R645)),R645,"")</f>
        <v>-0.731129217907567</v>
      </c>
      <c r="Z644" s="52" t="n">
        <f aca="false">IF(AND(W644=1,Q644&gt;Basis_Analysis!$B$3,ISNUMBER(Y644)),1,0)</f>
        <v>0</v>
      </c>
      <c r="AA644" s="43" t="str">
        <f aca="false">IF(W644=1,IF(SUMIFS($L$2:$L$756,$B$2:$B$756,B644,$W$2:$W$756,2)&gt;0,SUMIFS($L$2:$L$756,$B$2:$B$756,B644,$W$2:$W$756,2),""),"")</f>
        <v/>
      </c>
      <c r="AB644" s="54" t="str">
        <f aca="false">IF(AND(W644=1,ISNUMBER(AA644)),L644/(L644+AA644),"")</f>
        <v/>
      </c>
    </row>
    <row r="645" customFormat="false" ht="15" hidden="false" customHeight="true" outlineLevel="0" collapsed="false">
      <c r="A645" s="1" t="s">
        <v>274</v>
      </c>
      <c r="B645" s="46" t="n">
        <v>45960</v>
      </c>
      <c r="C645" s="46" t="n">
        <v>46021</v>
      </c>
      <c r="D645" s="47" t="n">
        <v>26371</v>
      </c>
      <c r="E645" s="47" t="n">
        <v>26371.1</v>
      </c>
      <c r="F645" s="47" t="n">
        <v>26192.6</v>
      </c>
      <c r="G645" s="47" t="n">
        <v>26218.1</v>
      </c>
      <c r="H645" s="47" t="n">
        <v>26216.7</v>
      </c>
      <c r="I645" s="47" t="n">
        <v>26218.1</v>
      </c>
      <c r="J645" s="48" t="n">
        <v>4560</v>
      </c>
      <c r="K645" s="47" t="n">
        <v>89785.36</v>
      </c>
      <c r="L645" s="48" t="n">
        <v>1019775</v>
      </c>
      <c r="M645" s="48" t="n">
        <v>91350</v>
      </c>
      <c r="N645" s="47" t="n">
        <v>25877.85</v>
      </c>
      <c r="O645" s="47" t="n">
        <f aca="false">IF(AND(ISNUMBER(G645),ISNUMBER(N645)),G645-N645,"")</f>
        <v>340.25</v>
      </c>
      <c r="P645" s="49" t="n">
        <f aca="false">IF(ISNUMBER(O645),O645/N645,"")</f>
        <v>0.0131483102344283</v>
      </c>
      <c r="Q645" s="50" t="n">
        <f aca="false">C645-B645</f>
        <v>61</v>
      </c>
      <c r="R645" s="51" t="n">
        <f aca="false">IF(AND(C645=C644,ISNUMBER(G645),ISNUMBER(G644)),(G645/G644-1)*100,"")</f>
        <v>-0.731129217907567</v>
      </c>
      <c r="S645" s="51" t="n">
        <f aca="false">IF(AND(C645=C644,ISNUMBER(L645),ISNUMBER(L644)),(L645/L644-1)*100,"")</f>
        <v>9.8392438807658</v>
      </c>
      <c r="T645" s="51" t="n">
        <f aca="false">IF(AND(C645=C644,ISNUMBER(G645),ISNUMBER(G644)),G645-G644,"")</f>
        <v>-193.100000000002</v>
      </c>
      <c r="U645" s="1" t="str">
        <f aca="false">IF(OR(NOT(ISNUMBER(R645)),NOT(ISNUMBER(S645))),"Not classified",IF(AND(R645&gt;0,S645&gt;0),"Long buildup (interpretation)",IF(AND(R645&lt;0,S645&gt;0),"Short buildup (interpretation)",IF(AND(R645&gt;0,S645&lt;0),"Short covering (interpretation)",IF(AND(R645&lt;0,S645&lt;0),"Long unwinding (interpretation)","Neutral")))))</f>
        <v>Short buildup (interpretation)</v>
      </c>
      <c r="V645" s="52" t="str">
        <f aca="false">TEXT(B645,"yyyy-mm")</f>
        <v>2025-10</v>
      </c>
      <c r="W645" s="52" t="n">
        <f aca="false">1+COUNTIFS($B$2:$B$756,B645,$C$2:$C$756,"&lt;"&amp;C645)</f>
        <v>2</v>
      </c>
      <c r="X645" s="53" t="n">
        <f aca="false">IF(AND(ISNUMBER(P645),Q645&gt;0),P645*365/Q645,"")</f>
        <v>0.0786743153371529</v>
      </c>
      <c r="Y645" s="42" t="n">
        <f aca="false">IF(AND(C646=C645,ISNUMBER(R646)),R646,"")</f>
        <v>-0.49431499612862</v>
      </c>
      <c r="Z645" s="52" t="n">
        <f aca="false">IF(AND(W645=1,Q645&gt;Basis_Analysis!$B$3,ISNUMBER(Y645)),1,0)</f>
        <v>0</v>
      </c>
      <c r="AA645" s="43" t="str">
        <f aca="false">IF(W645=1,IF(SUMIFS($L$2:$L$756,$B$2:$B$756,B645,$W$2:$W$756,2)&gt;0,SUMIFS($L$2:$L$756,$B$2:$B$756,B645,$W$2:$W$756,2),""),"")</f>
        <v/>
      </c>
      <c r="AB645" s="54" t="str">
        <f aca="false">IF(AND(W645=1,ISNUMBER(AA645)),L645/(L645+AA645),"")</f>
        <v/>
      </c>
    </row>
    <row r="646" customFormat="false" ht="15" hidden="false" customHeight="true" outlineLevel="0" collapsed="false">
      <c r="A646" s="1" t="s">
        <v>274</v>
      </c>
      <c r="B646" s="46" t="n">
        <v>45961</v>
      </c>
      <c r="C646" s="46" t="n">
        <v>46021</v>
      </c>
      <c r="D646" s="47" t="n">
        <v>26203.7</v>
      </c>
      <c r="E646" s="47" t="n">
        <v>26290</v>
      </c>
      <c r="F646" s="47" t="n">
        <v>26077</v>
      </c>
      <c r="G646" s="47" t="n">
        <v>26088.5</v>
      </c>
      <c r="H646" s="47" t="n">
        <v>26095</v>
      </c>
      <c r="I646" s="47" t="n">
        <v>26088.5</v>
      </c>
      <c r="J646" s="48" t="n">
        <v>5829</v>
      </c>
      <c r="K646" s="47" t="n">
        <v>114305.22</v>
      </c>
      <c r="L646" s="48" t="n">
        <v>1109400</v>
      </c>
      <c r="M646" s="48" t="n">
        <v>89625</v>
      </c>
      <c r="N646" s="47" t="n">
        <v>25722.1</v>
      </c>
      <c r="O646" s="47" t="n">
        <f aca="false">IF(AND(ISNUMBER(G646),ISNUMBER(N646)),G646-N646,"")</f>
        <v>366.400000000001</v>
      </c>
      <c r="P646" s="49" t="n">
        <f aca="false">IF(ISNUMBER(O646),O646/N646,"")</f>
        <v>0.0142445601253397</v>
      </c>
      <c r="Q646" s="50" t="n">
        <f aca="false">C646-B646</f>
        <v>60</v>
      </c>
      <c r="R646" s="51" t="n">
        <f aca="false">IF(AND(C646=C645,ISNUMBER(G646),ISNUMBER(G645)),(G646/G645-1)*100,"")</f>
        <v>-0.49431499612862</v>
      </c>
      <c r="S646" s="51" t="n">
        <f aca="false">IF(AND(C646=C645,ISNUMBER(L646),ISNUMBER(L645)),(L646/L645-1)*100,"")</f>
        <v>8.78870339045377</v>
      </c>
      <c r="T646" s="51" t="n">
        <f aca="false">IF(AND(C646=C645,ISNUMBER(G646),ISNUMBER(G645)),G646-G645,"")</f>
        <v>-129.599999999999</v>
      </c>
      <c r="U646" s="1" t="str">
        <f aca="false">IF(OR(NOT(ISNUMBER(R646)),NOT(ISNUMBER(S646))),"Not classified",IF(AND(R646&gt;0,S646&gt;0),"Long buildup (interpretation)",IF(AND(R646&lt;0,S646&gt;0),"Short buildup (interpretation)",IF(AND(R646&gt;0,S646&lt;0),"Short covering (interpretation)",IF(AND(R646&lt;0,S646&lt;0),"Long unwinding (interpretation)","Neutral")))))</f>
        <v>Short buildup (interpretation)</v>
      </c>
      <c r="V646" s="52" t="str">
        <f aca="false">TEXT(B646,"yyyy-mm")</f>
        <v>2025-10</v>
      </c>
      <c r="W646" s="52" t="n">
        <f aca="false">1+COUNTIFS($B$2:$B$756,B646,$C$2:$C$756,"&lt;"&amp;C646)</f>
        <v>2</v>
      </c>
      <c r="X646" s="53" t="n">
        <f aca="false">IF(AND(ISNUMBER(P646),Q646&gt;0),P646*365/Q646,"")</f>
        <v>0.0866544074291501</v>
      </c>
      <c r="Y646" s="42" t="n">
        <f aca="false">IF(AND(C647=C646,ISNUMBER(R647)),R647,"")</f>
        <v>-0.01264925158595</v>
      </c>
      <c r="Z646" s="52" t="n">
        <f aca="false">IF(AND(W646=1,Q646&gt;Basis_Analysis!$B$3,ISNUMBER(Y646)),1,0)</f>
        <v>0</v>
      </c>
      <c r="AA646" s="43" t="str">
        <f aca="false">IF(W646=1,IF(SUMIFS($L$2:$L$756,$B$2:$B$756,B646,$W$2:$W$756,2)&gt;0,SUMIFS($L$2:$L$756,$B$2:$B$756,B646,$W$2:$W$756,2),""),"")</f>
        <v/>
      </c>
      <c r="AB646" s="54" t="str">
        <f aca="false">IF(AND(W646=1,ISNUMBER(AA646)),L646/(L646+AA646),"")</f>
        <v/>
      </c>
    </row>
    <row r="647" customFormat="false" ht="15" hidden="false" customHeight="true" outlineLevel="0" collapsed="false">
      <c r="A647" s="1" t="s">
        <v>274</v>
      </c>
      <c r="B647" s="46" t="n">
        <v>45964</v>
      </c>
      <c r="C647" s="46" t="n">
        <v>46021</v>
      </c>
      <c r="D647" s="47" t="n">
        <v>26060</v>
      </c>
      <c r="E647" s="47" t="n">
        <v>26121</v>
      </c>
      <c r="F647" s="47" t="n">
        <v>25985.7</v>
      </c>
      <c r="G647" s="47" t="n">
        <v>26085.2</v>
      </c>
      <c r="H647" s="47" t="n">
        <v>26087.7</v>
      </c>
      <c r="I647" s="47" t="n">
        <v>26085.2</v>
      </c>
      <c r="J647" s="48" t="n">
        <v>3102</v>
      </c>
      <c r="K647" s="47" t="n">
        <v>60616.14</v>
      </c>
      <c r="L647" s="48" t="n">
        <v>1133625</v>
      </c>
      <c r="M647" s="48" t="n">
        <v>24225</v>
      </c>
      <c r="N647" s="47" t="n">
        <v>25763.35</v>
      </c>
      <c r="O647" s="47" t="n">
        <f aca="false">IF(AND(ISNUMBER(G647),ISNUMBER(N647)),G647-N647,"")</f>
        <v>321.850000000002</v>
      </c>
      <c r="P647" s="49" t="n">
        <f aca="false">IF(ISNUMBER(O647),O647/N647,"")</f>
        <v>0.0124925524048698</v>
      </c>
      <c r="Q647" s="50" t="n">
        <f aca="false">C647-B647</f>
        <v>57</v>
      </c>
      <c r="R647" s="51" t="n">
        <f aca="false">IF(AND(C647=C646,ISNUMBER(G647),ISNUMBER(G646)),(G647/G646-1)*100,"")</f>
        <v>-0.01264925158595</v>
      </c>
      <c r="S647" s="51" t="n">
        <f aca="false">IF(AND(C647=C646,ISNUMBER(L647),ISNUMBER(L646)),(L647/L646-1)*100,"")</f>
        <v>2.18361276365604</v>
      </c>
      <c r="T647" s="51" t="n">
        <f aca="false">IF(AND(C647=C646,ISNUMBER(G647),ISNUMBER(G646)),G647-G646,"")</f>
        <v>-3.29999999999927</v>
      </c>
      <c r="U647" s="1" t="str">
        <f aca="false">IF(OR(NOT(ISNUMBER(R647)),NOT(ISNUMBER(S647))),"Not classified",IF(AND(R647&gt;0,S647&gt;0),"Long buildup (interpretation)",IF(AND(R647&lt;0,S647&gt;0),"Short buildup (interpretation)",IF(AND(R647&gt;0,S647&lt;0),"Short covering (interpretation)",IF(AND(R647&lt;0,S647&lt;0),"Long unwinding (interpretation)","Neutral")))))</f>
        <v>Short buildup (interpretation)</v>
      </c>
      <c r="V647" s="52" t="str">
        <f aca="false">TEXT(B647,"yyyy-mm")</f>
        <v>2025-11</v>
      </c>
      <c r="W647" s="52" t="n">
        <f aca="false">1+COUNTIFS($B$2:$B$756,B647,$C$2:$C$756,"&lt;"&amp;C647)</f>
        <v>2</v>
      </c>
      <c r="X647" s="53" t="n">
        <f aca="false">IF(AND(ISNUMBER(P647),Q647&gt;0),P647*365/Q647,"")</f>
        <v>0.0799961689083768</v>
      </c>
      <c r="Y647" s="42" t="n">
        <f aca="false">IF(AND(C648=C647,ISNUMBER(R648)),R648,"")</f>
        <v>-0.718031680799836</v>
      </c>
      <c r="Z647" s="52" t="n">
        <f aca="false">IF(AND(W647=1,Q647&gt;Basis_Analysis!$B$3,ISNUMBER(Y647)),1,0)</f>
        <v>0</v>
      </c>
      <c r="AA647" s="43" t="str">
        <f aca="false">IF(W647=1,IF(SUMIFS($L$2:$L$756,$B$2:$B$756,B647,$W$2:$W$756,2)&gt;0,SUMIFS($L$2:$L$756,$B$2:$B$756,B647,$W$2:$W$756,2),""),"")</f>
        <v/>
      </c>
      <c r="AB647" s="54" t="str">
        <f aca="false">IF(AND(W647=1,ISNUMBER(AA647)),L647/(L647+AA647),"")</f>
        <v/>
      </c>
    </row>
    <row r="648" customFormat="false" ht="15" hidden="false" customHeight="true" outlineLevel="0" collapsed="false">
      <c r="A648" s="1" t="s">
        <v>274</v>
      </c>
      <c r="B648" s="46" t="n">
        <v>45965</v>
      </c>
      <c r="C648" s="46" t="n">
        <v>46021</v>
      </c>
      <c r="D648" s="47" t="n">
        <v>26062.8</v>
      </c>
      <c r="E648" s="47" t="n">
        <v>26090</v>
      </c>
      <c r="F648" s="47" t="n">
        <v>25882</v>
      </c>
      <c r="G648" s="47" t="n">
        <v>25897.9</v>
      </c>
      <c r="H648" s="47" t="n">
        <v>25885.1</v>
      </c>
      <c r="I648" s="47" t="n">
        <v>25897.9</v>
      </c>
      <c r="J648" s="48" t="n">
        <v>4626</v>
      </c>
      <c r="K648" s="47" t="n">
        <v>90082.87</v>
      </c>
      <c r="L648" s="48" t="n">
        <v>1209675</v>
      </c>
      <c r="M648" s="48" t="n">
        <v>76050</v>
      </c>
      <c r="N648" s="47" t="n">
        <v>25597.65</v>
      </c>
      <c r="O648" s="47" t="n">
        <f aca="false">IF(AND(ISNUMBER(G648),ISNUMBER(N648)),G648-N648,"")</f>
        <v>300.25</v>
      </c>
      <c r="P648" s="49" t="n">
        <f aca="false">IF(ISNUMBER(O648),O648/N648,"")</f>
        <v>0.0117295923649241</v>
      </c>
      <c r="Q648" s="50" t="n">
        <f aca="false">C648-B648</f>
        <v>56</v>
      </c>
      <c r="R648" s="51" t="n">
        <f aca="false">IF(AND(C648=C647,ISNUMBER(G648),ISNUMBER(G647)),(G648/G647-1)*100,"")</f>
        <v>-0.718031680799836</v>
      </c>
      <c r="S648" s="51" t="n">
        <f aca="false">IF(AND(C648=C647,ISNUMBER(L648),ISNUMBER(L647)),(L648/L647-1)*100,"")</f>
        <v>6.70856764803176</v>
      </c>
      <c r="T648" s="51" t="n">
        <f aca="false">IF(AND(C648=C647,ISNUMBER(G648),ISNUMBER(G647)),G648-G647,"")</f>
        <v>-187.299999999999</v>
      </c>
      <c r="U648" s="1" t="str">
        <f aca="false">IF(OR(NOT(ISNUMBER(R648)),NOT(ISNUMBER(S648))),"Not classified",IF(AND(R648&gt;0,S648&gt;0),"Long buildup (interpretation)",IF(AND(R648&lt;0,S648&gt;0),"Short buildup (interpretation)",IF(AND(R648&gt;0,S648&lt;0),"Short covering (interpretation)",IF(AND(R648&lt;0,S648&lt;0),"Long unwinding (interpretation)","Neutral")))))</f>
        <v>Short buildup (interpretation)</v>
      </c>
      <c r="V648" s="52" t="str">
        <f aca="false">TEXT(B648,"yyyy-mm")</f>
        <v>2025-11</v>
      </c>
      <c r="W648" s="52" t="n">
        <f aca="false">1+COUNTIFS($B$2:$B$756,B648,$C$2:$C$756,"&lt;"&amp;C648)</f>
        <v>2</v>
      </c>
      <c r="X648" s="53" t="n">
        <f aca="false">IF(AND(ISNUMBER(P648),Q648&gt;0),P648*365/Q648,"")</f>
        <v>0.0764518073785233</v>
      </c>
      <c r="Y648" s="42" t="n">
        <f aca="false">IF(AND(C649=C648,ISNUMBER(R649)),R649,"")</f>
        <v>-0.350607578220641</v>
      </c>
      <c r="Z648" s="52" t="n">
        <f aca="false">IF(AND(W648=1,Q648&gt;Basis_Analysis!$B$3,ISNUMBER(Y648)),1,0)</f>
        <v>0</v>
      </c>
      <c r="AA648" s="43" t="str">
        <f aca="false">IF(W648=1,IF(SUMIFS($L$2:$L$756,$B$2:$B$756,B648,$W$2:$W$756,2)&gt;0,SUMIFS($L$2:$L$756,$B$2:$B$756,B648,$W$2:$W$756,2),""),"")</f>
        <v/>
      </c>
      <c r="AB648" s="54" t="str">
        <f aca="false">IF(AND(W648=1,ISNUMBER(AA648)),L648/(L648+AA648),"")</f>
        <v/>
      </c>
    </row>
    <row r="649" customFormat="false" ht="15" hidden="false" customHeight="true" outlineLevel="0" collapsed="false">
      <c r="A649" s="1" t="s">
        <v>274</v>
      </c>
      <c r="B649" s="46" t="n">
        <v>45967</v>
      </c>
      <c r="C649" s="46" t="n">
        <v>46021</v>
      </c>
      <c r="D649" s="47" t="n">
        <v>25890</v>
      </c>
      <c r="E649" s="47" t="n">
        <v>25987.5</v>
      </c>
      <c r="F649" s="47" t="n">
        <v>25790</v>
      </c>
      <c r="G649" s="47" t="n">
        <v>25807.1</v>
      </c>
      <c r="H649" s="47" t="n">
        <v>25820.3</v>
      </c>
      <c r="I649" s="47" t="n">
        <v>25807.1</v>
      </c>
      <c r="J649" s="48" t="n">
        <v>5211</v>
      </c>
      <c r="K649" s="47" t="n">
        <v>101081.82</v>
      </c>
      <c r="L649" s="48" t="n">
        <v>1233675</v>
      </c>
      <c r="M649" s="48" t="n">
        <v>24000</v>
      </c>
      <c r="N649" s="47" t="n">
        <v>25509.7</v>
      </c>
      <c r="O649" s="47" t="n">
        <f aca="false">IF(AND(ISNUMBER(G649),ISNUMBER(N649)),G649-N649,"")</f>
        <v>297.399999999998</v>
      </c>
      <c r="P649" s="49" t="n">
        <f aca="false">IF(ISNUMBER(O649),O649/N649,"")</f>
        <v>0.0116583103682128</v>
      </c>
      <c r="Q649" s="50" t="n">
        <f aca="false">C649-B649</f>
        <v>54</v>
      </c>
      <c r="R649" s="51" t="n">
        <f aca="false">IF(AND(C649=C648,ISNUMBER(G649),ISNUMBER(G648)),(G649/G648-1)*100,"")</f>
        <v>-0.350607578220641</v>
      </c>
      <c r="S649" s="51" t="n">
        <f aca="false">IF(AND(C649=C648,ISNUMBER(L649),ISNUMBER(L648)),(L649/L648-1)*100,"")</f>
        <v>1.98400396800793</v>
      </c>
      <c r="T649" s="51" t="n">
        <f aca="false">IF(AND(C649=C648,ISNUMBER(G649),ISNUMBER(G648)),G649-G648,"")</f>
        <v>-90.8000000000029</v>
      </c>
      <c r="U649" s="1" t="str">
        <f aca="false">IF(OR(NOT(ISNUMBER(R649)),NOT(ISNUMBER(S649))),"Not classified",IF(AND(R649&gt;0,S649&gt;0),"Long buildup (interpretation)",IF(AND(R649&lt;0,S649&gt;0),"Short buildup (interpretation)",IF(AND(R649&gt;0,S649&lt;0),"Short covering (interpretation)",IF(AND(R649&lt;0,S649&lt;0),"Long unwinding (interpretation)","Neutral")))))</f>
        <v>Short buildup (interpretation)</v>
      </c>
      <c r="V649" s="52" t="str">
        <f aca="false">TEXT(B649,"yyyy-mm")</f>
        <v>2025-11</v>
      </c>
      <c r="W649" s="52" t="n">
        <f aca="false">1+COUNTIFS($B$2:$B$756,B649,$C$2:$C$756,"&lt;"&amp;C649)</f>
        <v>2</v>
      </c>
      <c r="X649" s="53" t="n">
        <f aca="false">IF(AND(ISNUMBER(P649),Q649&gt;0),P649*365/Q649,"")</f>
        <v>0.0788015423036605</v>
      </c>
      <c r="Y649" s="42" t="n">
        <f aca="false">IF(AND(C650=C649,ISNUMBER(R650)),R650,"")</f>
        <v>-0.104234881098608</v>
      </c>
      <c r="Z649" s="52" t="n">
        <f aca="false">IF(AND(W649=1,Q649&gt;Basis_Analysis!$B$3,ISNUMBER(Y649)),1,0)</f>
        <v>0</v>
      </c>
      <c r="AA649" s="43" t="str">
        <f aca="false">IF(W649=1,IF(SUMIFS($L$2:$L$756,$B$2:$B$756,B649,$W$2:$W$756,2)&gt;0,SUMIFS($L$2:$L$756,$B$2:$B$756,B649,$W$2:$W$756,2),""),"")</f>
        <v/>
      </c>
      <c r="AB649" s="54" t="str">
        <f aca="false">IF(AND(W649=1,ISNUMBER(AA649)),L649/(L649+AA649),"")</f>
        <v/>
      </c>
    </row>
    <row r="650" customFormat="false" ht="15" hidden="false" customHeight="true" outlineLevel="0" collapsed="false">
      <c r="A650" s="1" t="s">
        <v>274</v>
      </c>
      <c r="B650" s="46" t="n">
        <v>45968</v>
      </c>
      <c r="C650" s="46" t="n">
        <v>46021</v>
      </c>
      <c r="D650" s="47" t="n">
        <v>25734.1</v>
      </c>
      <c r="E650" s="47" t="n">
        <v>25840</v>
      </c>
      <c r="F650" s="47" t="n">
        <v>25614</v>
      </c>
      <c r="G650" s="47" t="n">
        <v>25780.2</v>
      </c>
      <c r="H650" s="47" t="n">
        <v>25800</v>
      </c>
      <c r="I650" s="47" t="n">
        <v>25780.2</v>
      </c>
      <c r="J650" s="48" t="n">
        <v>7989</v>
      </c>
      <c r="K650" s="47" t="n">
        <v>154035.17</v>
      </c>
      <c r="L650" s="48" t="n">
        <v>1364700</v>
      </c>
      <c r="M650" s="48" t="n">
        <v>131025</v>
      </c>
      <c r="N650" s="47" t="n">
        <v>25492.3</v>
      </c>
      <c r="O650" s="47" t="n">
        <f aca="false">IF(AND(ISNUMBER(G650),ISNUMBER(N650)),G650-N650,"")</f>
        <v>287.900000000001</v>
      </c>
      <c r="P650" s="49" t="n">
        <f aca="false">IF(ISNUMBER(O650),O650/N650,"")</f>
        <v>0.0112936063046489</v>
      </c>
      <c r="Q650" s="50" t="n">
        <f aca="false">C650-B650</f>
        <v>53</v>
      </c>
      <c r="R650" s="51" t="n">
        <f aca="false">IF(AND(C650=C649,ISNUMBER(G650),ISNUMBER(G649)),(G650/G649-1)*100,"")</f>
        <v>-0.104234881098608</v>
      </c>
      <c r="S650" s="51" t="n">
        <f aca="false">IF(AND(C650=C649,ISNUMBER(L650),ISNUMBER(L649)),(L650/L649-1)*100,"")</f>
        <v>10.6207064259225</v>
      </c>
      <c r="T650" s="51" t="n">
        <f aca="false">IF(AND(C650=C649,ISNUMBER(G650),ISNUMBER(G649)),G650-G649,"")</f>
        <v>-26.8999999999978</v>
      </c>
      <c r="U650" s="1" t="str">
        <f aca="false">IF(OR(NOT(ISNUMBER(R650)),NOT(ISNUMBER(S650))),"Not classified",IF(AND(R650&gt;0,S650&gt;0),"Long buildup (interpretation)",IF(AND(R650&lt;0,S650&gt;0),"Short buildup (interpretation)",IF(AND(R650&gt;0,S650&lt;0),"Short covering (interpretation)",IF(AND(R650&lt;0,S650&lt;0),"Long unwinding (interpretation)","Neutral")))))</f>
        <v>Short buildup (interpretation)</v>
      </c>
      <c r="V650" s="52" t="str">
        <f aca="false">TEXT(B650,"yyyy-mm")</f>
        <v>2025-11</v>
      </c>
      <c r="W650" s="52" t="n">
        <f aca="false">1+COUNTIFS($B$2:$B$756,B650,$C$2:$C$756,"&lt;"&amp;C650)</f>
        <v>2</v>
      </c>
      <c r="X650" s="53" t="n">
        <f aca="false">IF(AND(ISNUMBER(P650),Q650&gt;0),P650*365/Q650,"")</f>
        <v>0.0777767226640916</v>
      </c>
      <c r="Y650" s="42" t="n">
        <f aca="false">IF(AND(C651=C650,ISNUMBER(R651)),R651,"")</f>
        <v>0.398367739583083</v>
      </c>
      <c r="Z650" s="52" t="n">
        <f aca="false">IF(AND(W650=1,Q650&gt;Basis_Analysis!$B$3,ISNUMBER(Y650)),1,0)</f>
        <v>0</v>
      </c>
      <c r="AA650" s="43" t="str">
        <f aca="false">IF(W650=1,IF(SUMIFS($L$2:$L$756,$B$2:$B$756,B650,$W$2:$W$756,2)&gt;0,SUMIFS($L$2:$L$756,$B$2:$B$756,B650,$W$2:$W$756,2),""),"")</f>
        <v/>
      </c>
      <c r="AB650" s="54" t="str">
        <f aca="false">IF(AND(W650=1,ISNUMBER(AA650)),L650/(L650+AA650),"")</f>
        <v/>
      </c>
    </row>
    <row r="651" customFormat="false" ht="15" hidden="false" customHeight="true" outlineLevel="0" collapsed="false">
      <c r="A651" s="1" t="s">
        <v>274</v>
      </c>
      <c r="B651" s="46" t="n">
        <v>45971</v>
      </c>
      <c r="C651" s="46" t="n">
        <v>46021</v>
      </c>
      <c r="D651" s="47" t="n">
        <v>25806.3</v>
      </c>
      <c r="E651" s="47" t="n">
        <v>25927</v>
      </c>
      <c r="F651" s="47" t="n">
        <v>25806.3</v>
      </c>
      <c r="G651" s="47" t="n">
        <v>25882.9</v>
      </c>
      <c r="H651" s="47" t="n">
        <v>25885</v>
      </c>
      <c r="I651" s="47" t="n">
        <v>25882.9</v>
      </c>
      <c r="J651" s="48" t="n">
        <v>3359</v>
      </c>
      <c r="K651" s="47" t="n">
        <v>65196.21</v>
      </c>
      <c r="L651" s="48" t="n">
        <v>1373250</v>
      </c>
      <c r="M651" s="48" t="n">
        <v>8550</v>
      </c>
      <c r="N651" s="47" t="n">
        <v>25574.35</v>
      </c>
      <c r="O651" s="47" t="n">
        <f aca="false">IF(AND(ISNUMBER(G651),ISNUMBER(N651)),G651-N651,"")</f>
        <v>308.550000000003</v>
      </c>
      <c r="P651" s="49" t="n">
        <f aca="false">IF(ISNUMBER(O651),O651/N651,"")</f>
        <v>0.0120648227618689</v>
      </c>
      <c r="Q651" s="50" t="n">
        <f aca="false">C651-B651</f>
        <v>50</v>
      </c>
      <c r="R651" s="51" t="n">
        <f aca="false">IF(AND(C651=C650,ISNUMBER(G651),ISNUMBER(G650)),(G651/G650-1)*100,"")</f>
        <v>0.398367739583083</v>
      </c>
      <c r="S651" s="51" t="n">
        <f aca="false">IF(AND(C651=C650,ISNUMBER(L651),ISNUMBER(L650)),(L651/L650-1)*100,"")</f>
        <v>0.626511321169487</v>
      </c>
      <c r="T651" s="51" t="n">
        <f aca="false">IF(AND(C651=C650,ISNUMBER(G651),ISNUMBER(G650)),G651-G650,"")</f>
        <v>102.700000000001</v>
      </c>
      <c r="U651" s="1" t="str">
        <f aca="false">IF(OR(NOT(ISNUMBER(R651)),NOT(ISNUMBER(S651))),"Not classified",IF(AND(R651&gt;0,S651&gt;0),"Long buildup (interpretation)",IF(AND(R651&lt;0,S651&gt;0),"Short buildup (interpretation)",IF(AND(R651&gt;0,S651&lt;0),"Short covering (interpretation)",IF(AND(R651&lt;0,S651&lt;0),"Long unwinding (interpretation)","Neutral")))))</f>
        <v>Long buildup (interpretation)</v>
      </c>
      <c r="V651" s="52" t="str">
        <f aca="false">TEXT(B651,"yyyy-mm")</f>
        <v>2025-11</v>
      </c>
      <c r="W651" s="52" t="n">
        <f aca="false">1+COUNTIFS($B$2:$B$756,B651,$C$2:$C$756,"&lt;"&amp;C651)</f>
        <v>2</v>
      </c>
      <c r="X651" s="53" t="n">
        <f aca="false">IF(AND(ISNUMBER(P651),Q651&gt;0),P651*365/Q651,"")</f>
        <v>0.0880732061616433</v>
      </c>
      <c r="Y651" s="42" t="n">
        <f aca="false">IF(AND(C652=C651,ISNUMBER(R652)),R652,"")</f>
        <v>0.430013638348092</v>
      </c>
      <c r="Z651" s="52" t="n">
        <f aca="false">IF(AND(W651=1,Q651&gt;Basis_Analysis!$B$3,ISNUMBER(Y651)),1,0)</f>
        <v>0</v>
      </c>
      <c r="AA651" s="43" t="str">
        <f aca="false">IF(W651=1,IF(SUMIFS($L$2:$L$756,$B$2:$B$756,B651,$W$2:$W$756,2)&gt;0,SUMIFS($L$2:$L$756,$B$2:$B$756,B651,$W$2:$W$756,2),""),"")</f>
        <v/>
      </c>
      <c r="AB651" s="54" t="str">
        <f aca="false">IF(AND(W651=1,ISNUMBER(AA651)),L651/(L651+AA651),"")</f>
        <v/>
      </c>
    </row>
    <row r="652" customFormat="false" ht="15" hidden="false" customHeight="true" outlineLevel="0" collapsed="false">
      <c r="A652" s="1" t="s">
        <v>274</v>
      </c>
      <c r="B652" s="46" t="n">
        <v>45972</v>
      </c>
      <c r="C652" s="46" t="n">
        <v>46021</v>
      </c>
      <c r="D652" s="47" t="n">
        <v>25870</v>
      </c>
      <c r="E652" s="47" t="n">
        <v>26015</v>
      </c>
      <c r="F652" s="47" t="n">
        <v>25743.7</v>
      </c>
      <c r="G652" s="47" t="n">
        <v>25994.2</v>
      </c>
      <c r="H652" s="47" t="n">
        <v>26015</v>
      </c>
      <c r="I652" s="47" t="n">
        <v>25994.2</v>
      </c>
      <c r="J652" s="48" t="n">
        <v>7083</v>
      </c>
      <c r="K652" s="47" t="n">
        <v>137384.92</v>
      </c>
      <c r="L652" s="48" t="n">
        <v>1410375</v>
      </c>
      <c r="M652" s="48" t="n">
        <v>37125</v>
      </c>
      <c r="N652" s="47" t="n">
        <v>25694.95</v>
      </c>
      <c r="O652" s="47" t="n">
        <f aca="false">IF(AND(ISNUMBER(G652),ISNUMBER(N652)),G652-N652,"")</f>
        <v>299.25</v>
      </c>
      <c r="P652" s="49" t="n">
        <f aca="false">IF(ISNUMBER(O652),O652/N652,"")</f>
        <v>0.0116462573385043</v>
      </c>
      <c r="Q652" s="50" t="n">
        <f aca="false">C652-B652</f>
        <v>49</v>
      </c>
      <c r="R652" s="51" t="n">
        <f aca="false">IF(AND(C652=C651,ISNUMBER(G652),ISNUMBER(G651)),(G652/G651-1)*100,"")</f>
        <v>0.430013638348092</v>
      </c>
      <c r="S652" s="51" t="n">
        <f aca="false">IF(AND(C652=C651,ISNUMBER(L652),ISNUMBER(L651)),(L652/L651-1)*100,"")</f>
        <v>2.70344074276352</v>
      </c>
      <c r="T652" s="51" t="n">
        <f aca="false">IF(AND(C652=C651,ISNUMBER(G652),ISNUMBER(G651)),G652-G651,"")</f>
        <v>111.299999999999</v>
      </c>
      <c r="U652" s="1" t="str">
        <f aca="false">IF(OR(NOT(ISNUMBER(R652)),NOT(ISNUMBER(S652))),"Not classified",IF(AND(R652&gt;0,S652&gt;0),"Long buildup (interpretation)",IF(AND(R652&lt;0,S652&gt;0),"Short buildup (interpretation)",IF(AND(R652&gt;0,S652&lt;0),"Short covering (interpretation)",IF(AND(R652&lt;0,S652&lt;0),"Long unwinding (interpretation)","Neutral")))))</f>
        <v>Long buildup (interpretation)</v>
      </c>
      <c r="V652" s="52" t="str">
        <f aca="false">TEXT(B652,"yyyy-mm")</f>
        <v>2025-11</v>
      </c>
      <c r="W652" s="52" t="n">
        <f aca="false">1+COUNTIFS($B$2:$B$756,B652,$C$2:$C$756,"&lt;"&amp;C652)</f>
        <v>2</v>
      </c>
      <c r="X652" s="53" t="n">
        <f aca="false">IF(AND(ISNUMBER(P652),Q652&gt;0),P652*365/Q652,"")</f>
        <v>0.086752733235797</v>
      </c>
      <c r="Y652" s="42" t="n">
        <f aca="false">IF(AND(C653=C652,ISNUMBER(R653)),R653,"")</f>
        <v>0.653222641973983</v>
      </c>
      <c r="Z652" s="52" t="n">
        <f aca="false">IF(AND(W652=1,Q652&gt;Basis_Analysis!$B$3,ISNUMBER(Y652)),1,0)</f>
        <v>0</v>
      </c>
      <c r="AA652" s="43" t="str">
        <f aca="false">IF(W652=1,IF(SUMIFS($L$2:$L$756,$B$2:$B$756,B652,$W$2:$W$756,2)&gt;0,SUMIFS($L$2:$L$756,$B$2:$B$756,B652,$W$2:$W$756,2),""),"")</f>
        <v/>
      </c>
      <c r="AB652" s="54" t="str">
        <f aca="false">IF(AND(W652=1,ISNUMBER(AA652)),L652/(L652+AA652),"")</f>
        <v/>
      </c>
    </row>
    <row r="653" customFormat="false" ht="15" hidden="false" customHeight="true" outlineLevel="0" collapsed="false">
      <c r="A653" s="1" t="s">
        <v>274</v>
      </c>
      <c r="B653" s="46" t="n">
        <v>45973</v>
      </c>
      <c r="C653" s="46" t="n">
        <v>46021</v>
      </c>
      <c r="D653" s="47" t="n">
        <v>26110</v>
      </c>
      <c r="E653" s="47" t="n">
        <v>26201</v>
      </c>
      <c r="F653" s="47" t="n">
        <v>26080</v>
      </c>
      <c r="G653" s="47" t="n">
        <v>26164</v>
      </c>
      <c r="H653" s="47" t="n">
        <v>26160</v>
      </c>
      <c r="I653" s="47" t="n">
        <v>26164</v>
      </c>
      <c r="J653" s="48" t="n">
        <v>8318</v>
      </c>
      <c r="K653" s="47" t="n">
        <v>163082.42</v>
      </c>
      <c r="L653" s="48" t="n">
        <v>1553100</v>
      </c>
      <c r="M653" s="48" t="n">
        <v>142725</v>
      </c>
      <c r="N653" s="47" t="n">
        <v>25875.8</v>
      </c>
      <c r="O653" s="47" t="n">
        <f aca="false">IF(AND(ISNUMBER(G653),ISNUMBER(N653)),G653-N653,"")</f>
        <v>288.200000000001</v>
      </c>
      <c r="P653" s="49" t="n">
        <f aca="false">IF(ISNUMBER(O653),O653/N653,"")</f>
        <v>0.0111378198934912</v>
      </c>
      <c r="Q653" s="50" t="n">
        <f aca="false">C653-B653</f>
        <v>48</v>
      </c>
      <c r="R653" s="51" t="n">
        <f aca="false">IF(AND(C653=C652,ISNUMBER(G653),ISNUMBER(G652)),(G653/G652-1)*100,"")</f>
        <v>0.653222641973983</v>
      </c>
      <c r="S653" s="51" t="n">
        <f aca="false">IF(AND(C653=C652,ISNUMBER(L653),ISNUMBER(L652)),(L653/L652-1)*100,"")</f>
        <v>10.1196490295134</v>
      </c>
      <c r="T653" s="51" t="n">
        <f aca="false">IF(AND(C653=C652,ISNUMBER(G653),ISNUMBER(G652)),G653-G652,"")</f>
        <v>169.799999999999</v>
      </c>
      <c r="U653" s="1" t="str">
        <f aca="false">IF(OR(NOT(ISNUMBER(R653)),NOT(ISNUMBER(S653))),"Not classified",IF(AND(R653&gt;0,S653&gt;0),"Long buildup (interpretation)",IF(AND(R653&lt;0,S653&gt;0),"Short buildup (interpretation)",IF(AND(R653&gt;0,S653&lt;0),"Short covering (interpretation)",IF(AND(R653&lt;0,S653&lt;0),"Long unwinding (interpretation)","Neutral")))))</f>
        <v>Long buildup (interpretation)</v>
      </c>
      <c r="V653" s="52" t="str">
        <f aca="false">TEXT(B653,"yyyy-mm")</f>
        <v>2025-11</v>
      </c>
      <c r="W653" s="52" t="n">
        <f aca="false">1+COUNTIFS($B$2:$B$756,B653,$C$2:$C$756,"&lt;"&amp;C653)</f>
        <v>2</v>
      </c>
      <c r="X653" s="53" t="n">
        <f aca="false">IF(AND(ISNUMBER(P653),Q653&gt;0),P653*365/Q653,"")</f>
        <v>0.084693838773423</v>
      </c>
      <c r="Y653" s="42" t="n">
        <f aca="false">IF(AND(C654=C653,ISNUMBER(R654)),R654,"")</f>
        <v>-0.111221525760585</v>
      </c>
      <c r="Z653" s="52" t="n">
        <f aca="false">IF(AND(W653=1,Q653&gt;Basis_Analysis!$B$3,ISNUMBER(Y653)),1,0)</f>
        <v>0</v>
      </c>
      <c r="AA653" s="43" t="str">
        <f aca="false">IF(W653=1,IF(SUMIFS($L$2:$L$756,$B$2:$B$756,B653,$W$2:$W$756,2)&gt;0,SUMIFS($L$2:$L$756,$B$2:$B$756,B653,$W$2:$W$756,2),""),"")</f>
        <v/>
      </c>
      <c r="AB653" s="54" t="str">
        <f aca="false">IF(AND(W653=1,ISNUMBER(AA653)),L653/(L653+AA653),"")</f>
        <v/>
      </c>
    </row>
    <row r="654" customFormat="false" ht="15" hidden="false" customHeight="true" outlineLevel="0" collapsed="false">
      <c r="A654" s="1" t="s">
        <v>274</v>
      </c>
      <c r="B654" s="46" t="n">
        <v>45974</v>
      </c>
      <c r="C654" s="46" t="n">
        <v>46021</v>
      </c>
      <c r="D654" s="47" t="n">
        <v>26160</v>
      </c>
      <c r="E654" s="47" t="n">
        <v>26274</v>
      </c>
      <c r="F654" s="47" t="n">
        <v>26080.6</v>
      </c>
      <c r="G654" s="47" t="n">
        <v>26134.9</v>
      </c>
      <c r="H654" s="47" t="n">
        <v>26140</v>
      </c>
      <c r="I654" s="47" t="n">
        <v>26134.9</v>
      </c>
      <c r="J654" s="48" t="n">
        <v>8109</v>
      </c>
      <c r="K654" s="47" t="n">
        <v>159242.62</v>
      </c>
      <c r="L654" s="48" t="n">
        <v>1660125</v>
      </c>
      <c r="M654" s="48" t="n">
        <v>107025</v>
      </c>
      <c r="N654" s="47" t="n">
        <v>25879.15</v>
      </c>
      <c r="O654" s="47" t="n">
        <f aca="false">IF(AND(ISNUMBER(G654),ISNUMBER(N654)),G654-N654,"")</f>
        <v>255.75</v>
      </c>
      <c r="P654" s="49" t="n">
        <f aca="false">IF(ISNUMBER(O654),O654/N654,"")</f>
        <v>0.00988247295602831</v>
      </c>
      <c r="Q654" s="50" t="n">
        <f aca="false">C654-B654</f>
        <v>47</v>
      </c>
      <c r="R654" s="51" t="n">
        <f aca="false">IF(AND(C654=C653,ISNUMBER(G654),ISNUMBER(G653)),(G654/G653-1)*100,"")</f>
        <v>-0.111221525760585</v>
      </c>
      <c r="S654" s="51" t="n">
        <f aca="false">IF(AND(C654=C653,ISNUMBER(L654),ISNUMBER(L653)),(L654/L653-1)*100,"")</f>
        <v>6.89105659648446</v>
      </c>
      <c r="T654" s="51" t="n">
        <f aca="false">IF(AND(C654=C653,ISNUMBER(G654),ISNUMBER(G653)),G654-G653,"")</f>
        <v>-29.0999999999985</v>
      </c>
      <c r="U654" s="1" t="str">
        <f aca="false">IF(OR(NOT(ISNUMBER(R654)),NOT(ISNUMBER(S654))),"Not classified",IF(AND(R654&gt;0,S654&gt;0),"Long buildup (interpretation)",IF(AND(R654&lt;0,S654&gt;0),"Short buildup (interpretation)",IF(AND(R654&gt;0,S654&lt;0),"Short covering (interpretation)",IF(AND(R654&lt;0,S654&lt;0),"Long unwinding (interpretation)","Neutral")))))</f>
        <v>Short buildup (interpretation)</v>
      </c>
      <c r="V654" s="52" t="str">
        <f aca="false">TEXT(B654,"yyyy-mm")</f>
        <v>2025-11</v>
      </c>
      <c r="W654" s="52" t="n">
        <f aca="false">1+COUNTIFS($B$2:$B$756,B654,$C$2:$C$756,"&lt;"&amp;C654)</f>
        <v>2</v>
      </c>
      <c r="X654" s="53" t="n">
        <f aca="false">IF(AND(ISNUMBER(P654),Q654&gt;0),P654*365/Q654,"")</f>
        <v>0.0767468644457518</v>
      </c>
      <c r="Y654" s="42" t="n">
        <f aca="false">IF(AND(C655=C654,ISNUMBER(R655)),R655,"")</f>
        <v>0.0110962735652143</v>
      </c>
      <c r="Z654" s="52" t="n">
        <f aca="false">IF(AND(W654=1,Q654&gt;Basis_Analysis!$B$3,ISNUMBER(Y654)),1,0)</f>
        <v>0</v>
      </c>
      <c r="AA654" s="43" t="str">
        <f aca="false">IF(W654=1,IF(SUMIFS($L$2:$L$756,$B$2:$B$756,B654,$W$2:$W$756,2)&gt;0,SUMIFS($L$2:$L$756,$B$2:$B$756,B654,$W$2:$W$756,2),""),"")</f>
        <v/>
      </c>
      <c r="AB654" s="54" t="str">
        <f aca="false">IF(AND(W654=1,ISNUMBER(AA654)),L654/(L654+AA654),"")</f>
        <v/>
      </c>
    </row>
    <row r="655" customFormat="false" ht="15" hidden="false" customHeight="true" outlineLevel="0" collapsed="false">
      <c r="A655" s="1" t="s">
        <v>274</v>
      </c>
      <c r="B655" s="46" t="n">
        <v>45975</v>
      </c>
      <c r="C655" s="46" t="n">
        <v>46021</v>
      </c>
      <c r="D655" s="47" t="n">
        <v>26075</v>
      </c>
      <c r="E655" s="47" t="n">
        <v>26167.5</v>
      </c>
      <c r="F655" s="47" t="n">
        <v>26008</v>
      </c>
      <c r="G655" s="47" t="n">
        <v>26137.8</v>
      </c>
      <c r="H655" s="47" t="n">
        <v>26157</v>
      </c>
      <c r="I655" s="47" t="n">
        <v>26137.8</v>
      </c>
      <c r="J655" s="48" t="n">
        <v>11194</v>
      </c>
      <c r="K655" s="47" t="n">
        <v>218974.84</v>
      </c>
      <c r="L655" s="48" t="n">
        <v>1849275</v>
      </c>
      <c r="M655" s="48" t="n">
        <v>189150</v>
      </c>
      <c r="N655" s="47" t="n">
        <v>25910.05</v>
      </c>
      <c r="O655" s="47" t="n">
        <f aca="false">IF(AND(ISNUMBER(G655),ISNUMBER(N655)),G655-N655,"")</f>
        <v>227.75</v>
      </c>
      <c r="P655" s="49" t="n">
        <f aca="false">IF(ISNUMBER(O655),O655/N655,"")</f>
        <v>0.0087900254920388</v>
      </c>
      <c r="Q655" s="50" t="n">
        <f aca="false">C655-B655</f>
        <v>46</v>
      </c>
      <c r="R655" s="51" t="n">
        <f aca="false">IF(AND(C655=C654,ISNUMBER(G655),ISNUMBER(G654)),(G655/G654-1)*100,"")</f>
        <v>0.0110962735652143</v>
      </c>
      <c r="S655" s="51" t="n">
        <f aca="false">IF(AND(C655=C654,ISNUMBER(L655),ISNUMBER(L654)),(L655/L654-1)*100,"")</f>
        <v>11.3937203523831</v>
      </c>
      <c r="T655" s="51" t="n">
        <f aca="false">IF(AND(C655=C654,ISNUMBER(G655),ISNUMBER(G654)),G655-G654,"")</f>
        <v>2.89999999999782</v>
      </c>
      <c r="U655" s="1" t="str">
        <f aca="false">IF(OR(NOT(ISNUMBER(R655)),NOT(ISNUMBER(S655))),"Not classified",IF(AND(R655&gt;0,S655&gt;0),"Long buildup (interpretation)",IF(AND(R655&lt;0,S655&gt;0),"Short buildup (interpretation)",IF(AND(R655&gt;0,S655&lt;0),"Short covering (interpretation)",IF(AND(R655&lt;0,S655&lt;0),"Long unwinding (interpretation)","Neutral")))))</f>
        <v>Long buildup (interpretation)</v>
      </c>
      <c r="V655" s="52" t="str">
        <f aca="false">TEXT(B655,"yyyy-mm")</f>
        <v>2025-11</v>
      </c>
      <c r="W655" s="52" t="n">
        <f aca="false">1+COUNTIFS($B$2:$B$756,B655,$C$2:$C$756,"&lt;"&amp;C655)</f>
        <v>2</v>
      </c>
      <c r="X655" s="53" t="n">
        <f aca="false">IF(AND(ISNUMBER(P655),Q655&gt;0),P655*365/Q655,"")</f>
        <v>0.0697469414042209</v>
      </c>
      <c r="Y655" s="42" t="n">
        <f aca="false">IF(AND(C656=C655,ISNUMBER(R656)),R656,"")</f>
        <v>0.391004598703804</v>
      </c>
      <c r="Z655" s="52" t="n">
        <f aca="false">IF(AND(W655=1,Q655&gt;Basis_Analysis!$B$3,ISNUMBER(Y655)),1,0)</f>
        <v>0</v>
      </c>
      <c r="AA655" s="43" t="str">
        <f aca="false">IF(W655=1,IF(SUMIFS($L$2:$L$756,$B$2:$B$756,B655,$W$2:$W$756,2)&gt;0,SUMIFS($L$2:$L$756,$B$2:$B$756,B655,$W$2:$W$756,2),""),"")</f>
        <v/>
      </c>
      <c r="AB655" s="54" t="str">
        <f aca="false">IF(AND(W655=1,ISNUMBER(AA655)),L655/(L655+AA655),"")</f>
        <v/>
      </c>
    </row>
    <row r="656" customFormat="false" ht="15" hidden="false" customHeight="true" outlineLevel="0" collapsed="false">
      <c r="A656" s="1" t="s">
        <v>274</v>
      </c>
      <c r="B656" s="46" t="n">
        <v>45978</v>
      </c>
      <c r="C656" s="46" t="n">
        <v>46021</v>
      </c>
      <c r="D656" s="47" t="n">
        <v>26175.1</v>
      </c>
      <c r="E656" s="47" t="n">
        <v>26265</v>
      </c>
      <c r="F656" s="47" t="n">
        <v>26157.2</v>
      </c>
      <c r="G656" s="47" t="n">
        <v>26240</v>
      </c>
      <c r="H656" s="47" t="n">
        <v>26245</v>
      </c>
      <c r="I656" s="47" t="n">
        <v>26240</v>
      </c>
      <c r="J656" s="48" t="n">
        <v>9184</v>
      </c>
      <c r="K656" s="47" t="n">
        <v>180582.55</v>
      </c>
      <c r="L656" s="48" t="n">
        <v>2064525</v>
      </c>
      <c r="M656" s="48" t="n">
        <v>215250</v>
      </c>
      <c r="N656" s="47" t="n">
        <v>26013.45</v>
      </c>
      <c r="O656" s="47" t="n">
        <f aca="false">IF(AND(ISNUMBER(G656),ISNUMBER(N656)),G656-N656,"")</f>
        <v>226.549999999999</v>
      </c>
      <c r="P656" s="49" t="n">
        <f aca="false">IF(ISNUMBER(O656),O656/N656,"")</f>
        <v>0.00870895632836088</v>
      </c>
      <c r="Q656" s="50" t="n">
        <f aca="false">C656-B656</f>
        <v>43</v>
      </c>
      <c r="R656" s="51" t="n">
        <f aca="false">IF(AND(C656=C655,ISNUMBER(G656),ISNUMBER(G655)),(G656/G655-1)*100,"")</f>
        <v>0.391004598703804</v>
      </c>
      <c r="S656" s="51" t="n">
        <f aca="false">IF(AND(C656=C655,ISNUMBER(L656),ISNUMBER(L655)),(L656/L655-1)*100,"")</f>
        <v>11.6396966378716</v>
      </c>
      <c r="T656" s="51" t="n">
        <f aca="false">IF(AND(C656=C655,ISNUMBER(G656),ISNUMBER(G655)),G656-G655,"")</f>
        <v>102.200000000001</v>
      </c>
      <c r="U656" s="1" t="str">
        <f aca="false">IF(OR(NOT(ISNUMBER(R656)),NOT(ISNUMBER(S656))),"Not classified",IF(AND(R656&gt;0,S656&gt;0),"Long buildup (interpretation)",IF(AND(R656&lt;0,S656&gt;0),"Short buildup (interpretation)",IF(AND(R656&gt;0,S656&lt;0),"Short covering (interpretation)",IF(AND(R656&lt;0,S656&lt;0),"Long unwinding (interpretation)","Neutral")))))</f>
        <v>Long buildup (interpretation)</v>
      </c>
      <c r="V656" s="52" t="str">
        <f aca="false">TEXT(B656,"yyyy-mm")</f>
        <v>2025-11</v>
      </c>
      <c r="W656" s="52" t="n">
        <f aca="false">1+COUNTIFS($B$2:$B$756,B656,$C$2:$C$756,"&lt;"&amp;C656)</f>
        <v>2</v>
      </c>
      <c r="X656" s="53" t="n">
        <f aca="false">IF(AND(ISNUMBER(P656),Q656&gt;0),P656*365/Q656,"")</f>
        <v>0.0739248618570167</v>
      </c>
      <c r="Y656" s="42" t="n">
        <f aca="false">IF(AND(C657=C656,ISNUMBER(R657)),R657,"")</f>
        <v>-0.40282012195122</v>
      </c>
      <c r="Z656" s="52" t="n">
        <f aca="false">IF(AND(W656=1,Q656&gt;Basis_Analysis!$B$3,ISNUMBER(Y656)),1,0)</f>
        <v>0</v>
      </c>
      <c r="AA656" s="43" t="str">
        <f aca="false">IF(W656=1,IF(SUMIFS($L$2:$L$756,$B$2:$B$756,B656,$W$2:$W$756,2)&gt;0,SUMIFS($L$2:$L$756,$B$2:$B$756,B656,$W$2:$W$756,2),""),"")</f>
        <v/>
      </c>
      <c r="AB656" s="54" t="str">
        <f aca="false">IF(AND(W656=1,ISNUMBER(AA656)),L656/(L656+AA656),"")</f>
        <v/>
      </c>
    </row>
    <row r="657" customFormat="false" ht="15" hidden="false" customHeight="true" outlineLevel="0" collapsed="false">
      <c r="A657" s="1" t="s">
        <v>274</v>
      </c>
      <c r="B657" s="46" t="n">
        <v>45979</v>
      </c>
      <c r="C657" s="46" t="n">
        <v>46021</v>
      </c>
      <c r="D657" s="47" t="n">
        <v>26209.7</v>
      </c>
      <c r="E657" s="47" t="n">
        <v>26221.8</v>
      </c>
      <c r="F657" s="47" t="n">
        <v>26100</v>
      </c>
      <c r="G657" s="47" t="n">
        <v>26134.3</v>
      </c>
      <c r="H657" s="47" t="n">
        <v>26120.1</v>
      </c>
      <c r="I657" s="47" t="n">
        <v>26134.3</v>
      </c>
      <c r="J657" s="48" t="n">
        <v>11126</v>
      </c>
      <c r="K657" s="47" t="n">
        <v>218243.94</v>
      </c>
      <c r="L657" s="48" t="n">
        <v>2301075</v>
      </c>
      <c r="M657" s="48" t="n">
        <v>236550</v>
      </c>
      <c r="N657" s="47" t="n">
        <v>25910.05</v>
      </c>
      <c r="O657" s="47" t="n">
        <f aca="false">IF(AND(ISNUMBER(G657),ISNUMBER(N657)),G657-N657,"")</f>
        <v>224.25</v>
      </c>
      <c r="P657" s="49" t="n">
        <f aca="false">IF(ISNUMBER(O657),O657/N657,"")</f>
        <v>0.00865494277317103</v>
      </c>
      <c r="Q657" s="50" t="n">
        <f aca="false">C657-B657</f>
        <v>42</v>
      </c>
      <c r="R657" s="51" t="n">
        <f aca="false">IF(AND(C657=C656,ISNUMBER(G657),ISNUMBER(G656)),(G657/G656-1)*100,"")</f>
        <v>-0.40282012195122</v>
      </c>
      <c r="S657" s="51" t="n">
        <f aca="false">IF(AND(C657=C656,ISNUMBER(L657),ISNUMBER(L656)),(L657/L656-1)*100,"")</f>
        <v>11.4578413920878</v>
      </c>
      <c r="T657" s="51" t="n">
        <f aca="false">IF(AND(C657=C656,ISNUMBER(G657),ISNUMBER(G656)),G657-G656,"")</f>
        <v>-105.700000000001</v>
      </c>
      <c r="U657" s="1" t="str">
        <f aca="false">IF(OR(NOT(ISNUMBER(R657)),NOT(ISNUMBER(S657))),"Not classified",IF(AND(R657&gt;0,S657&gt;0),"Long buildup (interpretation)",IF(AND(R657&lt;0,S657&gt;0),"Short buildup (interpretation)",IF(AND(R657&gt;0,S657&lt;0),"Short covering (interpretation)",IF(AND(R657&lt;0,S657&lt;0),"Long unwinding (interpretation)","Neutral")))))</f>
        <v>Short buildup (interpretation)</v>
      </c>
      <c r="V657" s="52" t="str">
        <f aca="false">TEXT(B657,"yyyy-mm")</f>
        <v>2025-11</v>
      </c>
      <c r="W657" s="52" t="n">
        <f aca="false">1+COUNTIFS($B$2:$B$756,B657,$C$2:$C$756,"&lt;"&amp;C657)</f>
        <v>2</v>
      </c>
      <c r="X657" s="53" t="n">
        <f aca="false">IF(AND(ISNUMBER(P657),Q657&gt;0),P657*365/Q657,"")</f>
        <v>0.0752155741001768</v>
      </c>
      <c r="Y657" s="42" t="n">
        <f aca="false">IF(AND(C658=C657,ISNUMBER(R658)),R658,"")</f>
        <v>0.456870855542335</v>
      </c>
      <c r="Z657" s="52" t="n">
        <f aca="false">IF(AND(W657=1,Q657&gt;Basis_Analysis!$B$3,ISNUMBER(Y657)),1,0)</f>
        <v>0</v>
      </c>
      <c r="AA657" s="43" t="str">
        <f aca="false">IF(W657=1,IF(SUMIFS($L$2:$L$756,$B$2:$B$756,B657,$W$2:$W$756,2)&gt;0,SUMIFS($L$2:$L$756,$B$2:$B$756,B657,$W$2:$W$756,2),""),"")</f>
        <v/>
      </c>
      <c r="AB657" s="54" t="str">
        <f aca="false">IF(AND(W657=1,ISNUMBER(AA657)),L657/(L657+AA657),"")</f>
        <v/>
      </c>
    </row>
    <row r="658" customFormat="false" ht="15" hidden="false" customHeight="true" outlineLevel="0" collapsed="false">
      <c r="A658" s="1" t="s">
        <v>274</v>
      </c>
      <c r="B658" s="46" t="n">
        <v>45980</v>
      </c>
      <c r="C658" s="46" t="n">
        <v>46021</v>
      </c>
      <c r="D658" s="47" t="n">
        <v>26127.6</v>
      </c>
      <c r="E658" s="47" t="n">
        <v>26275</v>
      </c>
      <c r="F658" s="47" t="n">
        <v>26076.5</v>
      </c>
      <c r="G658" s="47" t="n">
        <v>26253.7</v>
      </c>
      <c r="H658" s="47" t="n">
        <v>26260</v>
      </c>
      <c r="I658" s="47" t="n">
        <v>26253.7</v>
      </c>
      <c r="J658" s="48" t="n">
        <v>15258</v>
      </c>
      <c r="K658" s="47" t="n">
        <v>299831.14</v>
      </c>
      <c r="L658" s="48" t="n">
        <v>2542800</v>
      </c>
      <c r="M658" s="48" t="n">
        <v>241725</v>
      </c>
      <c r="N658" s="47" t="n">
        <v>26052.65</v>
      </c>
      <c r="O658" s="47" t="n">
        <f aca="false">IF(AND(ISNUMBER(G658),ISNUMBER(N658)),G658-N658,"")</f>
        <v>201.049999999999</v>
      </c>
      <c r="P658" s="49" t="n">
        <f aca="false">IF(ISNUMBER(O658),O658/N658,"")</f>
        <v>0.0077170652505599</v>
      </c>
      <c r="Q658" s="50" t="n">
        <f aca="false">C658-B658</f>
        <v>41</v>
      </c>
      <c r="R658" s="51" t="n">
        <f aca="false">IF(AND(C658=C657,ISNUMBER(G658),ISNUMBER(G657)),(G658/G657-1)*100,"")</f>
        <v>0.456870855542335</v>
      </c>
      <c r="S658" s="51" t="n">
        <f aca="false">IF(AND(C658=C657,ISNUMBER(L658),ISNUMBER(L657)),(L658/L657-1)*100,"")</f>
        <v>10.5048727225319</v>
      </c>
      <c r="T658" s="51" t="n">
        <f aca="false">IF(AND(C658=C657,ISNUMBER(G658),ISNUMBER(G657)),G658-G657,"")</f>
        <v>119.400000000001</v>
      </c>
      <c r="U658" s="1" t="str">
        <f aca="false">IF(OR(NOT(ISNUMBER(R658)),NOT(ISNUMBER(S658))),"Not classified",IF(AND(R658&gt;0,S658&gt;0),"Long buildup (interpretation)",IF(AND(R658&lt;0,S658&gt;0),"Short buildup (interpretation)",IF(AND(R658&gt;0,S658&lt;0),"Short covering (interpretation)",IF(AND(R658&lt;0,S658&lt;0),"Long unwinding (interpretation)","Neutral")))))</f>
        <v>Long buildup (interpretation)</v>
      </c>
      <c r="V658" s="52" t="str">
        <f aca="false">TEXT(B658,"yyyy-mm")</f>
        <v>2025-11</v>
      </c>
      <c r="W658" s="52" t="n">
        <f aca="false">1+COUNTIFS($B$2:$B$756,B658,$C$2:$C$756,"&lt;"&amp;C658)</f>
        <v>2</v>
      </c>
      <c r="X658" s="53" t="n">
        <f aca="false">IF(AND(ISNUMBER(P658),Q658&gt;0),P658*365/Q658,"")</f>
        <v>0.0687007028403503</v>
      </c>
      <c r="Y658" s="42" t="n">
        <f aca="false">IF(AND(C659=C658,ISNUMBER(R659)),R659,"")</f>
        <v>0.602581731336915</v>
      </c>
      <c r="Z658" s="52" t="n">
        <f aca="false">IF(AND(W658=1,Q658&gt;Basis_Analysis!$B$3,ISNUMBER(Y658)),1,0)</f>
        <v>0</v>
      </c>
      <c r="AA658" s="43" t="str">
        <f aca="false">IF(W658=1,IF(SUMIFS($L$2:$L$756,$B$2:$B$756,B658,$W$2:$W$756,2)&gt;0,SUMIFS($L$2:$L$756,$B$2:$B$756,B658,$W$2:$W$756,2),""),"")</f>
        <v/>
      </c>
      <c r="AB658" s="54" t="str">
        <f aca="false">IF(AND(W658=1,ISNUMBER(AA658)),L658/(L658+AA658),"")</f>
        <v/>
      </c>
    </row>
    <row r="659" customFormat="false" ht="15" hidden="false" customHeight="true" outlineLevel="0" collapsed="false">
      <c r="A659" s="1" t="s">
        <v>274</v>
      </c>
      <c r="B659" s="46" t="n">
        <v>45981</v>
      </c>
      <c r="C659" s="46" t="n">
        <v>46021</v>
      </c>
      <c r="D659" s="47" t="n">
        <v>26325</v>
      </c>
      <c r="E659" s="47" t="n">
        <v>26455.7</v>
      </c>
      <c r="F659" s="47" t="n">
        <v>26260.8</v>
      </c>
      <c r="G659" s="47" t="n">
        <v>26411.9</v>
      </c>
      <c r="H659" s="47" t="n">
        <v>26424</v>
      </c>
      <c r="I659" s="47" t="n">
        <v>26411.9</v>
      </c>
      <c r="J659" s="48" t="n">
        <v>52235</v>
      </c>
      <c r="K659" s="47" t="n">
        <v>1033107.1</v>
      </c>
      <c r="L659" s="48" t="n">
        <v>4785750</v>
      </c>
      <c r="M659" s="48" t="n">
        <v>2242950</v>
      </c>
      <c r="N659" s="47" t="n">
        <v>26192.15</v>
      </c>
      <c r="O659" s="47" t="n">
        <f aca="false">IF(AND(ISNUMBER(G659),ISNUMBER(N659)),G659-N659,"")</f>
        <v>219.75</v>
      </c>
      <c r="P659" s="49" t="n">
        <f aca="false">IF(ISNUMBER(O659),O659/N659,"")</f>
        <v>0.00838991835339978</v>
      </c>
      <c r="Q659" s="50" t="n">
        <f aca="false">C659-B659</f>
        <v>40</v>
      </c>
      <c r="R659" s="51" t="n">
        <f aca="false">IF(AND(C659=C658,ISNUMBER(G659),ISNUMBER(G658)),(G659/G658-1)*100,"")</f>
        <v>0.602581731336915</v>
      </c>
      <c r="S659" s="51" t="n">
        <f aca="false">IF(AND(C659=C658,ISNUMBER(L659),ISNUMBER(L658)),(L659/L658-1)*100,"")</f>
        <v>88.2078810759792</v>
      </c>
      <c r="T659" s="51" t="n">
        <f aca="false">IF(AND(C659=C658,ISNUMBER(G659),ISNUMBER(G658)),G659-G658,"")</f>
        <v>158.200000000001</v>
      </c>
      <c r="U659" s="1" t="str">
        <f aca="false">IF(OR(NOT(ISNUMBER(R659)),NOT(ISNUMBER(S659))),"Not classified",IF(AND(R659&gt;0,S659&gt;0),"Long buildup (interpretation)",IF(AND(R659&lt;0,S659&gt;0),"Short buildup (interpretation)",IF(AND(R659&gt;0,S659&lt;0),"Short covering (interpretation)",IF(AND(R659&lt;0,S659&lt;0),"Long unwinding (interpretation)","Neutral")))))</f>
        <v>Long buildup (interpretation)</v>
      </c>
      <c r="V659" s="52" t="str">
        <f aca="false">TEXT(B659,"yyyy-mm")</f>
        <v>2025-11</v>
      </c>
      <c r="W659" s="52" t="n">
        <f aca="false">1+COUNTIFS($B$2:$B$756,B659,$C$2:$C$756,"&lt;"&amp;C659)</f>
        <v>2</v>
      </c>
      <c r="X659" s="53" t="n">
        <f aca="false">IF(AND(ISNUMBER(P659),Q659&gt;0),P659*365/Q659,"")</f>
        <v>0.076558004974773</v>
      </c>
      <c r="Y659" s="42" t="n">
        <f aca="false">IF(AND(C660=C659,ISNUMBER(R660)),R660,"")</f>
        <v>-0.540286764678044</v>
      </c>
      <c r="Z659" s="52" t="n">
        <f aca="false">IF(AND(W659=1,Q659&gt;Basis_Analysis!$B$3,ISNUMBER(Y659)),1,0)</f>
        <v>0</v>
      </c>
      <c r="AA659" s="43" t="str">
        <f aca="false">IF(W659=1,IF(SUMIFS($L$2:$L$756,$B$2:$B$756,B659,$W$2:$W$756,2)&gt;0,SUMIFS($L$2:$L$756,$B$2:$B$756,B659,$W$2:$W$756,2),""),"")</f>
        <v/>
      </c>
      <c r="AB659" s="54" t="str">
        <f aca="false">IF(AND(W659=1,ISNUMBER(AA659)),L659/(L659+AA659),"")</f>
        <v/>
      </c>
    </row>
    <row r="660" customFormat="false" ht="15" hidden="false" customHeight="true" outlineLevel="0" collapsed="false">
      <c r="A660" s="1" t="s">
        <v>274</v>
      </c>
      <c r="B660" s="46" t="n">
        <v>45982</v>
      </c>
      <c r="C660" s="46" t="n">
        <v>46021</v>
      </c>
      <c r="D660" s="47" t="n">
        <v>26350</v>
      </c>
      <c r="E660" s="47" t="n">
        <v>26390</v>
      </c>
      <c r="F660" s="47" t="n">
        <v>26251</v>
      </c>
      <c r="G660" s="47" t="n">
        <v>26269.2</v>
      </c>
      <c r="H660" s="47" t="n">
        <v>26260.5</v>
      </c>
      <c r="I660" s="47" t="n">
        <v>26269.2</v>
      </c>
      <c r="J660" s="48" t="n">
        <v>61836</v>
      </c>
      <c r="K660" s="47" t="n">
        <v>1220455.13</v>
      </c>
      <c r="L660" s="48" t="n">
        <v>7686975</v>
      </c>
      <c r="M660" s="48" t="n">
        <v>2901225</v>
      </c>
      <c r="N660" s="47" t="n">
        <v>26068.15</v>
      </c>
      <c r="O660" s="47" t="n">
        <f aca="false">IF(AND(ISNUMBER(G660),ISNUMBER(N660)),G660-N660,"")</f>
        <v>201.049999999999</v>
      </c>
      <c r="P660" s="49" t="n">
        <f aca="false">IF(ISNUMBER(O660),O660/N660,"")</f>
        <v>0.00771247671967513</v>
      </c>
      <c r="Q660" s="50" t="n">
        <f aca="false">C660-B660</f>
        <v>39</v>
      </c>
      <c r="R660" s="51" t="n">
        <f aca="false">IF(AND(C660=C659,ISNUMBER(G660),ISNUMBER(G659)),(G660/G659-1)*100,"")</f>
        <v>-0.540286764678044</v>
      </c>
      <c r="S660" s="51" t="n">
        <f aca="false">IF(AND(C660=C659,ISNUMBER(L660),ISNUMBER(L659)),(L660/L659-1)*100,"")</f>
        <v>60.6221595361229</v>
      </c>
      <c r="T660" s="51" t="n">
        <f aca="false">IF(AND(C660=C659,ISNUMBER(G660),ISNUMBER(G659)),G660-G659,"")</f>
        <v>-142.700000000001</v>
      </c>
      <c r="U660" s="1" t="str">
        <f aca="false">IF(OR(NOT(ISNUMBER(R660)),NOT(ISNUMBER(S660))),"Not classified",IF(AND(R660&gt;0,S660&gt;0),"Long buildup (interpretation)",IF(AND(R660&lt;0,S660&gt;0),"Short buildup (interpretation)",IF(AND(R660&gt;0,S660&lt;0),"Short covering (interpretation)",IF(AND(R660&lt;0,S660&lt;0),"Long unwinding (interpretation)","Neutral")))))</f>
        <v>Short buildup (interpretation)</v>
      </c>
      <c r="V660" s="52" t="str">
        <f aca="false">TEXT(B660,"yyyy-mm")</f>
        <v>2025-11</v>
      </c>
      <c r="W660" s="52" t="n">
        <f aca="false">1+COUNTIFS($B$2:$B$756,B660,$C$2:$C$756,"&lt;"&amp;C660)</f>
        <v>2</v>
      </c>
      <c r="X660" s="53" t="n">
        <f aca="false">IF(AND(ISNUMBER(P660),Q660&gt;0),P660*365/Q660,"")</f>
        <v>0.0721808718636262</v>
      </c>
      <c r="Y660" s="42" t="n">
        <f aca="false">IF(AND(C661=C660,ISNUMBER(R661)),R661,"")</f>
        <v>-0.374963835975206</v>
      </c>
      <c r="Z660" s="52" t="n">
        <f aca="false">IF(AND(W660=1,Q660&gt;Basis_Analysis!$B$3,ISNUMBER(Y660)),1,0)</f>
        <v>0</v>
      </c>
      <c r="AA660" s="43" t="str">
        <f aca="false">IF(W660=1,IF(SUMIFS($L$2:$L$756,$B$2:$B$756,B660,$W$2:$W$756,2)&gt;0,SUMIFS($L$2:$L$756,$B$2:$B$756,B660,$W$2:$W$756,2),""),"")</f>
        <v/>
      </c>
      <c r="AB660" s="54" t="str">
        <f aca="false">IF(AND(W660=1,ISNUMBER(AA660)),L660/(L660+AA660),"")</f>
        <v/>
      </c>
    </row>
    <row r="661" customFormat="false" ht="15" hidden="false" customHeight="true" outlineLevel="0" collapsed="false">
      <c r="A661" s="1" t="s">
        <v>274</v>
      </c>
      <c r="B661" s="46" t="n">
        <v>45985</v>
      </c>
      <c r="C661" s="46" t="n">
        <v>46021</v>
      </c>
      <c r="D661" s="47" t="n">
        <v>26320.1</v>
      </c>
      <c r="E661" s="47" t="n">
        <v>26355</v>
      </c>
      <c r="F661" s="47" t="n">
        <v>26138.5</v>
      </c>
      <c r="G661" s="47" t="n">
        <v>26170.7</v>
      </c>
      <c r="H661" s="47" t="n">
        <v>26140.1</v>
      </c>
      <c r="I661" s="47" t="n">
        <v>26170.7</v>
      </c>
      <c r="J661" s="48" t="n">
        <v>90484</v>
      </c>
      <c r="K661" s="47" t="n">
        <v>1781192.71</v>
      </c>
      <c r="L661" s="48" t="n">
        <v>11020500</v>
      </c>
      <c r="M661" s="48" t="n">
        <v>3333525</v>
      </c>
      <c r="N661" s="47" t="n">
        <v>25959.5</v>
      </c>
      <c r="O661" s="47" t="n">
        <f aca="false">IF(AND(ISNUMBER(G661),ISNUMBER(N661)),G661-N661,"")</f>
        <v>211.200000000001</v>
      </c>
      <c r="P661" s="49" t="n">
        <f aca="false">IF(ISNUMBER(O661),O661/N661,"")</f>
        <v>0.00813574991814175</v>
      </c>
      <c r="Q661" s="50" t="n">
        <f aca="false">C661-B661</f>
        <v>36</v>
      </c>
      <c r="R661" s="51" t="n">
        <f aca="false">IF(AND(C661=C660,ISNUMBER(G661),ISNUMBER(G660)),(G661/G660-1)*100,"")</f>
        <v>-0.374963835975206</v>
      </c>
      <c r="S661" s="51" t="n">
        <f aca="false">IF(AND(C661=C660,ISNUMBER(L661),ISNUMBER(L660)),(L661/L660-1)*100,"")</f>
        <v>43.3658884021348</v>
      </c>
      <c r="T661" s="51" t="n">
        <f aca="false">IF(AND(C661=C660,ISNUMBER(G661),ISNUMBER(G660)),G661-G660,"")</f>
        <v>-98.5</v>
      </c>
      <c r="U661" s="1" t="str">
        <f aca="false">IF(OR(NOT(ISNUMBER(R661)),NOT(ISNUMBER(S661))),"Not classified",IF(AND(R661&gt;0,S661&gt;0),"Long buildup (interpretation)",IF(AND(R661&lt;0,S661&gt;0),"Short buildup (interpretation)",IF(AND(R661&gt;0,S661&lt;0),"Short covering (interpretation)",IF(AND(R661&lt;0,S661&lt;0),"Long unwinding (interpretation)","Neutral")))))</f>
        <v>Short buildup (interpretation)</v>
      </c>
      <c r="V661" s="52" t="str">
        <f aca="false">TEXT(B661,"yyyy-mm")</f>
        <v>2025-11</v>
      </c>
      <c r="W661" s="52" t="n">
        <f aca="false">1+COUNTIFS($B$2:$B$756,B661,$C$2:$C$756,"&lt;"&amp;C661)</f>
        <v>2</v>
      </c>
      <c r="X661" s="53" t="n">
        <f aca="false">IF(AND(ISNUMBER(P661),Q661&gt;0),P661*365/Q661,"")</f>
        <v>0.0824874644478261</v>
      </c>
      <c r="Y661" s="42" t="n">
        <f aca="false">IF(AND(C662=C661,ISNUMBER(R662)),R662,"")</f>
        <v>-0.440569033308236</v>
      </c>
      <c r="Z661" s="52" t="n">
        <f aca="false">IF(AND(W661=1,Q661&gt;Basis_Analysis!$B$3,ISNUMBER(Y661)),1,0)</f>
        <v>0</v>
      </c>
      <c r="AA661" s="43" t="str">
        <f aca="false">IF(W661=1,IF(SUMIFS($L$2:$L$756,$B$2:$B$756,B661,$W$2:$W$756,2)&gt;0,SUMIFS($L$2:$L$756,$B$2:$B$756,B661,$W$2:$W$756,2),""),"")</f>
        <v/>
      </c>
      <c r="AB661" s="54" t="str">
        <f aca="false">IF(AND(W661=1,ISNUMBER(AA661)),L661/(L661+AA661),"")</f>
        <v/>
      </c>
    </row>
    <row r="662" customFormat="false" ht="15" hidden="false" customHeight="true" outlineLevel="0" collapsed="false">
      <c r="A662" s="1" t="s">
        <v>274</v>
      </c>
      <c r="B662" s="46" t="n">
        <v>45986</v>
      </c>
      <c r="C662" s="46" t="n">
        <v>46021</v>
      </c>
      <c r="D662" s="47" t="n">
        <v>26187.8</v>
      </c>
      <c r="E662" s="47" t="n">
        <v>26210</v>
      </c>
      <c r="F662" s="47" t="n">
        <v>26041.8</v>
      </c>
      <c r="G662" s="47" t="n">
        <v>26055.4</v>
      </c>
      <c r="H662" s="47" t="n">
        <v>26051</v>
      </c>
      <c r="I662" s="47" t="n">
        <v>26055.4</v>
      </c>
      <c r="J662" s="48" t="n">
        <v>81531</v>
      </c>
      <c r="K662" s="47" t="n">
        <v>1597651.32</v>
      </c>
      <c r="L662" s="48" t="n">
        <v>13689450</v>
      </c>
      <c r="M662" s="48" t="n">
        <v>2668950</v>
      </c>
      <c r="N662" s="47" t="n">
        <v>25884.8</v>
      </c>
      <c r="O662" s="47" t="n">
        <f aca="false">IF(AND(ISNUMBER(G662),ISNUMBER(N662)),G662-N662,"")</f>
        <v>170.600000000002</v>
      </c>
      <c r="P662" s="49" t="n">
        <f aca="false">IF(ISNUMBER(O662),O662/N662,"")</f>
        <v>0.00659074051180624</v>
      </c>
      <c r="Q662" s="50" t="n">
        <f aca="false">C662-B662</f>
        <v>35</v>
      </c>
      <c r="R662" s="51" t="n">
        <f aca="false">IF(AND(C662=C661,ISNUMBER(G662),ISNUMBER(G661)),(G662/G661-1)*100,"")</f>
        <v>-0.440569033308236</v>
      </c>
      <c r="S662" s="51" t="n">
        <f aca="false">IF(AND(C662=C661,ISNUMBER(L662),ISNUMBER(L661)),(L662/L661-1)*100,"")</f>
        <v>24.2180481829318</v>
      </c>
      <c r="T662" s="51" t="n">
        <f aca="false">IF(AND(C662=C661,ISNUMBER(G662),ISNUMBER(G661)),G662-G661,"")</f>
        <v>-115.299999999999</v>
      </c>
      <c r="U662" s="1" t="str">
        <f aca="false">IF(OR(NOT(ISNUMBER(R662)),NOT(ISNUMBER(S662))),"Not classified",IF(AND(R662&gt;0,S662&gt;0),"Long buildup (interpretation)",IF(AND(R662&lt;0,S662&gt;0),"Short buildup (interpretation)",IF(AND(R662&gt;0,S662&lt;0),"Short covering (interpretation)",IF(AND(R662&lt;0,S662&lt;0),"Long unwinding (interpretation)","Neutral")))))</f>
        <v>Short buildup (interpretation)</v>
      </c>
      <c r="V662" s="52" t="str">
        <f aca="false">TEXT(B662,"yyyy-mm")</f>
        <v>2025-11</v>
      </c>
      <c r="W662" s="52" t="n">
        <f aca="false">1+COUNTIFS($B$2:$B$756,B662,$C$2:$C$756,"&lt;"&amp;C662)</f>
        <v>2</v>
      </c>
      <c r="X662" s="53" t="n">
        <f aca="false">IF(AND(ISNUMBER(P662),Q662&gt;0),P662*365/Q662,"")</f>
        <v>0.0687320081945508</v>
      </c>
      <c r="Y662" s="42" t="n">
        <f aca="false">IF(AND(C663=C662,ISNUMBER(R663)),R663,"")</f>
        <v>1.25041258242053</v>
      </c>
      <c r="Z662" s="52" t="n">
        <f aca="false">IF(AND(W662=1,Q662&gt;Basis_Analysis!$B$3,ISNUMBER(Y662)),1,0)</f>
        <v>0</v>
      </c>
      <c r="AA662" s="43" t="str">
        <f aca="false">IF(W662=1,IF(SUMIFS($L$2:$L$756,$B$2:$B$756,B662,$W$2:$W$756,2)&gt;0,SUMIFS($L$2:$L$756,$B$2:$B$756,B662,$W$2:$W$756,2),""),"")</f>
        <v/>
      </c>
      <c r="AB662" s="54" t="str">
        <f aca="false">IF(AND(W662=1,ISNUMBER(AA662)),L662/(L662+AA662),"")</f>
        <v/>
      </c>
    </row>
    <row r="663" customFormat="false" ht="15" hidden="false" customHeight="true" outlineLevel="0" collapsed="false">
      <c r="A663" s="1" t="s">
        <v>274</v>
      </c>
      <c r="B663" s="46" t="n">
        <v>45987</v>
      </c>
      <c r="C663" s="46" t="n">
        <v>46021</v>
      </c>
      <c r="D663" s="47" t="n">
        <v>26105</v>
      </c>
      <c r="E663" s="47" t="n">
        <v>26392</v>
      </c>
      <c r="F663" s="47" t="n">
        <v>26085</v>
      </c>
      <c r="G663" s="47" t="n">
        <v>26381.2</v>
      </c>
      <c r="H663" s="47" t="n">
        <v>26390</v>
      </c>
      <c r="I663" s="47" t="n">
        <v>26381.2</v>
      </c>
      <c r="J663" s="48" t="n">
        <v>97557</v>
      </c>
      <c r="K663" s="47" t="n">
        <v>1924530.15</v>
      </c>
      <c r="L663" s="48" t="n">
        <v>14001225</v>
      </c>
      <c r="M663" s="48" t="n">
        <v>311775</v>
      </c>
      <c r="N663" s="47" t="n">
        <v>26205.3</v>
      </c>
      <c r="O663" s="47" t="n">
        <f aca="false">IF(AND(ISNUMBER(G663),ISNUMBER(N663)),G663-N663,"")</f>
        <v>175.900000000001</v>
      </c>
      <c r="P663" s="49" t="n">
        <f aca="false">IF(ISNUMBER(O663),O663/N663,"")</f>
        <v>0.00671238260962483</v>
      </c>
      <c r="Q663" s="50" t="n">
        <f aca="false">C663-B663</f>
        <v>34</v>
      </c>
      <c r="R663" s="51" t="n">
        <f aca="false">IF(AND(C663=C662,ISNUMBER(G663),ISNUMBER(G662)),(G663/G662-1)*100,"")</f>
        <v>1.25041258242053</v>
      </c>
      <c r="S663" s="51" t="n">
        <f aca="false">IF(AND(C663=C662,ISNUMBER(L663),ISNUMBER(L662)),(L663/L662-1)*100,"")</f>
        <v>2.27748375573891</v>
      </c>
      <c r="T663" s="51" t="n">
        <f aca="false">IF(AND(C663=C662,ISNUMBER(G663),ISNUMBER(G662)),G663-G662,"")</f>
        <v>325.799999999999</v>
      </c>
      <c r="U663" s="1" t="str">
        <f aca="false">IF(OR(NOT(ISNUMBER(R663)),NOT(ISNUMBER(S663))),"Not classified",IF(AND(R663&gt;0,S663&gt;0),"Long buildup (interpretation)",IF(AND(R663&lt;0,S663&gt;0),"Short buildup (interpretation)",IF(AND(R663&gt;0,S663&lt;0),"Short covering (interpretation)",IF(AND(R663&lt;0,S663&lt;0),"Long unwinding (interpretation)","Neutral")))))</f>
        <v>Long buildup (interpretation)</v>
      </c>
      <c r="V663" s="52" t="str">
        <f aca="false">TEXT(B663,"yyyy-mm")</f>
        <v>2025-11</v>
      </c>
      <c r="W663" s="52" t="n">
        <f aca="false">1+COUNTIFS($B$2:$B$756,B663,$C$2:$C$756,"&lt;"&amp;C663)</f>
        <v>1</v>
      </c>
      <c r="X663" s="53" t="n">
        <f aca="false">IF(AND(ISNUMBER(P663),Q663&gt;0),P663*365/Q663,"")</f>
        <v>0.0720594015445018</v>
      </c>
      <c r="Y663" s="42" t="n">
        <f aca="false">IF(AND(C664=C663,ISNUMBER(R664)),R664,"")</f>
        <v>0.0367686079480789</v>
      </c>
      <c r="Z663" s="52" t="n">
        <f aca="false">IF(AND(W663=1,Q663&gt;Basis_Analysis!$B$3,ISNUMBER(Y663)),1,0)</f>
        <v>1</v>
      </c>
      <c r="AA663" s="43" t="n">
        <f aca="false">IF(W663=1,IF(SUMIFS($L$2:$L$756,$B$2:$B$756,B663,$W$2:$W$756,2)&gt;0,SUMIFS($L$2:$L$756,$B$2:$B$756,B663,$W$2:$W$756,2),""),"")</f>
        <v>868660</v>
      </c>
      <c r="AB663" s="54" t="n">
        <f aca="false">IF(AND(W663=1,ISNUMBER(AA663)),L663/(L663+AA663),"")</f>
        <v>0.941582601344933</v>
      </c>
    </row>
    <row r="664" customFormat="false" ht="15" hidden="false" customHeight="true" outlineLevel="0" collapsed="false">
      <c r="A664" s="1" t="s">
        <v>274</v>
      </c>
      <c r="B664" s="46" t="n">
        <v>45988</v>
      </c>
      <c r="C664" s="46" t="n">
        <v>46021</v>
      </c>
      <c r="D664" s="47" t="n">
        <v>26401.1</v>
      </c>
      <c r="E664" s="47" t="n">
        <v>26495.6</v>
      </c>
      <c r="F664" s="47" t="n">
        <v>26317.5</v>
      </c>
      <c r="G664" s="47" t="n">
        <v>26390.9</v>
      </c>
      <c r="H664" s="47" t="n">
        <v>26393.3</v>
      </c>
      <c r="I664" s="47" t="n">
        <v>26390.9</v>
      </c>
      <c r="J664" s="48" t="n">
        <v>65157</v>
      </c>
      <c r="K664" s="47" t="n">
        <v>1290549.78</v>
      </c>
      <c r="L664" s="48" t="n">
        <v>13814175</v>
      </c>
      <c r="M664" s="48" t="n">
        <v>-187050</v>
      </c>
      <c r="N664" s="47" t="n">
        <v>26215.55</v>
      </c>
      <c r="O664" s="47" t="n">
        <f aca="false">IF(AND(ISNUMBER(G664),ISNUMBER(N664)),G664-N664,"")</f>
        <v>175.350000000002</v>
      </c>
      <c r="P664" s="49" t="n">
        <f aca="false">IF(ISNUMBER(O664),O664/N664,"")</f>
        <v>0.00668877822513745</v>
      </c>
      <c r="Q664" s="50" t="n">
        <f aca="false">C664-B664</f>
        <v>33</v>
      </c>
      <c r="R664" s="51" t="n">
        <f aca="false">IF(AND(C664=C663,ISNUMBER(G664),ISNUMBER(G663)),(G664/G663-1)*100,"")</f>
        <v>0.0367686079480789</v>
      </c>
      <c r="S664" s="51" t="n">
        <f aca="false">IF(AND(C664=C663,ISNUMBER(L664),ISNUMBER(L663)),(L664/L663-1)*100,"")</f>
        <v>-1.33595453254983</v>
      </c>
      <c r="T664" s="51" t="n">
        <f aca="false">IF(AND(C664=C663,ISNUMBER(G664),ISNUMBER(G663)),G664-G663,"")</f>
        <v>9.70000000000073</v>
      </c>
      <c r="U664" s="1" t="str">
        <f aca="false">IF(OR(NOT(ISNUMBER(R664)),NOT(ISNUMBER(S664))),"Not classified",IF(AND(R664&gt;0,S664&gt;0),"Long buildup (interpretation)",IF(AND(R664&lt;0,S664&gt;0),"Short buildup (interpretation)",IF(AND(R664&gt;0,S664&lt;0),"Short covering (interpretation)",IF(AND(R664&lt;0,S664&lt;0),"Long unwinding (interpretation)","Neutral")))))</f>
        <v>Short covering (interpretation)</v>
      </c>
      <c r="V664" s="52" t="str">
        <f aca="false">TEXT(B664,"yyyy-mm")</f>
        <v>2025-11</v>
      </c>
      <c r="W664" s="52" t="n">
        <f aca="false">1+COUNTIFS($B$2:$B$756,B664,$C$2:$C$756,"&lt;"&amp;C664)</f>
        <v>1</v>
      </c>
      <c r="X664" s="53" t="n">
        <f aca="false">IF(AND(ISNUMBER(P664),Q664&gt;0),P664*365/Q664,"")</f>
        <v>0.0739819409750052</v>
      </c>
      <c r="Y664" s="42" t="n">
        <f aca="false">IF(AND(C665=C664,ISNUMBER(R665)),R665,"")</f>
        <v>-0.0132621471795158</v>
      </c>
      <c r="Z664" s="52" t="n">
        <f aca="false">IF(AND(W664=1,Q664&gt;Basis_Analysis!$B$3,ISNUMBER(Y664)),1,0)</f>
        <v>1</v>
      </c>
      <c r="AA664" s="43" t="n">
        <f aca="false">IF(W664=1,IF(SUMIFS($L$2:$L$756,$B$2:$B$756,B664,$W$2:$W$756,2)&gt;0,SUMIFS($L$2:$L$756,$B$2:$B$756,B664,$W$2:$W$756,2),""),"")</f>
        <v>888875</v>
      </c>
      <c r="AB664" s="54" t="n">
        <f aca="false">IF(AND(W664=1,ISNUMBER(AA664)),L664/(L664+AA664),"")</f>
        <v>0.939544856339331</v>
      </c>
    </row>
    <row r="665" customFormat="false" ht="15" hidden="false" customHeight="true" outlineLevel="0" collapsed="false">
      <c r="A665" s="1" t="s">
        <v>274</v>
      </c>
      <c r="B665" s="46" t="n">
        <v>45989</v>
      </c>
      <c r="C665" s="46" t="n">
        <v>46021</v>
      </c>
      <c r="D665" s="47" t="n">
        <v>26341</v>
      </c>
      <c r="E665" s="47" t="n">
        <v>26459.9</v>
      </c>
      <c r="F665" s="47" t="n">
        <v>26336.3</v>
      </c>
      <c r="G665" s="47" t="n">
        <v>26387.4</v>
      </c>
      <c r="H665" s="47" t="n">
        <v>26396</v>
      </c>
      <c r="I665" s="47" t="n">
        <v>26387.4</v>
      </c>
      <c r="J665" s="48" t="n">
        <v>40720</v>
      </c>
      <c r="K665" s="47" t="n">
        <v>806382.22</v>
      </c>
      <c r="L665" s="48" t="n">
        <v>13619100</v>
      </c>
      <c r="M665" s="48" t="n">
        <v>-195075</v>
      </c>
      <c r="N665" s="47" t="n">
        <v>26202.95</v>
      </c>
      <c r="O665" s="47" t="n">
        <f aca="false">IF(AND(ISNUMBER(G665),ISNUMBER(N665)),G665-N665,"")</f>
        <v>184.450000000001</v>
      </c>
      <c r="P665" s="49" t="n">
        <f aca="false">IF(ISNUMBER(O665),O665/N665,"")</f>
        <v>0.00703928374476922</v>
      </c>
      <c r="Q665" s="50" t="n">
        <f aca="false">C665-B665</f>
        <v>32</v>
      </c>
      <c r="R665" s="51" t="n">
        <f aca="false">IF(AND(C665=C664,ISNUMBER(G665),ISNUMBER(G664)),(G665/G664-1)*100,"")</f>
        <v>-0.0132621471795158</v>
      </c>
      <c r="S665" s="51" t="n">
        <f aca="false">IF(AND(C665=C664,ISNUMBER(L665),ISNUMBER(L664)),(L665/L664-1)*100,"")</f>
        <v>-1.41213644680193</v>
      </c>
      <c r="T665" s="51" t="n">
        <f aca="false">IF(AND(C665=C664,ISNUMBER(G665),ISNUMBER(G664)),G665-G664,"")</f>
        <v>-3.5</v>
      </c>
      <c r="U665" s="1" t="str">
        <f aca="false">IF(OR(NOT(ISNUMBER(R665)),NOT(ISNUMBER(S665))),"Not classified",IF(AND(R665&gt;0,S665&gt;0),"Long buildup (interpretation)",IF(AND(R665&lt;0,S665&gt;0),"Short buildup (interpretation)",IF(AND(R665&gt;0,S665&lt;0),"Short covering (interpretation)",IF(AND(R665&lt;0,S665&lt;0),"Long unwinding (interpretation)","Neutral")))))</f>
        <v>Long unwinding (interpretation)</v>
      </c>
      <c r="V665" s="52" t="str">
        <f aca="false">TEXT(B665,"yyyy-mm")</f>
        <v>2025-11</v>
      </c>
      <c r="W665" s="52" t="n">
        <f aca="false">1+COUNTIFS($B$2:$B$756,B665,$C$2:$C$756,"&lt;"&amp;C665)</f>
        <v>1</v>
      </c>
      <c r="X665" s="53" t="n">
        <f aca="false">IF(AND(ISNUMBER(P665),Q665&gt;0),P665*365/Q665,"")</f>
        <v>0.080291830213774</v>
      </c>
      <c r="Y665" s="42" t="n">
        <f aca="false">IF(AND(C666=C665,ISNUMBER(R666)),R666,"")</f>
        <v>-0.199716531374827</v>
      </c>
      <c r="Z665" s="52" t="n">
        <f aca="false">IF(AND(W665=1,Q665&gt;Basis_Analysis!$B$3,ISNUMBER(Y665)),1,0)</f>
        <v>1</v>
      </c>
      <c r="AA665" s="43" t="n">
        <f aca="false">IF(W665=1,IF(SUMIFS($L$2:$L$756,$B$2:$B$756,B665,$W$2:$W$756,2)&gt;0,SUMIFS($L$2:$L$756,$B$2:$B$756,B665,$W$2:$W$756,2),""),"")</f>
        <v>915785</v>
      </c>
      <c r="AB665" s="54" t="n">
        <f aca="false">IF(AND(W665=1,ISNUMBER(AA665)),L665/(L665+AA665),"")</f>
        <v>0.936993997544528</v>
      </c>
    </row>
    <row r="666" customFormat="false" ht="15" hidden="false" customHeight="true" outlineLevel="0" collapsed="false">
      <c r="A666" s="1" t="s">
        <v>274</v>
      </c>
      <c r="B666" s="46" t="n">
        <v>45992</v>
      </c>
      <c r="C666" s="46" t="n">
        <v>46021</v>
      </c>
      <c r="D666" s="47" t="n">
        <v>26455.1</v>
      </c>
      <c r="E666" s="47" t="n">
        <v>26493.8</v>
      </c>
      <c r="F666" s="47" t="n">
        <v>26301.4</v>
      </c>
      <c r="G666" s="47" t="n">
        <v>26334.7</v>
      </c>
      <c r="H666" s="47" t="n">
        <v>26330.1</v>
      </c>
      <c r="I666" s="47" t="n">
        <v>26334.7</v>
      </c>
      <c r="J666" s="48" t="n">
        <v>65083</v>
      </c>
      <c r="K666" s="47" t="n">
        <v>1287548.49</v>
      </c>
      <c r="L666" s="48" t="n">
        <v>14077275</v>
      </c>
      <c r="M666" s="48" t="n">
        <v>458175</v>
      </c>
      <c r="N666" s="47" t="n">
        <v>26175.75</v>
      </c>
      <c r="O666" s="47" t="n">
        <f aca="false">IF(AND(ISNUMBER(G666),ISNUMBER(N666)),G666-N666,"")</f>
        <v>158.950000000001</v>
      </c>
      <c r="P666" s="49" t="n">
        <f aca="false">IF(ISNUMBER(O666),O666/N666,"")</f>
        <v>0.00607241435297941</v>
      </c>
      <c r="Q666" s="50" t="n">
        <f aca="false">C666-B666</f>
        <v>29</v>
      </c>
      <c r="R666" s="51" t="n">
        <f aca="false">IF(AND(C666=C665,ISNUMBER(G666),ISNUMBER(G665)),(G666/G665-1)*100,"")</f>
        <v>-0.199716531374827</v>
      </c>
      <c r="S666" s="51" t="n">
        <f aca="false">IF(AND(C666=C665,ISNUMBER(L666),ISNUMBER(L665)),(L666/L665-1)*100,"")</f>
        <v>3.36420908870629</v>
      </c>
      <c r="T666" s="51" t="n">
        <f aca="false">IF(AND(C666=C665,ISNUMBER(G666),ISNUMBER(G665)),G666-G665,"")</f>
        <v>-52.7000000000007</v>
      </c>
      <c r="U666" s="1" t="str">
        <f aca="false">IF(OR(NOT(ISNUMBER(R666)),NOT(ISNUMBER(S666))),"Not classified",IF(AND(R666&gt;0,S666&gt;0),"Long buildup (interpretation)",IF(AND(R666&lt;0,S666&gt;0),"Short buildup (interpretation)",IF(AND(R666&gt;0,S666&lt;0),"Short covering (interpretation)",IF(AND(R666&lt;0,S666&lt;0),"Long unwinding (interpretation)","Neutral")))))</f>
        <v>Short buildup (interpretation)</v>
      </c>
      <c r="V666" s="52" t="str">
        <f aca="false">TEXT(B666,"yyyy-mm")</f>
        <v>2025-12</v>
      </c>
      <c r="W666" s="52" t="n">
        <f aca="false">1+COUNTIFS($B$2:$B$756,B666,$C$2:$C$756,"&lt;"&amp;C666)</f>
        <v>1</v>
      </c>
      <c r="X666" s="53" t="n">
        <f aca="false">IF(AND(ISNUMBER(P666),Q666&gt;0),P666*365/Q666,"")</f>
        <v>0.0764286634081891</v>
      </c>
      <c r="Y666" s="42" t="n">
        <f aca="false">IF(AND(C667=C666,ISNUMBER(R667)),R667,"")</f>
        <v>-0.462127914880373</v>
      </c>
      <c r="Z666" s="52" t="n">
        <f aca="false">IF(AND(W666=1,Q666&gt;Basis_Analysis!$B$3,ISNUMBER(Y666)),1,0)</f>
        <v>1</v>
      </c>
      <c r="AA666" s="43" t="n">
        <f aca="false">IF(W666=1,IF(SUMIFS($L$2:$L$756,$B$2:$B$756,B666,$W$2:$W$756,2)&gt;0,SUMIFS($L$2:$L$756,$B$2:$B$756,B666,$W$2:$W$756,2),""),"")</f>
        <v>926380</v>
      </c>
      <c r="AB666" s="54" t="n">
        <f aca="false">IF(AND(W666=1,ISNUMBER(AA666)),L666/(L666+AA666),"")</f>
        <v>0.938256378195846</v>
      </c>
    </row>
    <row r="667" customFormat="false" ht="15" hidden="false" customHeight="true" outlineLevel="0" collapsed="false">
      <c r="A667" s="1" t="s">
        <v>274</v>
      </c>
      <c r="B667" s="46" t="n">
        <v>45993</v>
      </c>
      <c r="C667" s="46" t="n">
        <v>46021</v>
      </c>
      <c r="D667" s="47" t="n">
        <v>26278.8</v>
      </c>
      <c r="E667" s="47" t="n">
        <v>26315</v>
      </c>
      <c r="F667" s="47" t="n">
        <v>26181</v>
      </c>
      <c r="G667" s="47" t="n">
        <v>26213</v>
      </c>
      <c r="H667" s="47" t="n">
        <v>26228.9</v>
      </c>
      <c r="I667" s="47" t="n">
        <v>26213</v>
      </c>
      <c r="J667" s="48" t="n">
        <v>67766</v>
      </c>
      <c r="K667" s="47" t="n">
        <v>1333227.12</v>
      </c>
      <c r="L667" s="48" t="n">
        <v>14568000</v>
      </c>
      <c r="M667" s="48" t="n">
        <v>490725</v>
      </c>
      <c r="N667" s="47" t="n">
        <v>26032.2</v>
      </c>
      <c r="O667" s="47" t="n">
        <f aca="false">IF(AND(ISNUMBER(G667),ISNUMBER(N667)),G667-N667,"")</f>
        <v>180.799999999999</v>
      </c>
      <c r="P667" s="49" t="n">
        <f aca="false">IF(ISNUMBER(O667),O667/N667,"")</f>
        <v>0.00694524473536617</v>
      </c>
      <c r="Q667" s="50" t="n">
        <f aca="false">C667-B667</f>
        <v>28</v>
      </c>
      <c r="R667" s="51" t="n">
        <f aca="false">IF(AND(C667=C666,ISNUMBER(G667),ISNUMBER(G666)),(G667/G666-1)*100,"")</f>
        <v>-0.462127914880373</v>
      </c>
      <c r="S667" s="51" t="n">
        <f aca="false">IF(AND(C667=C666,ISNUMBER(L667),ISNUMBER(L666)),(L667/L666-1)*100,"")</f>
        <v>3.48593744172789</v>
      </c>
      <c r="T667" s="51" t="n">
        <f aca="false">IF(AND(C667=C666,ISNUMBER(G667),ISNUMBER(G666)),G667-G666,"")</f>
        <v>-121.700000000001</v>
      </c>
      <c r="U667" s="1" t="str">
        <f aca="false">IF(OR(NOT(ISNUMBER(R667)),NOT(ISNUMBER(S667))),"Not classified",IF(AND(R667&gt;0,S667&gt;0),"Long buildup (interpretation)",IF(AND(R667&lt;0,S667&gt;0),"Short buildup (interpretation)",IF(AND(R667&gt;0,S667&lt;0),"Short covering (interpretation)",IF(AND(R667&lt;0,S667&lt;0),"Long unwinding (interpretation)","Neutral")))))</f>
        <v>Short buildup (interpretation)</v>
      </c>
      <c r="V667" s="52" t="str">
        <f aca="false">TEXT(B667,"yyyy-mm")</f>
        <v>2025-12</v>
      </c>
      <c r="W667" s="52" t="n">
        <f aca="false">1+COUNTIFS($B$2:$B$756,B667,$C$2:$C$756,"&lt;"&amp;C667)</f>
        <v>1</v>
      </c>
      <c r="X667" s="53" t="n">
        <f aca="false">IF(AND(ISNUMBER(P667),Q667&gt;0),P667*365/Q667,"")</f>
        <v>0.0905362260145948</v>
      </c>
      <c r="Y667" s="42" t="n">
        <f aca="false">IF(AND(C668=C667,ISNUMBER(R668)),R668,"")</f>
        <v>-0.292984397054896</v>
      </c>
      <c r="Z667" s="52" t="n">
        <f aca="false">IF(AND(W667=1,Q667&gt;Basis_Analysis!$B$3,ISNUMBER(Y667)),1,0)</f>
        <v>1</v>
      </c>
      <c r="AA667" s="43" t="n">
        <f aca="false">IF(W667=1,IF(SUMIFS($L$2:$L$756,$B$2:$B$756,B667,$W$2:$W$756,2)&gt;0,SUMIFS($L$2:$L$756,$B$2:$B$756,B667,$W$2:$W$756,2),""),"")</f>
        <v>997035</v>
      </c>
      <c r="AB667" s="54" t="n">
        <f aca="false">IF(AND(W667=1,ISNUMBER(AA667)),L667/(L667+AA667),"")</f>
        <v>0.935943928169773</v>
      </c>
    </row>
    <row r="668" customFormat="false" ht="15" hidden="false" customHeight="true" outlineLevel="0" collapsed="false">
      <c r="A668" s="1" t="s">
        <v>274</v>
      </c>
      <c r="B668" s="46" t="n">
        <v>45994</v>
      </c>
      <c r="C668" s="46" t="n">
        <v>46021</v>
      </c>
      <c r="D668" s="47" t="n">
        <v>26225</v>
      </c>
      <c r="E668" s="47" t="n">
        <v>26225</v>
      </c>
      <c r="F668" s="47" t="n">
        <v>26049</v>
      </c>
      <c r="G668" s="47" t="n">
        <v>26136.2</v>
      </c>
      <c r="H668" s="47" t="n">
        <v>26142.7</v>
      </c>
      <c r="I668" s="47" t="n">
        <v>26136.2</v>
      </c>
      <c r="J668" s="48" t="n">
        <v>73515</v>
      </c>
      <c r="K668" s="47" t="n">
        <v>1439210.17</v>
      </c>
      <c r="L668" s="48" t="n">
        <v>15189000</v>
      </c>
      <c r="M668" s="48" t="n">
        <v>621000</v>
      </c>
      <c r="N668" s="47" t="n">
        <v>25986</v>
      </c>
      <c r="O668" s="47" t="n">
        <f aca="false">IF(AND(ISNUMBER(G668),ISNUMBER(N668)),G668-N668,"")</f>
        <v>150.200000000001</v>
      </c>
      <c r="P668" s="49" t="n">
        <f aca="false">IF(ISNUMBER(O668),O668/N668,"")</f>
        <v>0.00578003540367893</v>
      </c>
      <c r="Q668" s="50" t="n">
        <f aca="false">C668-B668</f>
        <v>27</v>
      </c>
      <c r="R668" s="51" t="n">
        <f aca="false">IF(AND(C668=C667,ISNUMBER(G668),ISNUMBER(G667)),(G668/G667-1)*100,"")</f>
        <v>-0.292984397054896</v>
      </c>
      <c r="S668" s="51" t="n">
        <f aca="false">IF(AND(C668=C667,ISNUMBER(L668),ISNUMBER(L667)),(L668/L667-1)*100,"")</f>
        <v>4.26276771004943</v>
      </c>
      <c r="T668" s="51" t="n">
        <f aca="false">IF(AND(C668=C667,ISNUMBER(G668),ISNUMBER(G667)),G668-G667,"")</f>
        <v>-76.7999999999993</v>
      </c>
      <c r="U668" s="1" t="str">
        <f aca="false">IF(OR(NOT(ISNUMBER(R668)),NOT(ISNUMBER(S668))),"Not classified",IF(AND(R668&gt;0,S668&gt;0),"Long buildup (interpretation)",IF(AND(R668&lt;0,S668&gt;0),"Short buildup (interpretation)",IF(AND(R668&gt;0,S668&lt;0),"Short covering (interpretation)",IF(AND(R668&lt;0,S668&lt;0),"Long unwinding (interpretation)","Neutral")))))</f>
        <v>Short buildup (interpretation)</v>
      </c>
      <c r="V668" s="52" t="str">
        <f aca="false">TEXT(B668,"yyyy-mm")</f>
        <v>2025-12</v>
      </c>
      <c r="W668" s="52" t="n">
        <f aca="false">1+COUNTIFS($B$2:$B$756,B668,$C$2:$C$756,"&lt;"&amp;C668)</f>
        <v>1</v>
      </c>
      <c r="X668" s="53" t="n">
        <f aca="false">IF(AND(ISNUMBER(P668),Q668&gt;0),P668*365/Q668,"")</f>
        <v>0.0781375156423263</v>
      </c>
      <c r="Y668" s="42" t="n">
        <f aca="false">IF(AND(C669=C668,ISNUMBER(R669)),R669,"")</f>
        <v>0.192453378838553</v>
      </c>
      <c r="Z668" s="52" t="n">
        <f aca="false">IF(AND(W668=1,Q668&gt;Basis_Analysis!$B$3,ISNUMBER(Y668)),1,0)</f>
        <v>1</v>
      </c>
      <c r="AA668" s="43" t="n">
        <f aca="false">IF(W668=1,IF(SUMIFS($L$2:$L$756,$B$2:$B$756,B668,$W$2:$W$756,2)&gt;0,SUMIFS($L$2:$L$756,$B$2:$B$756,B668,$W$2:$W$756,2),""),"")</f>
        <v>1059045</v>
      </c>
      <c r="AB668" s="54" t="n">
        <f aca="false">IF(AND(W668=1,ISNUMBER(AA668)),L668/(L668+AA668),"")</f>
        <v>0.934820158363668</v>
      </c>
    </row>
    <row r="669" customFormat="false" ht="15" hidden="false" customHeight="true" outlineLevel="0" collapsed="false">
      <c r="A669" s="1" t="s">
        <v>274</v>
      </c>
      <c r="B669" s="46" t="n">
        <v>45995</v>
      </c>
      <c r="C669" s="46" t="n">
        <v>46021</v>
      </c>
      <c r="D669" s="47" t="n">
        <v>26105</v>
      </c>
      <c r="E669" s="47" t="n">
        <v>26243.9</v>
      </c>
      <c r="F669" s="47" t="n">
        <v>26070.2</v>
      </c>
      <c r="G669" s="47" t="n">
        <v>26186.5</v>
      </c>
      <c r="H669" s="47" t="n">
        <v>26189</v>
      </c>
      <c r="I669" s="47" t="n">
        <v>26186.5</v>
      </c>
      <c r="J669" s="48" t="n">
        <v>60874</v>
      </c>
      <c r="K669" s="47" t="n">
        <v>1194515.88</v>
      </c>
      <c r="L669" s="48" t="n">
        <v>15098475</v>
      </c>
      <c r="M669" s="48" t="n">
        <v>-90525</v>
      </c>
      <c r="N669" s="47" t="n">
        <v>26033.75</v>
      </c>
      <c r="O669" s="47" t="n">
        <f aca="false">IF(AND(ISNUMBER(G669),ISNUMBER(N669)),G669-N669,"")</f>
        <v>152.75</v>
      </c>
      <c r="P669" s="49" t="n">
        <f aca="false">IF(ISNUMBER(O669),O669/N669,"")</f>
        <v>0.00586738368464013</v>
      </c>
      <c r="Q669" s="50" t="n">
        <f aca="false">C669-B669</f>
        <v>26</v>
      </c>
      <c r="R669" s="51" t="n">
        <f aca="false">IF(AND(C669=C668,ISNUMBER(G669),ISNUMBER(G668)),(G669/G668-1)*100,"")</f>
        <v>0.192453378838553</v>
      </c>
      <c r="S669" s="51" t="n">
        <f aca="false">IF(AND(C669=C668,ISNUMBER(L669),ISNUMBER(L668)),(L669/L668-1)*100,"")</f>
        <v>-0.59599051945487</v>
      </c>
      <c r="T669" s="51" t="n">
        <f aca="false">IF(AND(C669=C668,ISNUMBER(G669),ISNUMBER(G668)),G669-G668,"")</f>
        <v>50.2999999999993</v>
      </c>
      <c r="U669" s="1" t="str">
        <f aca="false">IF(OR(NOT(ISNUMBER(R669)),NOT(ISNUMBER(S669))),"Not classified",IF(AND(R669&gt;0,S669&gt;0),"Long buildup (interpretation)",IF(AND(R669&lt;0,S669&gt;0),"Short buildup (interpretation)",IF(AND(R669&gt;0,S669&lt;0),"Short covering (interpretation)",IF(AND(R669&lt;0,S669&lt;0),"Long unwinding (interpretation)","Neutral")))))</f>
        <v>Short covering (interpretation)</v>
      </c>
      <c r="V669" s="52" t="str">
        <f aca="false">TEXT(B669,"yyyy-mm")</f>
        <v>2025-12</v>
      </c>
      <c r="W669" s="52" t="n">
        <f aca="false">1+COUNTIFS($B$2:$B$756,B669,$C$2:$C$756,"&lt;"&amp;C669)</f>
        <v>1</v>
      </c>
      <c r="X669" s="53" t="n">
        <f aca="false">IF(AND(ISNUMBER(P669),Q669&gt;0),P669*365/Q669,"")</f>
        <v>0.0823690401882172</v>
      </c>
      <c r="Y669" s="42" t="n">
        <f aca="false">IF(AND(C670=C669,ISNUMBER(R670)),R670,"")</f>
        <v>0.560212323143605</v>
      </c>
      <c r="Z669" s="52" t="n">
        <f aca="false">IF(AND(W669=1,Q669&gt;Basis_Analysis!$B$3,ISNUMBER(Y669)),1,0)</f>
        <v>1</v>
      </c>
      <c r="AA669" s="43" t="n">
        <f aca="false">IF(W669=1,IF(SUMIFS($L$2:$L$756,$B$2:$B$756,B669,$W$2:$W$756,2)&gt;0,SUMIFS($L$2:$L$756,$B$2:$B$756,B669,$W$2:$W$756,2),""),"")</f>
        <v>1069640</v>
      </c>
      <c r="AB669" s="54" t="n">
        <f aca="false">IF(AND(W669=1,ISNUMBER(AA669)),L669/(L669+AA669),"")</f>
        <v>0.933842627913025</v>
      </c>
    </row>
    <row r="670" customFormat="false" ht="15" hidden="false" customHeight="true" outlineLevel="0" collapsed="false">
      <c r="A670" s="1" t="s">
        <v>274</v>
      </c>
      <c r="B670" s="46" t="n">
        <v>45996</v>
      </c>
      <c r="C670" s="46" t="n">
        <v>46021</v>
      </c>
      <c r="D670" s="47" t="n">
        <v>26151.9</v>
      </c>
      <c r="E670" s="47" t="n">
        <v>26370</v>
      </c>
      <c r="F670" s="47" t="n">
        <v>26151.9</v>
      </c>
      <c r="G670" s="47" t="n">
        <v>26333.2</v>
      </c>
      <c r="H670" s="47" t="n">
        <v>26335</v>
      </c>
      <c r="I670" s="47" t="n">
        <v>26333.2</v>
      </c>
      <c r="J670" s="48" t="n">
        <v>78894</v>
      </c>
      <c r="K670" s="47" t="n">
        <v>1555002.95</v>
      </c>
      <c r="L670" s="48" t="n">
        <v>14727075</v>
      </c>
      <c r="M670" s="48" t="n">
        <v>-371400</v>
      </c>
      <c r="N670" s="47" t="n">
        <v>26186.45</v>
      </c>
      <c r="O670" s="47" t="n">
        <f aca="false">IF(AND(ISNUMBER(G670),ISNUMBER(N670)),G670-N670,"")</f>
        <v>146.75</v>
      </c>
      <c r="P670" s="49" t="n">
        <f aca="false">IF(ISNUMBER(O670),O670/N670,"")</f>
        <v>0.00560404331247649</v>
      </c>
      <c r="Q670" s="50" t="n">
        <f aca="false">C670-B670</f>
        <v>25</v>
      </c>
      <c r="R670" s="51" t="n">
        <f aca="false">IF(AND(C670=C669,ISNUMBER(G670),ISNUMBER(G669)),(G670/G669-1)*100,"")</f>
        <v>0.560212323143605</v>
      </c>
      <c r="S670" s="51" t="n">
        <f aca="false">IF(AND(C670=C669,ISNUMBER(L670),ISNUMBER(L669)),(L670/L669-1)*100,"")</f>
        <v>-2.45985107767507</v>
      </c>
      <c r="T670" s="51" t="n">
        <f aca="false">IF(AND(C670=C669,ISNUMBER(G670),ISNUMBER(G669)),G670-G669,"")</f>
        <v>146.700000000001</v>
      </c>
      <c r="U670" s="1" t="str">
        <f aca="false">IF(OR(NOT(ISNUMBER(R670)),NOT(ISNUMBER(S670))),"Not classified",IF(AND(R670&gt;0,S670&gt;0),"Long buildup (interpretation)",IF(AND(R670&lt;0,S670&gt;0),"Short buildup (interpretation)",IF(AND(R670&gt;0,S670&lt;0),"Short covering (interpretation)",IF(AND(R670&lt;0,S670&lt;0),"Long unwinding (interpretation)","Neutral")))))</f>
        <v>Short covering (interpretation)</v>
      </c>
      <c r="V670" s="52" t="str">
        <f aca="false">TEXT(B670,"yyyy-mm")</f>
        <v>2025-12</v>
      </c>
      <c r="W670" s="52" t="n">
        <f aca="false">1+COUNTIFS($B$2:$B$756,B670,$C$2:$C$756,"&lt;"&amp;C670)</f>
        <v>1</v>
      </c>
      <c r="X670" s="53" t="n">
        <f aca="false">IF(AND(ISNUMBER(P670),Q670&gt;0),P670*365/Q670,"")</f>
        <v>0.0818190323621568</v>
      </c>
      <c r="Y670" s="42" t="n">
        <f aca="false">IF(AND(C671=C670,ISNUMBER(R671)),R671,"")</f>
        <v>-1.01962541582489</v>
      </c>
      <c r="Z670" s="52" t="n">
        <f aca="false">IF(AND(W670=1,Q670&gt;Basis_Analysis!$B$3,ISNUMBER(Y670)),1,0)</f>
        <v>1</v>
      </c>
      <c r="AA670" s="43" t="n">
        <f aca="false">IF(W670=1,IF(SUMIFS($L$2:$L$756,$B$2:$B$756,B670,$W$2:$W$756,2)&gt;0,SUMIFS($L$2:$L$756,$B$2:$B$756,B670,$W$2:$W$756,2),""),"")</f>
        <v>1097850</v>
      </c>
      <c r="AB670" s="54" t="n">
        <f aca="false">IF(AND(W670=1,ISNUMBER(AA670)),L670/(L670+AA670),"")</f>
        <v>0.930625263626842</v>
      </c>
    </row>
    <row r="671" customFormat="false" ht="15" hidden="false" customHeight="true" outlineLevel="0" collapsed="false">
      <c r="A671" s="1" t="s">
        <v>274</v>
      </c>
      <c r="B671" s="46" t="n">
        <v>45999</v>
      </c>
      <c r="C671" s="46" t="n">
        <v>46021</v>
      </c>
      <c r="D671" s="47" t="n">
        <v>26325</v>
      </c>
      <c r="E671" s="47" t="n">
        <v>26325</v>
      </c>
      <c r="F671" s="47" t="n">
        <v>26030</v>
      </c>
      <c r="G671" s="47" t="n">
        <v>26064.7</v>
      </c>
      <c r="H671" s="47" t="n">
        <v>26050.1</v>
      </c>
      <c r="I671" s="47" t="n">
        <v>26064.7</v>
      </c>
      <c r="J671" s="48" t="n">
        <v>88146</v>
      </c>
      <c r="K671" s="47" t="n">
        <v>1729161.8</v>
      </c>
      <c r="L671" s="48" t="n">
        <v>15977700</v>
      </c>
      <c r="M671" s="48" t="n">
        <v>1250625</v>
      </c>
      <c r="N671" s="47" t="n">
        <v>25960.55</v>
      </c>
      <c r="O671" s="47" t="n">
        <f aca="false">IF(AND(ISNUMBER(G671),ISNUMBER(N671)),G671-N671,"")</f>
        <v>104.150000000001</v>
      </c>
      <c r="P671" s="49" t="n">
        <f aca="false">IF(ISNUMBER(O671),O671/N671,"")</f>
        <v>0.00401185645142347</v>
      </c>
      <c r="Q671" s="50" t="n">
        <f aca="false">C671-B671</f>
        <v>22</v>
      </c>
      <c r="R671" s="51" t="n">
        <f aca="false">IF(AND(C671=C670,ISNUMBER(G671),ISNUMBER(G670)),(G671/G670-1)*100,"")</f>
        <v>-1.01962541582489</v>
      </c>
      <c r="S671" s="51" t="n">
        <f aca="false">IF(AND(C671=C670,ISNUMBER(L671),ISNUMBER(L670)),(L671/L670-1)*100,"")</f>
        <v>8.4920121612744</v>
      </c>
      <c r="T671" s="51" t="n">
        <f aca="false">IF(AND(C671=C670,ISNUMBER(G671),ISNUMBER(G670)),G671-G670,"")</f>
        <v>-268.5</v>
      </c>
      <c r="U671" s="1" t="str">
        <f aca="false">IF(OR(NOT(ISNUMBER(R671)),NOT(ISNUMBER(S671))),"Not classified",IF(AND(R671&gt;0,S671&gt;0),"Long buildup (interpretation)",IF(AND(R671&lt;0,S671&gt;0),"Short buildup (interpretation)",IF(AND(R671&gt;0,S671&lt;0),"Short covering (interpretation)",IF(AND(R671&lt;0,S671&lt;0),"Long unwinding (interpretation)","Neutral")))))</f>
        <v>Short buildup (interpretation)</v>
      </c>
      <c r="V671" s="52" t="str">
        <f aca="false">TEXT(B671,"yyyy-mm")</f>
        <v>2025-12</v>
      </c>
      <c r="W671" s="52" t="n">
        <f aca="false">1+COUNTIFS($B$2:$B$756,B671,$C$2:$C$756,"&lt;"&amp;C671)</f>
        <v>1</v>
      </c>
      <c r="X671" s="53" t="n">
        <f aca="false">IF(AND(ISNUMBER(P671),Q671&gt;0),P671*365/Q671,"")</f>
        <v>0.0665603456713439</v>
      </c>
      <c r="Y671" s="42" t="n">
        <f aca="false">IF(AND(C672=C671,ISNUMBER(R672)),R672,"")</f>
        <v>-0.400925389511486</v>
      </c>
      <c r="Z671" s="52" t="n">
        <f aca="false">IF(AND(W671=1,Q671&gt;Basis_Analysis!$B$3,ISNUMBER(Y671)),1,0)</f>
        <v>1</v>
      </c>
      <c r="AA671" s="43" t="n">
        <f aca="false">IF(W671=1,IF(SUMIFS($L$2:$L$756,$B$2:$B$756,B671,$W$2:$W$756,2)&gt;0,SUMIFS($L$2:$L$756,$B$2:$B$756,B671,$W$2:$W$756,2),""),"")</f>
        <v>1171430</v>
      </c>
      <c r="AB671" s="54" t="n">
        <f aca="false">IF(AND(W671=1,ISNUMBER(AA671)),L671/(L671+AA671),"")</f>
        <v>0.931691578523225</v>
      </c>
    </row>
    <row r="672" customFormat="false" ht="15" hidden="false" customHeight="true" outlineLevel="0" collapsed="false">
      <c r="A672" s="1" t="s">
        <v>274</v>
      </c>
      <c r="B672" s="46" t="n">
        <v>46000</v>
      </c>
      <c r="C672" s="46" t="n">
        <v>46021</v>
      </c>
      <c r="D672" s="47" t="n">
        <v>25999</v>
      </c>
      <c r="E672" s="47" t="n">
        <v>26039</v>
      </c>
      <c r="F672" s="47" t="n">
        <v>25875</v>
      </c>
      <c r="G672" s="47" t="n">
        <v>25960.2</v>
      </c>
      <c r="H672" s="47" t="n">
        <v>25958.8</v>
      </c>
      <c r="I672" s="47" t="n">
        <v>25960.2</v>
      </c>
      <c r="J672" s="48" t="n">
        <v>90887</v>
      </c>
      <c r="K672" s="47" t="n">
        <v>1769317.83</v>
      </c>
      <c r="L672" s="48" t="n">
        <v>16474200</v>
      </c>
      <c r="M672" s="48" t="n">
        <v>496500</v>
      </c>
      <c r="N672" s="47" t="n">
        <v>25839.65</v>
      </c>
      <c r="O672" s="47" t="n">
        <f aca="false">IF(AND(ISNUMBER(G672),ISNUMBER(N672)),G672-N672,"")</f>
        <v>120.549999999999</v>
      </c>
      <c r="P672" s="49" t="n">
        <f aca="false">IF(ISNUMBER(O672),O672/N672,"")</f>
        <v>0.00466531086914874</v>
      </c>
      <c r="Q672" s="50" t="n">
        <f aca="false">C672-B672</f>
        <v>21</v>
      </c>
      <c r="R672" s="51" t="n">
        <f aca="false">IF(AND(C672=C671,ISNUMBER(G672),ISNUMBER(G671)),(G672/G671-1)*100,"")</f>
        <v>-0.400925389511486</v>
      </c>
      <c r="S672" s="51" t="n">
        <f aca="false">IF(AND(C672=C671,ISNUMBER(L672),ISNUMBER(L671)),(L672/L671-1)*100,"")</f>
        <v>3.10745601682345</v>
      </c>
      <c r="T672" s="51" t="n">
        <f aca="false">IF(AND(C672=C671,ISNUMBER(G672),ISNUMBER(G671)),G672-G671,"")</f>
        <v>-104.5</v>
      </c>
      <c r="U672" s="1" t="str">
        <f aca="false">IF(OR(NOT(ISNUMBER(R672)),NOT(ISNUMBER(S672))),"Not classified",IF(AND(R672&gt;0,S672&gt;0),"Long buildup (interpretation)",IF(AND(R672&lt;0,S672&gt;0),"Short buildup (interpretation)",IF(AND(R672&gt;0,S672&lt;0),"Short covering (interpretation)",IF(AND(R672&lt;0,S672&lt;0),"Long unwinding (interpretation)","Neutral")))))</f>
        <v>Short buildup (interpretation)</v>
      </c>
      <c r="V672" s="52" t="str">
        <f aca="false">TEXT(B672,"yyyy-mm")</f>
        <v>2025-12</v>
      </c>
      <c r="W672" s="52" t="n">
        <f aca="false">1+COUNTIFS($B$2:$B$756,B672,$C$2:$C$756,"&lt;"&amp;C672)</f>
        <v>1</v>
      </c>
      <c r="X672" s="53" t="n">
        <f aca="false">IF(AND(ISNUMBER(P672),Q672&gt;0),P672*365/Q672,"")</f>
        <v>0.0810875460590138</v>
      </c>
      <c r="Y672" s="42" t="n">
        <f aca="false">IF(AND(C673=C672,ISNUMBER(R673)),R673,"")</f>
        <v>-0.37095245799339</v>
      </c>
      <c r="Z672" s="52" t="n">
        <f aca="false">IF(AND(W672=1,Q672&gt;Basis_Analysis!$B$3,ISNUMBER(Y672)),1,0)</f>
        <v>1</v>
      </c>
      <c r="AA672" s="43" t="n">
        <f aca="false">IF(W672=1,IF(SUMIFS($L$2:$L$756,$B$2:$B$756,B672,$W$2:$W$756,2)&gt;0,SUMIFS($L$2:$L$756,$B$2:$B$756,B672,$W$2:$W$756,2),""),"")</f>
        <v>1257490</v>
      </c>
      <c r="AB672" s="54" t="n">
        <f aca="false">IF(AND(W672=1,ISNUMBER(AA672)),L672/(L672+AA672),"")</f>
        <v>0.929082337893342</v>
      </c>
    </row>
    <row r="673" customFormat="false" ht="15" hidden="false" customHeight="true" outlineLevel="0" collapsed="false">
      <c r="A673" s="1" t="s">
        <v>274</v>
      </c>
      <c r="B673" s="46" t="n">
        <v>46001</v>
      </c>
      <c r="C673" s="46" t="n">
        <v>46021</v>
      </c>
      <c r="D673" s="47" t="n">
        <v>25882.3</v>
      </c>
      <c r="E673" s="47" t="n">
        <v>26061</v>
      </c>
      <c r="F673" s="47" t="n">
        <v>25842</v>
      </c>
      <c r="G673" s="47" t="n">
        <v>25863.9</v>
      </c>
      <c r="H673" s="47" t="n">
        <v>25857</v>
      </c>
      <c r="I673" s="47" t="n">
        <v>25863.9</v>
      </c>
      <c r="J673" s="48" t="n">
        <v>66432</v>
      </c>
      <c r="K673" s="47" t="n">
        <v>1292216.24</v>
      </c>
      <c r="L673" s="48" t="n">
        <v>16857150</v>
      </c>
      <c r="M673" s="48" t="n">
        <v>382950</v>
      </c>
      <c r="N673" s="47" t="n">
        <v>25758</v>
      </c>
      <c r="O673" s="47" t="n">
        <f aca="false">IF(AND(ISNUMBER(G673),ISNUMBER(N673)),G673-N673,"")</f>
        <v>105.900000000001</v>
      </c>
      <c r="P673" s="49" t="n">
        <f aca="false">IF(ISNUMBER(O673),O673/N673,"")</f>
        <v>0.00411134404845102</v>
      </c>
      <c r="Q673" s="50" t="n">
        <f aca="false">C673-B673</f>
        <v>20</v>
      </c>
      <c r="R673" s="51" t="n">
        <f aca="false">IF(AND(C673=C672,ISNUMBER(G673),ISNUMBER(G672)),(G673/G672-1)*100,"")</f>
        <v>-0.37095245799339</v>
      </c>
      <c r="S673" s="51" t="n">
        <f aca="false">IF(AND(C673=C672,ISNUMBER(L673),ISNUMBER(L672)),(L673/L672-1)*100,"")</f>
        <v>2.32454383217395</v>
      </c>
      <c r="T673" s="51" t="n">
        <f aca="false">IF(AND(C673=C672,ISNUMBER(G673),ISNUMBER(G672)),G673-G672,"")</f>
        <v>-96.2999999999993</v>
      </c>
      <c r="U673" s="1" t="str">
        <f aca="false">IF(OR(NOT(ISNUMBER(R673)),NOT(ISNUMBER(S673))),"Not classified",IF(AND(R673&gt;0,S673&gt;0),"Long buildup (interpretation)",IF(AND(R673&lt;0,S673&gt;0),"Short buildup (interpretation)",IF(AND(R673&gt;0,S673&lt;0),"Short covering (interpretation)",IF(AND(R673&lt;0,S673&lt;0),"Long unwinding (interpretation)","Neutral")))))</f>
        <v>Short buildup (interpretation)</v>
      </c>
      <c r="V673" s="52" t="str">
        <f aca="false">TEXT(B673,"yyyy-mm")</f>
        <v>2025-12</v>
      </c>
      <c r="W673" s="52" t="n">
        <f aca="false">1+COUNTIFS($B$2:$B$756,B673,$C$2:$C$756,"&lt;"&amp;C673)</f>
        <v>1</v>
      </c>
      <c r="X673" s="53" t="n">
        <f aca="false">IF(AND(ISNUMBER(P673),Q673&gt;0),P673*365/Q673,"")</f>
        <v>0.0750320288842312</v>
      </c>
      <c r="Y673" s="42" t="n">
        <f aca="false">IF(AND(C674=C673,ISNUMBER(R674)),R674,"")</f>
        <v>0.562946810032505</v>
      </c>
      <c r="Z673" s="52" t="n">
        <f aca="false">IF(AND(W673=1,Q673&gt;Basis_Analysis!$B$3,ISNUMBER(Y673)),1,0)</f>
        <v>1</v>
      </c>
      <c r="AA673" s="43" t="n">
        <f aca="false">IF(W673=1,IF(SUMIFS($L$2:$L$756,$B$2:$B$756,B673,$W$2:$W$756,2)&gt;0,SUMIFS($L$2:$L$756,$B$2:$B$756,B673,$W$2:$W$756,2),""),"")</f>
        <v>1314625</v>
      </c>
      <c r="AB673" s="54" t="n">
        <f aca="false">IF(AND(W673=1,ISNUMBER(AA673)),L673/(L673+AA673),"")</f>
        <v>0.92765566379729</v>
      </c>
    </row>
    <row r="674" customFormat="false" ht="15" hidden="false" customHeight="true" outlineLevel="0" collapsed="false">
      <c r="A674" s="1" t="s">
        <v>274</v>
      </c>
      <c r="B674" s="46" t="n">
        <v>46002</v>
      </c>
      <c r="C674" s="46" t="n">
        <v>46021</v>
      </c>
      <c r="D674" s="47" t="n">
        <v>25910</v>
      </c>
      <c r="E674" s="47" t="n">
        <v>26038.9</v>
      </c>
      <c r="F674" s="47" t="n">
        <v>25804.1</v>
      </c>
      <c r="G674" s="47" t="n">
        <v>26009.5</v>
      </c>
      <c r="H674" s="47" t="n">
        <v>26014</v>
      </c>
      <c r="I674" s="47" t="n">
        <v>26009.5</v>
      </c>
      <c r="J674" s="48" t="n">
        <v>74247</v>
      </c>
      <c r="K674" s="47" t="n">
        <v>1445038.63</v>
      </c>
      <c r="L674" s="48" t="n">
        <v>16285800</v>
      </c>
      <c r="M674" s="48" t="n">
        <v>-571350</v>
      </c>
      <c r="N674" s="47" t="n">
        <v>25898.55</v>
      </c>
      <c r="O674" s="47" t="n">
        <f aca="false">IF(AND(ISNUMBER(G674),ISNUMBER(N674)),G674-N674,"")</f>
        <v>110.950000000001</v>
      </c>
      <c r="P674" s="49" t="n">
        <f aca="false">IF(ISNUMBER(O674),O674/N674,"")</f>
        <v>0.00428402362294417</v>
      </c>
      <c r="Q674" s="50" t="n">
        <f aca="false">C674-B674</f>
        <v>19</v>
      </c>
      <c r="R674" s="51" t="n">
        <f aca="false">IF(AND(C674=C673,ISNUMBER(G674),ISNUMBER(G673)),(G674/G673-1)*100,"")</f>
        <v>0.562946810032505</v>
      </c>
      <c r="S674" s="51" t="n">
        <f aca="false">IF(AND(C674=C673,ISNUMBER(L674),ISNUMBER(L673)),(L674/L673-1)*100,"")</f>
        <v>-3.38936297060891</v>
      </c>
      <c r="T674" s="51" t="n">
        <f aca="false">IF(AND(C674=C673,ISNUMBER(G674),ISNUMBER(G673)),G674-G673,"")</f>
        <v>145.599999999999</v>
      </c>
      <c r="U674" s="1" t="str">
        <f aca="false">IF(OR(NOT(ISNUMBER(R674)),NOT(ISNUMBER(S674))),"Not classified",IF(AND(R674&gt;0,S674&gt;0),"Long buildup (interpretation)",IF(AND(R674&lt;0,S674&gt;0),"Short buildup (interpretation)",IF(AND(R674&gt;0,S674&lt;0),"Short covering (interpretation)",IF(AND(R674&lt;0,S674&lt;0),"Long unwinding (interpretation)","Neutral")))))</f>
        <v>Short covering (interpretation)</v>
      </c>
      <c r="V674" s="52" t="str">
        <f aca="false">TEXT(B674,"yyyy-mm")</f>
        <v>2025-12</v>
      </c>
      <c r="W674" s="52" t="n">
        <f aca="false">1+COUNTIFS($B$2:$B$756,B674,$C$2:$C$756,"&lt;"&amp;C674)</f>
        <v>1</v>
      </c>
      <c r="X674" s="53" t="n">
        <f aca="false">IF(AND(ISNUMBER(P674),Q674&gt;0),P674*365/Q674,"")</f>
        <v>0.0822983485460327</v>
      </c>
      <c r="Y674" s="42" t="n">
        <f aca="false">IF(AND(C675=C674,ISNUMBER(R675)),R675,"")</f>
        <v>0.52250139372152</v>
      </c>
      <c r="Z674" s="52" t="n">
        <f aca="false">IF(AND(W674=1,Q674&gt;Basis_Analysis!$B$3,ISNUMBER(Y674)),1,0)</f>
        <v>1</v>
      </c>
      <c r="AA674" s="43" t="n">
        <f aca="false">IF(W674=1,IF(SUMIFS($L$2:$L$756,$B$2:$B$756,B674,$W$2:$W$756,2)&gt;0,SUMIFS($L$2:$L$756,$B$2:$B$756,B674,$W$2:$W$756,2),""),"")</f>
        <v>1376050</v>
      </c>
      <c r="AB674" s="54" t="n">
        <f aca="false">IF(AND(W674=1,ISNUMBER(AA674)),L674/(L674+AA674),"")</f>
        <v>0.922089135622826</v>
      </c>
    </row>
    <row r="675" customFormat="false" ht="15" hidden="false" customHeight="true" outlineLevel="0" collapsed="false">
      <c r="A675" s="1" t="s">
        <v>274</v>
      </c>
      <c r="B675" s="46" t="n">
        <v>46003</v>
      </c>
      <c r="C675" s="46" t="n">
        <v>46021</v>
      </c>
      <c r="D675" s="47" t="n">
        <v>26100</v>
      </c>
      <c r="E675" s="47" t="n">
        <v>26158.5</v>
      </c>
      <c r="F675" s="47" t="n">
        <v>26040.1</v>
      </c>
      <c r="G675" s="47" t="n">
        <v>26145.4</v>
      </c>
      <c r="H675" s="47" t="n">
        <v>26148</v>
      </c>
      <c r="I675" s="47" t="n">
        <v>26145.4</v>
      </c>
      <c r="J675" s="48" t="n">
        <v>63960</v>
      </c>
      <c r="K675" s="47" t="n">
        <v>1252843.33</v>
      </c>
      <c r="L675" s="48" t="n">
        <v>16302825</v>
      </c>
      <c r="M675" s="48" t="n">
        <v>17025</v>
      </c>
      <c r="N675" s="47" t="n">
        <v>26046.95</v>
      </c>
      <c r="O675" s="47" t="n">
        <f aca="false">IF(AND(ISNUMBER(G675),ISNUMBER(N675)),G675-N675,"")</f>
        <v>98.4500000000007</v>
      </c>
      <c r="P675" s="49" t="n">
        <f aca="false">IF(ISNUMBER(O675),O675/N675,"")</f>
        <v>0.00377971317179173</v>
      </c>
      <c r="Q675" s="50" t="n">
        <f aca="false">C675-B675</f>
        <v>18</v>
      </c>
      <c r="R675" s="51" t="n">
        <f aca="false">IF(AND(C675=C674,ISNUMBER(G675),ISNUMBER(G674)),(G675/G674-1)*100,"")</f>
        <v>0.52250139372152</v>
      </c>
      <c r="S675" s="51" t="n">
        <f aca="false">IF(AND(C675=C674,ISNUMBER(L675),ISNUMBER(L674)),(L675/L674-1)*100,"")</f>
        <v>0.104538923479347</v>
      </c>
      <c r="T675" s="51" t="n">
        <f aca="false">IF(AND(C675=C674,ISNUMBER(G675),ISNUMBER(G674)),G675-G674,"")</f>
        <v>135.900000000001</v>
      </c>
      <c r="U675" s="1" t="str">
        <f aca="false">IF(OR(NOT(ISNUMBER(R675)),NOT(ISNUMBER(S675))),"Not classified",IF(AND(R675&gt;0,S675&gt;0),"Long buildup (interpretation)",IF(AND(R675&lt;0,S675&gt;0),"Short buildup (interpretation)",IF(AND(R675&gt;0,S675&lt;0),"Short covering (interpretation)",IF(AND(R675&lt;0,S675&lt;0),"Long unwinding (interpretation)","Neutral")))))</f>
        <v>Long buildup (interpretation)</v>
      </c>
      <c r="V675" s="52" t="str">
        <f aca="false">TEXT(B675,"yyyy-mm")</f>
        <v>2025-12</v>
      </c>
      <c r="W675" s="52" t="n">
        <f aca="false">1+COUNTIFS($B$2:$B$756,B675,$C$2:$C$756,"&lt;"&amp;C675)</f>
        <v>1</v>
      </c>
      <c r="X675" s="53" t="n">
        <f aca="false">IF(AND(ISNUMBER(P675),Q675&gt;0),P675*365/Q675,"")</f>
        <v>0.0766441837613324</v>
      </c>
      <c r="Y675" s="42" t="n">
        <f aca="false">IF(AND(C676=C675,ISNUMBER(R676)),R676,"")</f>
        <v>-0.140368860296647</v>
      </c>
      <c r="Z675" s="52" t="n">
        <f aca="false">IF(AND(W675=1,Q675&gt;Basis_Analysis!$B$3,ISNUMBER(Y675)),1,0)</f>
        <v>1</v>
      </c>
      <c r="AA675" s="43" t="n">
        <f aca="false">IF(W675=1,IF(SUMIFS($L$2:$L$756,$B$2:$B$756,B675,$W$2:$W$756,2)&gt;0,SUMIFS($L$2:$L$756,$B$2:$B$756,B675,$W$2:$W$756,2),""),"")</f>
        <v>1399775</v>
      </c>
      <c r="AB675" s="54" t="n">
        <f aca="false">IF(AND(W675=1,ISNUMBER(AA675)),L675/(L675+AA675),"")</f>
        <v>0.920928281721329</v>
      </c>
    </row>
    <row r="676" customFormat="false" ht="15" hidden="false" customHeight="true" outlineLevel="0" collapsed="false">
      <c r="A676" s="1" t="s">
        <v>274</v>
      </c>
      <c r="B676" s="46" t="n">
        <v>46006</v>
      </c>
      <c r="C676" s="46" t="n">
        <v>46021</v>
      </c>
      <c r="D676" s="47" t="n">
        <v>26070</v>
      </c>
      <c r="E676" s="47" t="n">
        <v>26132.5</v>
      </c>
      <c r="F676" s="47" t="n">
        <v>25987.8</v>
      </c>
      <c r="G676" s="47" t="n">
        <v>26108.7</v>
      </c>
      <c r="H676" s="47" t="n">
        <v>26103.3</v>
      </c>
      <c r="I676" s="47" t="n">
        <v>26108.7</v>
      </c>
      <c r="J676" s="48" t="n">
        <v>60278</v>
      </c>
      <c r="K676" s="47" t="n">
        <v>1178425.6</v>
      </c>
      <c r="L676" s="48" t="n">
        <v>15875025</v>
      </c>
      <c r="M676" s="48" t="n">
        <v>-427800</v>
      </c>
      <c r="N676" s="47" t="n">
        <v>26027.3</v>
      </c>
      <c r="O676" s="47" t="n">
        <f aca="false">IF(AND(ISNUMBER(G676),ISNUMBER(N676)),G676-N676,"")</f>
        <v>81.4000000000015</v>
      </c>
      <c r="P676" s="49" t="n">
        <f aca="false">IF(ISNUMBER(O676),O676/N676,"")</f>
        <v>0.0031274853711296</v>
      </c>
      <c r="Q676" s="50" t="n">
        <f aca="false">C676-B676</f>
        <v>15</v>
      </c>
      <c r="R676" s="51" t="n">
        <f aca="false">IF(AND(C676=C675,ISNUMBER(G676),ISNUMBER(G675)),(G676/G675-1)*100,"")</f>
        <v>-0.140368860296647</v>
      </c>
      <c r="S676" s="51" t="n">
        <f aca="false">IF(AND(C676=C675,ISNUMBER(L676),ISNUMBER(L675)),(L676/L675-1)*100,"")</f>
        <v>-2.62408508954737</v>
      </c>
      <c r="T676" s="51" t="n">
        <f aca="false">IF(AND(C676=C675,ISNUMBER(G676),ISNUMBER(G675)),G676-G675,"")</f>
        <v>-36.7000000000007</v>
      </c>
      <c r="U676" s="1" t="str">
        <f aca="false">IF(OR(NOT(ISNUMBER(R676)),NOT(ISNUMBER(S676))),"Not classified",IF(AND(R676&gt;0,S676&gt;0),"Long buildup (interpretation)",IF(AND(R676&lt;0,S676&gt;0),"Short buildup (interpretation)",IF(AND(R676&gt;0,S676&lt;0),"Short covering (interpretation)",IF(AND(R676&lt;0,S676&lt;0),"Long unwinding (interpretation)","Neutral")))))</f>
        <v>Long unwinding (interpretation)</v>
      </c>
      <c r="V676" s="52" t="str">
        <f aca="false">TEXT(B676,"yyyy-mm")</f>
        <v>2025-12</v>
      </c>
      <c r="W676" s="52" t="n">
        <f aca="false">1+COUNTIFS($B$2:$B$756,B676,$C$2:$C$756,"&lt;"&amp;C676)</f>
        <v>1</v>
      </c>
      <c r="X676" s="53" t="n">
        <f aca="false">IF(AND(ISNUMBER(P676),Q676&gt;0),P676*365/Q676,"")</f>
        <v>0.0761021440308203</v>
      </c>
      <c r="Y676" s="42" t="n">
        <f aca="false">IF(AND(C677=C676,ISNUMBER(R677)),R677,"")</f>
        <v>-0.643463673028533</v>
      </c>
      <c r="Z676" s="52" t="n">
        <f aca="false">IF(AND(W676=1,Q676&gt;Basis_Analysis!$B$3,ISNUMBER(Y676)),1,0)</f>
        <v>1</v>
      </c>
      <c r="AA676" s="43" t="n">
        <f aca="false">IF(W676=1,IF(SUMIFS($L$2:$L$756,$B$2:$B$756,B676,$W$2:$W$756,2)&gt;0,SUMIFS($L$2:$L$756,$B$2:$B$756,B676,$W$2:$W$756,2),""),"")</f>
        <v>1420055</v>
      </c>
      <c r="AB676" s="54" t="n">
        <f aca="false">IF(AND(W676=1,ISNUMBER(AA676)),L676/(L676+AA676),"")</f>
        <v>0.917892545163133</v>
      </c>
    </row>
    <row r="677" customFormat="false" ht="15" hidden="false" customHeight="true" outlineLevel="0" collapsed="false">
      <c r="A677" s="1" t="s">
        <v>274</v>
      </c>
      <c r="B677" s="46" t="n">
        <v>46007</v>
      </c>
      <c r="C677" s="46" t="n">
        <v>46021</v>
      </c>
      <c r="D677" s="47" t="n">
        <v>26012</v>
      </c>
      <c r="E677" s="47" t="n">
        <v>26045</v>
      </c>
      <c r="F677" s="47" t="n">
        <v>25929.5</v>
      </c>
      <c r="G677" s="47" t="n">
        <v>25940.7</v>
      </c>
      <c r="H677" s="47" t="n">
        <v>25932</v>
      </c>
      <c r="I677" s="47" t="n">
        <v>25940.7</v>
      </c>
      <c r="J677" s="48" t="n">
        <v>64790</v>
      </c>
      <c r="K677" s="47" t="n">
        <v>1262346.76</v>
      </c>
      <c r="L677" s="48" t="n">
        <v>16142550</v>
      </c>
      <c r="M677" s="48" t="n">
        <v>267525</v>
      </c>
      <c r="N677" s="47" t="n">
        <v>25860.1</v>
      </c>
      <c r="O677" s="47" t="n">
        <f aca="false">IF(AND(ISNUMBER(G677),ISNUMBER(N677)),G677-N677,"")</f>
        <v>80.6000000000022</v>
      </c>
      <c r="P677" s="49" t="n">
        <f aca="false">IF(ISNUMBER(O677),O677/N677,"")</f>
        <v>0.00311677062347022</v>
      </c>
      <c r="Q677" s="50" t="n">
        <f aca="false">C677-B677</f>
        <v>14</v>
      </c>
      <c r="R677" s="51" t="n">
        <f aca="false">IF(AND(C677=C676,ISNUMBER(G677),ISNUMBER(G676)),(G677/G676-1)*100,"")</f>
        <v>-0.643463673028533</v>
      </c>
      <c r="S677" s="51" t="n">
        <f aca="false">IF(AND(C677=C676,ISNUMBER(L677),ISNUMBER(L676)),(L677/L676-1)*100,"")</f>
        <v>1.68519419654458</v>
      </c>
      <c r="T677" s="51" t="n">
        <f aca="false">IF(AND(C677=C676,ISNUMBER(G677),ISNUMBER(G676)),G677-G676,"")</f>
        <v>-168</v>
      </c>
      <c r="U677" s="1" t="str">
        <f aca="false">IF(OR(NOT(ISNUMBER(R677)),NOT(ISNUMBER(S677))),"Not classified",IF(AND(R677&gt;0,S677&gt;0),"Long buildup (interpretation)",IF(AND(R677&lt;0,S677&gt;0),"Short buildup (interpretation)",IF(AND(R677&gt;0,S677&lt;0),"Short covering (interpretation)",IF(AND(R677&lt;0,S677&lt;0),"Long unwinding (interpretation)","Neutral")))))</f>
        <v>Short buildup (interpretation)</v>
      </c>
      <c r="V677" s="52" t="str">
        <f aca="false">TEXT(B677,"yyyy-mm")</f>
        <v>2025-12</v>
      </c>
      <c r="W677" s="52" t="n">
        <f aca="false">1+COUNTIFS($B$2:$B$756,B677,$C$2:$C$756,"&lt;"&amp;C677)</f>
        <v>1</v>
      </c>
      <c r="X677" s="53" t="n">
        <f aca="false">IF(AND(ISNUMBER(P677),Q677&gt;0),P677*365/Q677,"")</f>
        <v>0.0812586626833307</v>
      </c>
      <c r="Y677" s="42" t="n">
        <f aca="false">IF(AND(C678=C677,ISNUMBER(R678)),R678,"")</f>
        <v>-0.165377187200044</v>
      </c>
      <c r="Z677" s="52" t="n">
        <f aca="false">IF(AND(W677=1,Q677&gt;Basis_Analysis!$B$3,ISNUMBER(Y677)),1,0)</f>
        <v>1</v>
      </c>
      <c r="AA677" s="43" t="n">
        <f aca="false">IF(W677=1,IF(SUMIFS($L$2:$L$756,$B$2:$B$756,B677,$W$2:$W$756,2)&gt;0,SUMIFS($L$2:$L$756,$B$2:$B$756,B677,$W$2:$W$756,2),""),"")</f>
        <v>1501825</v>
      </c>
      <c r="AB677" s="54" t="n">
        <f aca="false">IF(AND(W677=1,ISNUMBER(AA677)),L677/(L677+AA677),"")</f>
        <v>0.914883638553363</v>
      </c>
    </row>
    <row r="678" customFormat="false" ht="15" hidden="false" customHeight="true" outlineLevel="0" collapsed="false">
      <c r="A678" s="1" t="s">
        <v>274</v>
      </c>
      <c r="B678" s="46" t="n">
        <v>46008</v>
      </c>
      <c r="C678" s="46" t="n">
        <v>46021</v>
      </c>
      <c r="D678" s="47" t="n">
        <v>25925</v>
      </c>
      <c r="E678" s="47" t="n">
        <v>26004.9</v>
      </c>
      <c r="F678" s="47" t="n">
        <v>25857.1</v>
      </c>
      <c r="G678" s="47" t="n">
        <v>25897.8</v>
      </c>
      <c r="H678" s="47" t="n">
        <v>25910</v>
      </c>
      <c r="I678" s="47" t="n">
        <v>25897.8</v>
      </c>
      <c r="J678" s="48" t="n">
        <v>48124</v>
      </c>
      <c r="K678" s="47" t="n">
        <v>935268.48</v>
      </c>
      <c r="L678" s="48" t="n">
        <v>16414725</v>
      </c>
      <c r="M678" s="48" t="n">
        <v>272175</v>
      </c>
      <c r="N678" s="47" t="n">
        <v>25818.55</v>
      </c>
      <c r="O678" s="47" t="n">
        <f aca="false">IF(AND(ISNUMBER(G678),ISNUMBER(N678)),G678-N678,"")</f>
        <v>79.25</v>
      </c>
      <c r="P678" s="49" t="n">
        <f aca="false">IF(ISNUMBER(O678),O678/N678,"")</f>
        <v>0.0030694984807435</v>
      </c>
      <c r="Q678" s="50" t="n">
        <f aca="false">C678-B678</f>
        <v>13</v>
      </c>
      <c r="R678" s="51" t="n">
        <f aca="false">IF(AND(C678=C677,ISNUMBER(G678),ISNUMBER(G677)),(G678/G677-1)*100,"")</f>
        <v>-0.165377187200044</v>
      </c>
      <c r="S678" s="51" t="n">
        <f aca="false">IF(AND(C678=C677,ISNUMBER(L678),ISNUMBER(L677)),(L678/L677-1)*100,"")</f>
        <v>1.68607190313799</v>
      </c>
      <c r="T678" s="51" t="n">
        <f aca="false">IF(AND(C678=C677,ISNUMBER(G678),ISNUMBER(G677)),G678-G677,"")</f>
        <v>-42.9000000000015</v>
      </c>
      <c r="U678" s="1" t="str">
        <f aca="false">IF(OR(NOT(ISNUMBER(R678)),NOT(ISNUMBER(S678))),"Not classified",IF(AND(R678&gt;0,S678&gt;0),"Long buildup (interpretation)",IF(AND(R678&lt;0,S678&gt;0),"Short buildup (interpretation)",IF(AND(R678&gt;0,S678&lt;0),"Short covering (interpretation)",IF(AND(R678&lt;0,S678&lt;0),"Long unwinding (interpretation)","Neutral")))))</f>
        <v>Short buildup (interpretation)</v>
      </c>
      <c r="V678" s="52" t="str">
        <f aca="false">TEXT(B678,"yyyy-mm")</f>
        <v>2025-12</v>
      </c>
      <c r="W678" s="52" t="n">
        <f aca="false">1+COUNTIFS($B$2:$B$756,B678,$C$2:$C$756,"&lt;"&amp;C678)</f>
        <v>1</v>
      </c>
      <c r="X678" s="53" t="n">
        <f aca="false">IF(AND(ISNUMBER(P678),Q678&gt;0),P678*365/Q678,"")</f>
        <v>0.0861820727285674</v>
      </c>
      <c r="Y678" s="42" t="n">
        <f aca="false">IF(AND(C679=C678,ISNUMBER(R679)),R679,"")</f>
        <v>-0.0664149078300147</v>
      </c>
      <c r="Z678" s="52" t="n">
        <f aca="false">IF(AND(W678=1,Q678&gt;Basis_Analysis!$B$3,ISNUMBER(Y678)),1,0)</f>
        <v>1</v>
      </c>
      <c r="AA678" s="43" t="n">
        <f aca="false">IF(W678=1,IF(SUMIFS($L$2:$L$756,$B$2:$B$756,B678,$W$2:$W$756,2)&gt;0,SUMIFS($L$2:$L$756,$B$2:$B$756,B678,$W$2:$W$756,2),""),"")</f>
        <v>1585935</v>
      </c>
      <c r="AB678" s="54" t="n">
        <f aca="false">IF(AND(W678=1,ISNUMBER(AA678)),L678/(L678+AA678),"")</f>
        <v>0.911895730489882</v>
      </c>
    </row>
    <row r="679" customFormat="false" ht="15" hidden="false" customHeight="true" outlineLevel="0" collapsed="false">
      <c r="A679" s="1" t="s">
        <v>274</v>
      </c>
      <c r="B679" s="46" t="n">
        <v>46009</v>
      </c>
      <c r="C679" s="46" t="n">
        <v>46021</v>
      </c>
      <c r="D679" s="47" t="n">
        <v>25875</v>
      </c>
      <c r="E679" s="47" t="n">
        <v>25980</v>
      </c>
      <c r="F679" s="47" t="n">
        <v>25801</v>
      </c>
      <c r="G679" s="47" t="n">
        <v>25880.6</v>
      </c>
      <c r="H679" s="47" t="n">
        <v>25882.2</v>
      </c>
      <c r="I679" s="47" t="n">
        <v>25880.6</v>
      </c>
      <c r="J679" s="48" t="n">
        <v>68189</v>
      </c>
      <c r="K679" s="47" t="n">
        <v>1324631.89</v>
      </c>
      <c r="L679" s="48" t="n">
        <v>16043025</v>
      </c>
      <c r="M679" s="48" t="n">
        <v>-371700</v>
      </c>
      <c r="N679" s="47" t="n">
        <v>25815.55</v>
      </c>
      <c r="O679" s="47" t="n">
        <f aca="false">IF(AND(ISNUMBER(G679),ISNUMBER(N679)),G679-N679,"")</f>
        <v>65.0499999999993</v>
      </c>
      <c r="P679" s="49" t="n">
        <f aca="false">IF(ISNUMBER(O679),O679/N679,"")</f>
        <v>0.00251979911332508</v>
      </c>
      <c r="Q679" s="50" t="n">
        <f aca="false">C679-B679</f>
        <v>12</v>
      </c>
      <c r="R679" s="51" t="n">
        <f aca="false">IF(AND(C679=C678,ISNUMBER(G679),ISNUMBER(G678)),(G679/G678-1)*100,"")</f>
        <v>-0.0664149078300147</v>
      </c>
      <c r="S679" s="51" t="n">
        <f aca="false">IF(AND(C679=C678,ISNUMBER(L679),ISNUMBER(L678)),(L679/L678-1)*100,"")</f>
        <v>-2.26443026002567</v>
      </c>
      <c r="T679" s="51" t="n">
        <f aca="false">IF(AND(C679=C678,ISNUMBER(G679),ISNUMBER(G678)),G679-G678,"")</f>
        <v>-17.2000000000007</v>
      </c>
      <c r="U679" s="1" t="str">
        <f aca="false">IF(OR(NOT(ISNUMBER(R679)),NOT(ISNUMBER(S679))),"Not classified",IF(AND(R679&gt;0,S679&gt;0),"Long buildup (interpretation)",IF(AND(R679&lt;0,S679&gt;0),"Short buildup (interpretation)",IF(AND(R679&gt;0,S679&lt;0),"Short covering (interpretation)",IF(AND(R679&lt;0,S679&lt;0),"Long unwinding (interpretation)","Neutral")))))</f>
        <v>Long unwinding (interpretation)</v>
      </c>
      <c r="V679" s="52" t="str">
        <f aca="false">TEXT(B679,"yyyy-mm")</f>
        <v>2025-12</v>
      </c>
      <c r="W679" s="52" t="n">
        <f aca="false">1+COUNTIFS($B$2:$B$756,B679,$C$2:$C$756,"&lt;"&amp;C679)</f>
        <v>1</v>
      </c>
      <c r="X679" s="53" t="n">
        <f aca="false">IF(AND(ISNUMBER(P679),Q679&gt;0),P679*365/Q679,"")</f>
        <v>0.0766438896969712</v>
      </c>
      <c r="Y679" s="42" t="n">
        <f aca="false">IF(AND(C680=C679,ISNUMBER(R680)),R680,"")</f>
        <v>0.577266369404117</v>
      </c>
      <c r="Z679" s="52" t="n">
        <f aca="false">IF(AND(W679=1,Q679&gt;Basis_Analysis!$B$3,ISNUMBER(Y679)),1,0)</f>
        <v>1</v>
      </c>
      <c r="AA679" s="43" t="n">
        <f aca="false">IF(W679=1,IF(SUMIFS($L$2:$L$756,$B$2:$B$756,B679,$W$2:$W$756,2)&gt;0,SUMIFS($L$2:$L$756,$B$2:$B$756,B679,$W$2:$W$756,2),""),"")</f>
        <v>1644240</v>
      </c>
      <c r="AB679" s="54" t="n">
        <f aca="false">IF(AND(W679=1,ISNUMBER(AA679)),L679/(L679+AA679),"")</f>
        <v>0.907038199518128</v>
      </c>
    </row>
    <row r="680" customFormat="false" ht="15" hidden="false" customHeight="true" outlineLevel="0" collapsed="false">
      <c r="A680" s="1" t="s">
        <v>274</v>
      </c>
      <c r="B680" s="46" t="n">
        <v>46010</v>
      </c>
      <c r="C680" s="46" t="n">
        <v>46021</v>
      </c>
      <c r="D680" s="47" t="n">
        <v>25965</v>
      </c>
      <c r="E680" s="47" t="n">
        <v>26043.8</v>
      </c>
      <c r="F680" s="47" t="n">
        <v>25951.1</v>
      </c>
      <c r="G680" s="47" t="n">
        <v>26030</v>
      </c>
      <c r="H680" s="47" t="n">
        <v>26036.9</v>
      </c>
      <c r="I680" s="47" t="n">
        <v>26030</v>
      </c>
      <c r="J680" s="48" t="n">
        <v>62291</v>
      </c>
      <c r="K680" s="47" t="n">
        <v>1215153.15</v>
      </c>
      <c r="L680" s="48" t="n">
        <v>15160350</v>
      </c>
      <c r="M680" s="48" t="n">
        <v>-882675</v>
      </c>
      <c r="N680" s="47" t="n">
        <v>25966.4</v>
      </c>
      <c r="O680" s="47" t="n">
        <f aca="false">IF(AND(ISNUMBER(G680),ISNUMBER(N680)),G680-N680,"")</f>
        <v>63.5999999999985</v>
      </c>
      <c r="P680" s="49" t="n">
        <f aca="false">IF(ISNUMBER(O680),O680/N680,"")</f>
        <v>0.0024493191200936</v>
      </c>
      <c r="Q680" s="50" t="n">
        <f aca="false">C680-B680</f>
        <v>11</v>
      </c>
      <c r="R680" s="51" t="n">
        <f aca="false">IF(AND(C680=C679,ISNUMBER(G680),ISNUMBER(G679)),(G680/G679-1)*100,"")</f>
        <v>0.577266369404117</v>
      </c>
      <c r="S680" s="51" t="n">
        <f aca="false">IF(AND(C680=C679,ISNUMBER(L680),ISNUMBER(L679)),(L680/L679-1)*100,"")</f>
        <v>-5.50192373321117</v>
      </c>
      <c r="T680" s="51" t="n">
        <f aca="false">IF(AND(C680=C679,ISNUMBER(G680),ISNUMBER(G679)),G680-G679,"")</f>
        <v>149.400000000001</v>
      </c>
      <c r="U680" s="1" t="str">
        <f aca="false">IF(OR(NOT(ISNUMBER(R680)),NOT(ISNUMBER(S680))),"Not classified",IF(AND(R680&gt;0,S680&gt;0),"Long buildup (interpretation)",IF(AND(R680&lt;0,S680&gt;0),"Short buildup (interpretation)",IF(AND(R680&gt;0,S680&lt;0),"Short covering (interpretation)",IF(AND(R680&lt;0,S680&lt;0),"Long unwinding (interpretation)","Neutral")))))</f>
        <v>Short covering (interpretation)</v>
      </c>
      <c r="V680" s="52" t="str">
        <f aca="false">TEXT(B680,"yyyy-mm")</f>
        <v>2025-12</v>
      </c>
      <c r="W680" s="52" t="n">
        <f aca="false">1+COUNTIFS($B$2:$B$756,B680,$C$2:$C$756,"&lt;"&amp;C680)</f>
        <v>1</v>
      </c>
      <c r="X680" s="53" t="n">
        <f aca="false">IF(AND(ISNUMBER(P680),Q680&gt;0),P680*365/Q680,"")</f>
        <v>0.0812728617121968</v>
      </c>
      <c r="Y680" s="42" t="n">
        <f aca="false">IF(AND(C681=C680,ISNUMBER(R681)),R681,"")</f>
        <v>0.645024971187103</v>
      </c>
      <c r="Z680" s="52" t="n">
        <f aca="false">IF(AND(W680=1,Q680&gt;Basis_Analysis!$B$3,ISNUMBER(Y680)),1,0)</f>
        <v>1</v>
      </c>
      <c r="AA680" s="43" t="n">
        <f aca="false">IF(W680=1,IF(SUMIFS($L$2:$L$756,$B$2:$B$756,B680,$W$2:$W$756,2)&gt;0,SUMIFS($L$2:$L$756,$B$2:$B$756,B680,$W$2:$W$756,2),""),"")</f>
        <v>1721785</v>
      </c>
      <c r="AB680" s="54" t="n">
        <f aca="false">IF(AND(W680=1,ISNUMBER(AA680)),L680/(L680+AA680),"")</f>
        <v>0.898011418579463</v>
      </c>
    </row>
    <row r="681" customFormat="false" ht="15" hidden="false" customHeight="true" outlineLevel="0" collapsed="false">
      <c r="A681" s="1" t="s">
        <v>274</v>
      </c>
      <c r="B681" s="46" t="n">
        <v>46013</v>
      </c>
      <c r="C681" s="46" t="n">
        <v>46021</v>
      </c>
      <c r="D681" s="47" t="n">
        <v>26150</v>
      </c>
      <c r="E681" s="47" t="n">
        <v>26206.5</v>
      </c>
      <c r="F681" s="47" t="n">
        <v>26130</v>
      </c>
      <c r="G681" s="47" t="n">
        <v>26197.9</v>
      </c>
      <c r="H681" s="47" t="n">
        <v>26201.4</v>
      </c>
      <c r="I681" s="47" t="n">
        <v>26197.9</v>
      </c>
      <c r="J681" s="48" t="n">
        <v>47797</v>
      </c>
      <c r="K681" s="47" t="n">
        <v>938592.7</v>
      </c>
      <c r="L681" s="48" t="n">
        <v>14458500</v>
      </c>
      <c r="M681" s="48" t="n">
        <v>-701850</v>
      </c>
      <c r="N681" s="47" t="n">
        <v>26172.4</v>
      </c>
      <c r="O681" s="47" t="n">
        <f aca="false">IF(AND(ISNUMBER(G681),ISNUMBER(N681)),G681-N681,"")</f>
        <v>25.5</v>
      </c>
      <c r="P681" s="49" t="n">
        <f aca="false">IF(ISNUMBER(O681),O681/N681,"")</f>
        <v>0.000974308813864988</v>
      </c>
      <c r="Q681" s="50" t="n">
        <f aca="false">C681-B681</f>
        <v>8</v>
      </c>
      <c r="R681" s="51" t="n">
        <f aca="false">IF(AND(C681=C680,ISNUMBER(G681),ISNUMBER(G680)),(G681/G680-1)*100,"")</f>
        <v>0.645024971187103</v>
      </c>
      <c r="S681" s="51" t="n">
        <f aca="false">IF(AND(C681=C680,ISNUMBER(L681),ISNUMBER(L680)),(L681/L680-1)*100,"")</f>
        <v>-4.62951053240855</v>
      </c>
      <c r="T681" s="51" t="n">
        <f aca="false">IF(AND(C681=C680,ISNUMBER(G681),ISNUMBER(G680)),G681-G680,"")</f>
        <v>167.900000000001</v>
      </c>
      <c r="U681" s="1" t="str">
        <f aca="false">IF(OR(NOT(ISNUMBER(R681)),NOT(ISNUMBER(S681))),"Not classified",IF(AND(R681&gt;0,S681&gt;0),"Long buildup (interpretation)",IF(AND(R681&lt;0,S681&gt;0),"Short buildup (interpretation)",IF(AND(R681&gt;0,S681&lt;0),"Short covering (interpretation)",IF(AND(R681&lt;0,S681&lt;0),"Long unwinding (interpretation)","Neutral")))))</f>
        <v>Short covering (interpretation)</v>
      </c>
      <c r="V681" s="52" t="str">
        <f aca="false">TEXT(B681,"yyyy-mm")</f>
        <v>2025-12</v>
      </c>
      <c r="W681" s="52" t="n">
        <f aca="false">1+COUNTIFS($B$2:$B$756,B681,$C$2:$C$756,"&lt;"&amp;C681)</f>
        <v>1</v>
      </c>
      <c r="X681" s="53" t="n">
        <f aca="false">IF(AND(ISNUMBER(P681),Q681&gt;0),P681*365/Q681,"")</f>
        <v>0.0444528396325901</v>
      </c>
      <c r="Y681" s="42" t="n">
        <f aca="false">IF(AND(C682=C681,ISNUMBER(R682)),R682,"")</f>
        <v>0.0343538985949188</v>
      </c>
      <c r="Z681" s="52" t="n">
        <f aca="false">IF(AND(W681=1,Q681&gt;Basis_Analysis!$B$3,ISNUMBER(Y681)),1,0)</f>
        <v>1</v>
      </c>
      <c r="AA681" s="43" t="n">
        <f aca="false">IF(W681=1,IF(SUMIFS($L$2:$L$756,$B$2:$B$756,B681,$W$2:$W$756,2)&gt;0,SUMIFS($L$2:$L$756,$B$2:$B$756,B681,$W$2:$W$756,2),""),"")</f>
        <v>2054585</v>
      </c>
      <c r="AB681" s="54" t="n">
        <f aca="false">IF(AND(W681=1,ISNUMBER(AA681)),L681/(L681+AA681),"")</f>
        <v>0.875578367094943</v>
      </c>
    </row>
    <row r="682" customFormat="false" ht="15" hidden="false" customHeight="true" outlineLevel="0" collapsed="false">
      <c r="A682" s="1" t="s">
        <v>274</v>
      </c>
      <c r="B682" s="46" t="n">
        <v>46014</v>
      </c>
      <c r="C682" s="46" t="n">
        <v>46021</v>
      </c>
      <c r="D682" s="47" t="n">
        <v>26240</v>
      </c>
      <c r="E682" s="47" t="n">
        <v>26259</v>
      </c>
      <c r="F682" s="47" t="n">
        <v>26163</v>
      </c>
      <c r="G682" s="47" t="n">
        <v>26206.9</v>
      </c>
      <c r="H682" s="47" t="n">
        <v>26202.1</v>
      </c>
      <c r="I682" s="47" t="n">
        <v>26206.9</v>
      </c>
      <c r="J682" s="48" t="n">
        <v>41093</v>
      </c>
      <c r="K682" s="47" t="n">
        <v>807907.94</v>
      </c>
      <c r="L682" s="48" t="n">
        <v>13633650</v>
      </c>
      <c r="M682" s="48" t="n">
        <v>-824850</v>
      </c>
      <c r="N682" s="47" t="n">
        <v>26177.15</v>
      </c>
      <c r="O682" s="47" t="n">
        <f aca="false">IF(AND(ISNUMBER(G682),ISNUMBER(N682)),G682-N682,"")</f>
        <v>29.75</v>
      </c>
      <c r="P682" s="49" t="n">
        <f aca="false">IF(ISNUMBER(O682),O682/N682,"")</f>
        <v>0.0011364873563394</v>
      </c>
      <c r="Q682" s="50" t="n">
        <f aca="false">C682-B682</f>
        <v>7</v>
      </c>
      <c r="R682" s="51" t="n">
        <f aca="false">IF(AND(C682=C681,ISNUMBER(G682),ISNUMBER(G681)),(G682/G681-1)*100,"")</f>
        <v>0.0343538985949188</v>
      </c>
      <c r="S682" s="51" t="n">
        <f aca="false">IF(AND(C682=C681,ISNUMBER(L682),ISNUMBER(L681)),(L682/L681-1)*100,"")</f>
        <v>-5.70494864612512</v>
      </c>
      <c r="T682" s="51" t="n">
        <f aca="false">IF(AND(C682=C681,ISNUMBER(G682),ISNUMBER(G681)),G682-G681,"")</f>
        <v>9</v>
      </c>
      <c r="U682" s="1" t="str">
        <f aca="false">IF(OR(NOT(ISNUMBER(R682)),NOT(ISNUMBER(S682))),"Not classified",IF(AND(R682&gt;0,S682&gt;0),"Long buildup (interpretation)",IF(AND(R682&lt;0,S682&gt;0),"Short buildup (interpretation)",IF(AND(R682&gt;0,S682&lt;0),"Short covering (interpretation)",IF(AND(R682&lt;0,S682&lt;0),"Long unwinding (interpretation)","Neutral")))))</f>
        <v>Short covering (interpretation)</v>
      </c>
      <c r="V682" s="52" t="str">
        <f aca="false">TEXT(B682,"yyyy-mm")</f>
        <v>2025-12</v>
      </c>
      <c r="W682" s="52" t="n">
        <f aca="false">1+COUNTIFS($B$2:$B$756,B682,$C$2:$C$756,"&lt;"&amp;C682)</f>
        <v>1</v>
      </c>
      <c r="X682" s="53" t="n">
        <f aca="false">IF(AND(ISNUMBER(P682),Q682&gt;0),P682*365/Q682,"")</f>
        <v>0.0592596978662689</v>
      </c>
      <c r="Y682" s="42" t="n">
        <f aca="false">IF(AND(C683=C682,ISNUMBER(R683)),R683,"")</f>
        <v>-0.128973667240317</v>
      </c>
      <c r="Z682" s="52" t="n">
        <f aca="false">IF(AND(W682=1,Q682&gt;Basis_Analysis!$B$3,ISNUMBER(Y682)),1,0)</f>
        <v>1</v>
      </c>
      <c r="AA682" s="43" t="n">
        <f aca="false">IF(W682=1,IF(SUMIFS($L$2:$L$756,$B$2:$B$756,B682,$W$2:$W$756,2)&gt;0,SUMIFS($L$2:$L$756,$B$2:$B$756,B682,$W$2:$W$756,2),""),"")</f>
        <v>2453230</v>
      </c>
      <c r="AB682" s="54" t="n">
        <f aca="false">IF(AND(W682=1,ISNUMBER(AA682)),L682/(L682+AA682),"")</f>
        <v>0.847501193519191</v>
      </c>
    </row>
    <row r="683" customFormat="false" ht="15" hidden="false" customHeight="true" outlineLevel="0" collapsed="false">
      <c r="A683" s="1" t="s">
        <v>274</v>
      </c>
      <c r="B683" s="46" t="n">
        <v>46015</v>
      </c>
      <c r="C683" s="46" t="n">
        <v>46021</v>
      </c>
      <c r="D683" s="47" t="n">
        <v>26228</v>
      </c>
      <c r="E683" s="47" t="n">
        <v>26269.7</v>
      </c>
      <c r="F683" s="47" t="n">
        <v>26151.7</v>
      </c>
      <c r="G683" s="47" t="n">
        <v>26173.1</v>
      </c>
      <c r="H683" s="47" t="n">
        <v>26164.1</v>
      </c>
      <c r="I683" s="47" t="n">
        <v>26173.1</v>
      </c>
      <c r="J683" s="48" t="n">
        <v>44130</v>
      </c>
      <c r="K683" s="47" t="n">
        <v>867226.12</v>
      </c>
      <c r="L683" s="48" t="n">
        <v>12572700</v>
      </c>
      <c r="M683" s="48" t="n">
        <v>-1060950</v>
      </c>
      <c r="N683" s="47" t="n">
        <v>26142.1</v>
      </c>
      <c r="O683" s="47" t="n">
        <f aca="false">IF(AND(ISNUMBER(G683),ISNUMBER(N683)),G683-N683,"")</f>
        <v>31</v>
      </c>
      <c r="P683" s="49" t="n">
        <f aca="false">IF(ISNUMBER(O683),O683/N683,"")</f>
        <v>0.00118582669334139</v>
      </c>
      <c r="Q683" s="50" t="n">
        <f aca="false">C683-B683</f>
        <v>6</v>
      </c>
      <c r="R683" s="51" t="n">
        <f aca="false">IF(AND(C683=C682,ISNUMBER(G683),ISNUMBER(G682)),(G683/G682-1)*100,"")</f>
        <v>-0.128973667240317</v>
      </c>
      <c r="S683" s="51" t="n">
        <f aca="false">IF(AND(C683=C682,ISNUMBER(L683),ISNUMBER(L682)),(L683/L682-1)*100,"")</f>
        <v>-7.78184858786899</v>
      </c>
      <c r="T683" s="51" t="n">
        <f aca="false">IF(AND(C683=C682,ISNUMBER(G683),ISNUMBER(G682)),G683-G682,"")</f>
        <v>-33.8000000000029</v>
      </c>
      <c r="U683" s="1" t="str">
        <f aca="false">IF(OR(NOT(ISNUMBER(R683)),NOT(ISNUMBER(S683))),"Not classified",IF(AND(R683&gt;0,S683&gt;0),"Long buildup (interpretation)",IF(AND(R683&lt;0,S683&gt;0),"Short buildup (interpretation)",IF(AND(R683&gt;0,S683&lt;0),"Short covering (interpretation)",IF(AND(R683&lt;0,S683&lt;0),"Long unwinding (interpretation)","Neutral")))))</f>
        <v>Long unwinding (interpretation)</v>
      </c>
      <c r="V683" s="52" t="str">
        <f aca="false">TEXT(B683,"yyyy-mm")</f>
        <v>2025-12</v>
      </c>
      <c r="W683" s="52" t="n">
        <f aca="false">1+COUNTIFS($B$2:$B$756,B683,$C$2:$C$756,"&lt;"&amp;C683)</f>
        <v>1</v>
      </c>
      <c r="X683" s="53" t="n">
        <f aca="false">IF(AND(ISNUMBER(P683),Q683&gt;0),P683*365/Q683,"")</f>
        <v>0.0721377905116013</v>
      </c>
      <c r="Y683" s="42" t="n">
        <f aca="false">IF(AND(C684=C683,ISNUMBER(R684)),R684,"")</f>
        <v>-0.431358914305136</v>
      </c>
      <c r="Z683" s="52" t="n">
        <f aca="false">IF(AND(W683=1,Q683&gt;Basis_Analysis!$B$3,ISNUMBER(Y683)),1,0)</f>
        <v>1</v>
      </c>
      <c r="AA683" s="43" t="n">
        <f aca="false">IF(W683=1,IF(SUMIFS($L$2:$L$756,$B$2:$B$756,B683,$W$2:$W$756,2)&gt;0,SUMIFS($L$2:$L$756,$B$2:$B$756,B683,$W$2:$W$756,2),""),"")</f>
        <v>3225690</v>
      </c>
      <c r="AB683" s="54" t="n">
        <f aca="false">IF(AND(W683=1,ISNUMBER(AA683)),L683/(L683+AA683),"")</f>
        <v>0.795821599542738</v>
      </c>
    </row>
    <row r="684" customFormat="false" ht="15" hidden="false" customHeight="true" outlineLevel="0" collapsed="false">
      <c r="A684" s="1" t="s">
        <v>274</v>
      </c>
      <c r="B684" s="46" t="n">
        <v>46017</v>
      </c>
      <c r="C684" s="46" t="n">
        <v>46021</v>
      </c>
      <c r="D684" s="47" t="n">
        <v>26139</v>
      </c>
      <c r="E684" s="47" t="n">
        <v>26149</v>
      </c>
      <c r="F684" s="47" t="n">
        <v>26041</v>
      </c>
      <c r="G684" s="47" t="n">
        <v>26060.2</v>
      </c>
      <c r="H684" s="47" t="n">
        <v>26058</v>
      </c>
      <c r="I684" s="47" t="n">
        <v>26060.2</v>
      </c>
      <c r="J684" s="48" t="n">
        <v>79485</v>
      </c>
      <c r="K684" s="47" t="n">
        <v>1554656.06</v>
      </c>
      <c r="L684" s="48" t="n">
        <v>10364700</v>
      </c>
      <c r="M684" s="48" t="n">
        <v>-2208000</v>
      </c>
      <c r="N684" s="47" t="n">
        <v>26042.3</v>
      </c>
      <c r="O684" s="47" t="n">
        <f aca="false">IF(AND(ISNUMBER(G684),ISNUMBER(N684)),G684-N684,"")</f>
        <v>17.9000000000015</v>
      </c>
      <c r="P684" s="49" t="n">
        <f aca="false">IF(ISNUMBER(O684),O684/N684,"")</f>
        <v>0.000687343283811394</v>
      </c>
      <c r="Q684" s="50" t="n">
        <f aca="false">C684-B684</f>
        <v>4</v>
      </c>
      <c r="R684" s="51" t="n">
        <f aca="false">IF(AND(C684=C683,ISNUMBER(G684),ISNUMBER(G683)),(G684/G683-1)*100,"")</f>
        <v>-0.431358914305136</v>
      </c>
      <c r="S684" s="51" t="n">
        <f aca="false">IF(AND(C684=C683,ISNUMBER(L684),ISNUMBER(L683)),(L684/L683-1)*100,"")</f>
        <v>-17.5618602209549</v>
      </c>
      <c r="T684" s="51" t="n">
        <f aca="false">IF(AND(C684=C683,ISNUMBER(G684),ISNUMBER(G683)),G684-G683,"")</f>
        <v>-112.899999999998</v>
      </c>
      <c r="U684" s="1" t="str">
        <f aca="false">IF(OR(NOT(ISNUMBER(R684)),NOT(ISNUMBER(S684))),"Not classified",IF(AND(R684&gt;0,S684&gt;0),"Long buildup (interpretation)",IF(AND(R684&lt;0,S684&gt;0),"Short buildup (interpretation)",IF(AND(R684&gt;0,S684&lt;0),"Short covering (interpretation)",IF(AND(R684&lt;0,S684&lt;0),"Long unwinding (interpretation)","Neutral")))))</f>
        <v>Long unwinding (interpretation)</v>
      </c>
      <c r="V684" s="52" t="str">
        <f aca="false">TEXT(B684,"yyyy-mm")</f>
        <v>2025-12</v>
      </c>
      <c r="W684" s="52" t="n">
        <f aca="false">1+COUNTIFS($B$2:$B$756,B684,$C$2:$C$756,"&lt;"&amp;C684)</f>
        <v>1</v>
      </c>
      <c r="X684" s="53" t="n">
        <f aca="false">IF(AND(ISNUMBER(P684),Q684&gt;0),P684*365/Q684,"")</f>
        <v>0.0627200746477897</v>
      </c>
      <c r="Y684" s="42" t="n">
        <f aca="false">IF(AND(C685=C684,ISNUMBER(R685)),R685,"")</f>
        <v>-0.395238716510238</v>
      </c>
      <c r="Z684" s="52" t="n">
        <f aca="false">IF(AND(W684=1,Q684&gt;Basis_Analysis!$B$3,ISNUMBER(Y684)),1,0)</f>
        <v>0</v>
      </c>
      <c r="AA684" s="43" t="n">
        <f aca="false">IF(W684=1,IF(SUMIFS($L$2:$L$756,$B$2:$B$756,B684,$W$2:$W$756,2)&gt;0,SUMIFS($L$2:$L$756,$B$2:$B$756,B684,$W$2:$W$756,2),""),"")</f>
        <v>5500625</v>
      </c>
      <c r="AB684" s="54" t="n">
        <f aca="false">IF(AND(W684=1,ISNUMBER(AA684)),L684/(L684+AA684),"")</f>
        <v>0.653292636614756</v>
      </c>
    </row>
    <row r="685" customFormat="false" ht="15" hidden="false" customHeight="true" outlineLevel="0" collapsed="false">
      <c r="A685" s="1" t="s">
        <v>274</v>
      </c>
      <c r="B685" s="46" t="n">
        <v>46020</v>
      </c>
      <c r="C685" s="46" t="n">
        <v>46021</v>
      </c>
      <c r="D685" s="47" t="n">
        <v>26080</v>
      </c>
      <c r="E685" s="47" t="n">
        <v>26100.2</v>
      </c>
      <c r="F685" s="47" t="n">
        <v>25934.6</v>
      </c>
      <c r="G685" s="47" t="n">
        <v>25957.2</v>
      </c>
      <c r="H685" s="47" t="n">
        <v>25955.8</v>
      </c>
      <c r="I685" s="47" t="n">
        <v>25957.2</v>
      </c>
      <c r="J685" s="48" t="n">
        <v>86313</v>
      </c>
      <c r="K685" s="47" t="n">
        <v>1682604.82</v>
      </c>
      <c r="L685" s="48" t="n">
        <v>7395750</v>
      </c>
      <c r="M685" s="48" t="n">
        <v>-2968950</v>
      </c>
      <c r="N685" s="47" t="n">
        <v>25942.1</v>
      </c>
      <c r="O685" s="47" t="n">
        <f aca="false">IF(AND(ISNUMBER(G685),ISNUMBER(N685)),G685-N685,"")</f>
        <v>15.1000000000022</v>
      </c>
      <c r="P685" s="49" t="n">
        <f aca="false">IF(ISNUMBER(O685),O685/N685,"")</f>
        <v>0.000582065445742719</v>
      </c>
      <c r="Q685" s="50" t="n">
        <f aca="false">C685-B685</f>
        <v>1</v>
      </c>
      <c r="R685" s="51" t="n">
        <f aca="false">IF(AND(C685=C684,ISNUMBER(G685),ISNUMBER(G684)),(G685/G684-1)*100,"")</f>
        <v>-0.395238716510238</v>
      </c>
      <c r="S685" s="51" t="n">
        <f aca="false">IF(AND(C685=C684,ISNUMBER(L685),ISNUMBER(L684)),(L685/L684-1)*100,"")</f>
        <v>-28.6448232944514</v>
      </c>
      <c r="T685" s="51" t="n">
        <f aca="false">IF(AND(C685=C684,ISNUMBER(G685),ISNUMBER(G684)),G685-G684,"")</f>
        <v>-103</v>
      </c>
      <c r="U685" s="1" t="str">
        <f aca="false">IF(OR(NOT(ISNUMBER(R685)),NOT(ISNUMBER(S685))),"Not classified",IF(AND(R685&gt;0,S685&gt;0),"Long buildup (interpretation)",IF(AND(R685&lt;0,S685&gt;0),"Short buildup (interpretation)",IF(AND(R685&gt;0,S685&lt;0),"Short covering (interpretation)",IF(AND(R685&lt;0,S685&lt;0),"Long unwinding (interpretation)","Neutral")))))</f>
        <v>Long unwinding (interpretation)</v>
      </c>
      <c r="V685" s="52" t="str">
        <f aca="false">TEXT(B685,"yyyy-mm")</f>
        <v>2025-12</v>
      </c>
      <c r="W685" s="52" t="n">
        <f aca="false">1+COUNTIFS($B$2:$B$756,B685,$C$2:$C$756,"&lt;"&amp;C685)</f>
        <v>1</v>
      </c>
      <c r="X685" s="53" t="n">
        <f aca="false">IF(AND(ISNUMBER(P685),Q685&gt;0),P685*365/Q685,"")</f>
        <v>0.212453887696092</v>
      </c>
      <c r="Y685" s="42" t="n">
        <f aca="false">IF(AND(C686=C685,ISNUMBER(R686)),R686,"")</f>
        <v>-0.0785909111922778</v>
      </c>
      <c r="Z685" s="52" t="n">
        <f aca="false">IF(AND(W685=1,Q685&gt;Basis_Analysis!$B$3,ISNUMBER(Y685)),1,0)</f>
        <v>0</v>
      </c>
      <c r="AA685" s="43" t="n">
        <f aca="false">IF(W685=1,IF(SUMIFS($L$2:$L$756,$B$2:$B$756,B685,$W$2:$W$756,2)&gt;0,SUMIFS($L$2:$L$756,$B$2:$B$756,B685,$W$2:$W$756,2),""),"")</f>
        <v>9451585</v>
      </c>
      <c r="AB685" s="54" t="n">
        <f aca="false">IF(AND(W685=1,ISNUMBER(AA685)),L685/(L685+AA685),"")</f>
        <v>0.438986344130986</v>
      </c>
    </row>
    <row r="686" customFormat="false" ht="15" hidden="false" customHeight="true" outlineLevel="0" collapsed="false">
      <c r="A686" s="1" t="s">
        <v>274</v>
      </c>
      <c r="B686" s="46" t="n">
        <v>46021</v>
      </c>
      <c r="C686" s="46" t="n">
        <v>46021</v>
      </c>
      <c r="D686" s="47" t="n">
        <v>25922</v>
      </c>
      <c r="E686" s="47" t="n">
        <v>25983.5</v>
      </c>
      <c r="F686" s="47" t="n">
        <v>25880.1</v>
      </c>
      <c r="G686" s="47" t="n">
        <v>25936.8</v>
      </c>
      <c r="H686" s="47" t="n">
        <v>25937.4</v>
      </c>
      <c r="I686" s="47" t="n">
        <v>25938.85</v>
      </c>
      <c r="J686" s="48" t="n">
        <v>71715</v>
      </c>
      <c r="K686" s="47" t="n">
        <v>1394584.12</v>
      </c>
      <c r="L686" s="48" t="n">
        <v>5790000</v>
      </c>
      <c r="M686" s="48" t="n">
        <v>-1605750</v>
      </c>
      <c r="N686" s="47" t="n">
        <v>25938.85</v>
      </c>
      <c r="O686" s="47" t="n">
        <f aca="false">IF(AND(ISNUMBER(G686),ISNUMBER(N686)),G686-N686,"")</f>
        <v>-2.04999999999927</v>
      </c>
      <c r="P686" s="49" t="n">
        <f aca="false">IF(ISNUMBER(O686),O686/N686,"")</f>
        <v>-7.90320311038952E-005</v>
      </c>
      <c r="Q686" s="50" t="n">
        <f aca="false">C686-B686</f>
        <v>0</v>
      </c>
      <c r="R686" s="51" t="n">
        <f aca="false">IF(AND(C686=C685,ISNUMBER(G686),ISNUMBER(G685)),(G686/G685-1)*100,"")</f>
        <v>-0.0785909111922778</v>
      </c>
      <c r="S686" s="51" t="n">
        <f aca="false">IF(AND(C686=C685,ISNUMBER(L686),ISNUMBER(L685)),(L686/L685-1)*100,"")</f>
        <v>-21.7117939357063</v>
      </c>
      <c r="T686" s="51" t="n">
        <f aca="false">IF(AND(C686=C685,ISNUMBER(G686),ISNUMBER(G685)),G686-G685,"")</f>
        <v>-20.4000000000015</v>
      </c>
      <c r="U686" s="1" t="str">
        <f aca="false">IF(OR(NOT(ISNUMBER(R686)),NOT(ISNUMBER(S686))),"Not classified",IF(AND(R686&gt;0,S686&gt;0),"Long buildup (interpretation)",IF(AND(R686&lt;0,S686&gt;0),"Short buildup (interpretation)",IF(AND(R686&gt;0,S686&lt;0),"Short covering (interpretation)",IF(AND(R686&lt;0,S686&lt;0),"Long unwinding (interpretation)","Neutral")))))</f>
        <v>Long unwinding (interpretation)</v>
      </c>
      <c r="V686" s="52" t="str">
        <f aca="false">TEXT(B686,"yyyy-mm")</f>
        <v>2025-12</v>
      </c>
      <c r="W686" s="52" t="n">
        <f aca="false">1+COUNTIFS($B$2:$B$756,B686,$C$2:$C$756,"&lt;"&amp;C686)</f>
        <v>1</v>
      </c>
      <c r="X686" s="53" t="str">
        <f aca="false">IF(AND(ISNUMBER(P686),Q686&gt;0),P686*365/Q686,"")</f>
        <v/>
      </c>
      <c r="Y686" s="42" t="str">
        <f aca="false">IF(AND(C687=C686,ISNUMBER(R687)),R687,"")</f>
        <v/>
      </c>
      <c r="Z686" s="52" t="n">
        <f aca="false">IF(AND(W686=1,Q686&gt;Basis_Analysis!$B$3,ISNUMBER(Y686)),1,0)</f>
        <v>0</v>
      </c>
      <c r="AA686" s="43" t="n">
        <f aca="false">IF(W686=1,IF(SUMIFS($L$2:$L$756,$B$2:$B$756,B686,$W$2:$W$756,2)&gt;0,SUMIFS($L$2:$L$756,$B$2:$B$756,B686,$W$2:$W$756,2),""),"")</f>
        <v>13958490</v>
      </c>
      <c r="AB686" s="54" t="n">
        <f aca="false">IF(AND(W686=1,ISNUMBER(AA686)),L686/(L686+AA686),"")</f>
        <v>0.293186972776146</v>
      </c>
    </row>
    <row r="687" customFormat="false" ht="15" hidden="false" customHeight="true" outlineLevel="0" collapsed="false">
      <c r="A687" s="1" t="s">
        <v>274</v>
      </c>
      <c r="B687" s="46" t="n">
        <v>45959</v>
      </c>
      <c r="C687" s="46" t="n">
        <v>46049</v>
      </c>
      <c r="D687" s="47" t="n">
        <v>26400</v>
      </c>
      <c r="E687" s="47" t="n">
        <v>26602</v>
      </c>
      <c r="F687" s="47" t="n">
        <v>26350</v>
      </c>
      <c r="G687" s="47" t="n">
        <v>26577.4</v>
      </c>
      <c r="H687" s="47" t="n">
        <v>26595</v>
      </c>
      <c r="I687" s="47" t="n">
        <v>26577.4</v>
      </c>
      <c r="J687" s="48" t="n">
        <v>1304</v>
      </c>
      <c r="K687" s="47" t="n">
        <v>22498.01</v>
      </c>
      <c r="L687" s="48" t="n">
        <v>46735</v>
      </c>
      <c r="M687" s="48" t="n">
        <v>46735</v>
      </c>
      <c r="N687" s="47" t="n">
        <v>26053.9</v>
      </c>
      <c r="O687" s="47" t="n">
        <f aca="false">IF(AND(ISNUMBER(G687),ISNUMBER(N687)),G687-N687,"")</f>
        <v>523.5</v>
      </c>
      <c r="P687" s="49" t="n">
        <f aca="false">IF(ISNUMBER(O687),O687/N687,"")</f>
        <v>0.0200929611305793</v>
      </c>
      <c r="Q687" s="50" t="n">
        <f aca="false">C687-B687</f>
        <v>90</v>
      </c>
      <c r="R687" s="51" t="str">
        <f aca="false">IF(AND(C687=C686,ISNUMBER(G687),ISNUMBER(G686)),(G687/G686-1)*100,"")</f>
        <v/>
      </c>
      <c r="S687" s="51" t="str">
        <f aca="false">IF(AND(C687=C686,ISNUMBER(L687),ISNUMBER(L686)),(L687/L686-1)*100,"")</f>
        <v/>
      </c>
      <c r="T687" s="51" t="str">
        <f aca="false">IF(AND(C687=C686,ISNUMBER(G687),ISNUMBER(G686)),G687-G686,"")</f>
        <v/>
      </c>
      <c r="U687" s="1" t="str">
        <f aca="false">IF(OR(NOT(ISNUMBER(R687)),NOT(ISNUMBER(S687))),"Not classified",IF(AND(R687&gt;0,S687&gt;0),"Long buildup (interpretation)",IF(AND(R687&lt;0,S687&gt;0),"Short buildup (interpretation)",IF(AND(R687&gt;0,S687&lt;0),"Short covering (interpretation)",IF(AND(R687&lt;0,S687&lt;0),"Long unwinding (interpretation)","Neutral")))))</f>
        <v>Not classified</v>
      </c>
      <c r="V687" s="52" t="str">
        <f aca="false">TEXT(B687,"yyyy-mm")</f>
        <v>2025-10</v>
      </c>
      <c r="W687" s="52" t="n">
        <f aca="false">1+COUNTIFS($B$2:$B$756,B687,$C$2:$C$756,"&lt;"&amp;C687)</f>
        <v>3</v>
      </c>
      <c r="X687" s="53" t="n">
        <f aca="false">IF(AND(ISNUMBER(P687),Q687&gt;0),P687*365/Q687,"")</f>
        <v>0.0814881201406827</v>
      </c>
      <c r="Y687" s="42" t="n">
        <f aca="false">IF(AND(C688=C687,ISNUMBER(R688)),R688,"")</f>
        <v>-0.721289516657009</v>
      </c>
      <c r="Z687" s="52" t="n">
        <f aca="false">IF(AND(W687=1,Q687&gt;Basis_Analysis!$B$3,ISNUMBER(Y687)),1,0)</f>
        <v>0</v>
      </c>
      <c r="AA687" s="43" t="str">
        <f aca="false">IF(W687=1,IF(SUMIFS($L$2:$L$756,$B$2:$B$756,B687,$W$2:$W$756,2)&gt;0,SUMIFS($L$2:$L$756,$B$2:$B$756,B687,$W$2:$W$756,2),""),"")</f>
        <v/>
      </c>
      <c r="AB687" s="54" t="str">
        <f aca="false">IF(AND(W687=1,ISNUMBER(AA687)),L687/(L687+AA687),"")</f>
        <v/>
      </c>
    </row>
    <row r="688" customFormat="false" ht="15" hidden="false" customHeight="true" outlineLevel="0" collapsed="false">
      <c r="A688" s="1" t="s">
        <v>274</v>
      </c>
      <c r="B688" s="46" t="n">
        <v>45960</v>
      </c>
      <c r="C688" s="46" t="n">
        <v>46049</v>
      </c>
      <c r="D688" s="47" t="n">
        <v>26520.1</v>
      </c>
      <c r="E688" s="47" t="n">
        <v>26539.9</v>
      </c>
      <c r="F688" s="47" t="n">
        <v>26367.5</v>
      </c>
      <c r="G688" s="47" t="n">
        <v>26385.7</v>
      </c>
      <c r="H688" s="47" t="n">
        <v>26381.6</v>
      </c>
      <c r="I688" s="47" t="n">
        <v>26385.7</v>
      </c>
      <c r="J688" s="48" t="n">
        <v>1250</v>
      </c>
      <c r="K688" s="47" t="n">
        <v>21469.83</v>
      </c>
      <c r="L688" s="48" t="n">
        <v>86970</v>
      </c>
      <c r="M688" s="48" t="n">
        <v>40235</v>
      </c>
      <c r="N688" s="47" t="n">
        <v>25877.85</v>
      </c>
      <c r="O688" s="47" t="n">
        <f aca="false">IF(AND(ISNUMBER(G688),ISNUMBER(N688)),G688-N688,"")</f>
        <v>507.850000000002</v>
      </c>
      <c r="P688" s="49" t="n">
        <f aca="false">IF(ISNUMBER(O688),O688/N688,"")</f>
        <v>0.0196248915578382</v>
      </c>
      <c r="Q688" s="50" t="n">
        <f aca="false">C688-B688</f>
        <v>89</v>
      </c>
      <c r="R688" s="51" t="n">
        <f aca="false">IF(AND(C688=C687,ISNUMBER(G688),ISNUMBER(G687)),(G688/G687-1)*100,"")</f>
        <v>-0.721289516657009</v>
      </c>
      <c r="S688" s="51" t="n">
        <f aca="false">IF(AND(C688=C687,ISNUMBER(L688),ISNUMBER(L687)),(L688/L687-1)*100,"")</f>
        <v>86.0917941585535</v>
      </c>
      <c r="T688" s="51" t="n">
        <f aca="false">IF(AND(C688=C687,ISNUMBER(G688),ISNUMBER(G687)),G688-G687,"")</f>
        <v>-191.700000000001</v>
      </c>
      <c r="U688" s="1" t="str">
        <f aca="false">IF(OR(NOT(ISNUMBER(R688)),NOT(ISNUMBER(S688))),"Not classified",IF(AND(R688&gt;0,S688&gt;0),"Long buildup (interpretation)",IF(AND(R688&lt;0,S688&gt;0),"Short buildup (interpretation)",IF(AND(R688&gt;0,S688&lt;0),"Short covering (interpretation)",IF(AND(R688&lt;0,S688&lt;0),"Long unwinding (interpretation)","Neutral")))))</f>
        <v>Short buildup (interpretation)</v>
      </c>
      <c r="V688" s="52" t="str">
        <f aca="false">TEXT(B688,"yyyy-mm")</f>
        <v>2025-10</v>
      </c>
      <c r="W688" s="52" t="n">
        <f aca="false">1+COUNTIFS($B$2:$B$756,B688,$C$2:$C$756,"&lt;"&amp;C688)</f>
        <v>3</v>
      </c>
      <c r="X688" s="53" t="n">
        <f aca="false">IF(AND(ISNUMBER(P688),Q688&gt;0),P688*365/Q688,"")</f>
        <v>0.0804841058270891</v>
      </c>
      <c r="Y688" s="42" t="n">
        <f aca="false">IF(AND(C689=C688,ISNUMBER(R689)),R689,"")</f>
        <v>-0.477152396942293</v>
      </c>
      <c r="Z688" s="52" t="n">
        <f aca="false">IF(AND(W688=1,Q688&gt;Basis_Analysis!$B$3,ISNUMBER(Y688)),1,0)</f>
        <v>0</v>
      </c>
      <c r="AA688" s="43" t="str">
        <f aca="false">IF(W688=1,IF(SUMIFS($L$2:$L$756,$B$2:$B$756,B688,$W$2:$W$756,2)&gt;0,SUMIFS($L$2:$L$756,$B$2:$B$756,B688,$W$2:$W$756,2),""),"")</f>
        <v/>
      </c>
      <c r="AB688" s="54" t="str">
        <f aca="false">IF(AND(W688=1,ISNUMBER(AA688)),L688/(L688+AA688),"")</f>
        <v/>
      </c>
    </row>
    <row r="689" customFormat="false" ht="15" hidden="false" customHeight="true" outlineLevel="0" collapsed="false">
      <c r="A689" s="1" t="s">
        <v>274</v>
      </c>
      <c r="B689" s="46" t="n">
        <v>45961</v>
      </c>
      <c r="C689" s="46" t="n">
        <v>46049</v>
      </c>
      <c r="D689" s="47" t="n">
        <v>26340</v>
      </c>
      <c r="E689" s="47" t="n">
        <v>26450.9</v>
      </c>
      <c r="F689" s="47" t="n">
        <v>26250</v>
      </c>
      <c r="G689" s="47" t="n">
        <v>26259.8</v>
      </c>
      <c r="H689" s="47" t="n">
        <v>26267.8</v>
      </c>
      <c r="I689" s="47" t="n">
        <v>26259.8</v>
      </c>
      <c r="J689" s="48" t="n">
        <v>1305</v>
      </c>
      <c r="K689" s="47" t="n">
        <v>22315.33</v>
      </c>
      <c r="L689" s="48" t="n">
        <v>122655</v>
      </c>
      <c r="M689" s="48" t="n">
        <v>35685</v>
      </c>
      <c r="N689" s="47" t="n">
        <v>25722.1</v>
      </c>
      <c r="O689" s="47" t="n">
        <f aca="false">IF(AND(ISNUMBER(G689),ISNUMBER(N689)),G689-N689,"")</f>
        <v>537.700000000001</v>
      </c>
      <c r="P689" s="49" t="n">
        <f aca="false">IF(ISNUMBER(O689),O689/N689,"")</f>
        <v>0.0209042030005326</v>
      </c>
      <c r="Q689" s="50" t="n">
        <f aca="false">C689-B689</f>
        <v>88</v>
      </c>
      <c r="R689" s="51" t="n">
        <f aca="false">IF(AND(C689=C688,ISNUMBER(G689),ISNUMBER(G688)),(G689/G688-1)*100,"")</f>
        <v>-0.477152396942293</v>
      </c>
      <c r="S689" s="51" t="n">
        <f aca="false">IF(AND(C689=C688,ISNUMBER(L689),ISNUMBER(L688)),(L689/L688-1)*100,"")</f>
        <v>41.0313901345292</v>
      </c>
      <c r="T689" s="51" t="n">
        <f aca="false">IF(AND(C689=C688,ISNUMBER(G689),ISNUMBER(G688)),G689-G688,"")</f>
        <v>-125.900000000001</v>
      </c>
      <c r="U689" s="1" t="str">
        <f aca="false">IF(OR(NOT(ISNUMBER(R689)),NOT(ISNUMBER(S689))),"Not classified",IF(AND(R689&gt;0,S689&gt;0),"Long buildup (interpretation)",IF(AND(R689&lt;0,S689&gt;0),"Short buildup (interpretation)",IF(AND(R689&gt;0,S689&lt;0),"Short covering (interpretation)",IF(AND(R689&lt;0,S689&lt;0),"Long unwinding (interpretation)","Neutral")))))</f>
        <v>Short buildup (interpretation)</v>
      </c>
      <c r="V689" s="52" t="str">
        <f aca="false">TEXT(B689,"yyyy-mm")</f>
        <v>2025-10</v>
      </c>
      <c r="W689" s="52" t="n">
        <f aca="false">1+COUNTIFS($B$2:$B$756,B689,$C$2:$C$756,"&lt;"&amp;C689)</f>
        <v>3</v>
      </c>
      <c r="X689" s="53" t="n">
        <f aca="false">IF(AND(ISNUMBER(P689),Q689&gt;0),P689*365/Q689,"")</f>
        <v>0.0867049328999365</v>
      </c>
      <c r="Y689" s="42" t="n">
        <f aca="false">IF(AND(C690=C689,ISNUMBER(R690)),R690,"")</f>
        <v>-0.0220869922847866</v>
      </c>
      <c r="Z689" s="52" t="n">
        <f aca="false">IF(AND(W689=1,Q689&gt;Basis_Analysis!$B$3,ISNUMBER(Y689)),1,0)</f>
        <v>0</v>
      </c>
      <c r="AA689" s="43" t="str">
        <f aca="false">IF(W689=1,IF(SUMIFS($L$2:$L$756,$B$2:$B$756,B689,$W$2:$W$756,2)&gt;0,SUMIFS($L$2:$L$756,$B$2:$B$756,B689,$W$2:$W$756,2),""),"")</f>
        <v/>
      </c>
      <c r="AB689" s="54" t="str">
        <f aca="false">IF(AND(W689=1,ISNUMBER(AA689)),L689/(L689+AA689),"")</f>
        <v/>
      </c>
    </row>
    <row r="690" customFormat="false" ht="15" hidden="false" customHeight="true" outlineLevel="0" collapsed="false">
      <c r="A690" s="1" t="s">
        <v>274</v>
      </c>
      <c r="B690" s="46" t="n">
        <v>45964</v>
      </c>
      <c r="C690" s="46" t="n">
        <v>46049</v>
      </c>
      <c r="D690" s="47" t="n">
        <v>26249.9</v>
      </c>
      <c r="E690" s="47" t="n">
        <v>26285</v>
      </c>
      <c r="F690" s="47" t="n">
        <v>26147.1</v>
      </c>
      <c r="G690" s="47" t="n">
        <v>26254</v>
      </c>
      <c r="H690" s="47" t="n">
        <v>26255</v>
      </c>
      <c r="I690" s="47" t="n">
        <v>26254</v>
      </c>
      <c r="J690" s="48" t="n">
        <v>1004</v>
      </c>
      <c r="K690" s="47" t="n">
        <v>17112.91</v>
      </c>
      <c r="L690" s="48" t="n">
        <v>133900</v>
      </c>
      <c r="M690" s="48" t="n">
        <v>11245</v>
      </c>
      <c r="N690" s="47" t="n">
        <v>25763.35</v>
      </c>
      <c r="O690" s="47" t="n">
        <f aca="false">IF(AND(ISNUMBER(G690),ISNUMBER(N690)),G690-N690,"")</f>
        <v>490.650000000001</v>
      </c>
      <c r="P690" s="49" t="n">
        <f aca="false">IF(ISNUMBER(O690),O690/N690,"")</f>
        <v>0.0190444953781244</v>
      </c>
      <c r="Q690" s="50" t="n">
        <f aca="false">C690-B690</f>
        <v>85</v>
      </c>
      <c r="R690" s="51" t="n">
        <f aca="false">IF(AND(C690=C689,ISNUMBER(G690),ISNUMBER(G689)),(G690/G689-1)*100,"")</f>
        <v>-0.0220869922847866</v>
      </c>
      <c r="S690" s="51" t="n">
        <f aca="false">IF(AND(C690=C689,ISNUMBER(L690),ISNUMBER(L689)),(L690/L689-1)*100,"")</f>
        <v>9.16799152093271</v>
      </c>
      <c r="T690" s="51" t="n">
        <f aca="false">IF(AND(C690=C689,ISNUMBER(G690),ISNUMBER(G689)),G690-G689,"")</f>
        <v>-5.79999999999927</v>
      </c>
      <c r="U690" s="1" t="str">
        <f aca="false">IF(OR(NOT(ISNUMBER(R690)),NOT(ISNUMBER(S690))),"Not classified",IF(AND(R690&gt;0,S690&gt;0),"Long buildup (interpretation)",IF(AND(R690&lt;0,S690&gt;0),"Short buildup (interpretation)",IF(AND(R690&gt;0,S690&lt;0),"Short covering (interpretation)",IF(AND(R690&lt;0,S690&lt;0),"Long unwinding (interpretation)","Neutral")))))</f>
        <v>Short buildup (interpretation)</v>
      </c>
      <c r="V690" s="52" t="str">
        <f aca="false">TEXT(B690,"yyyy-mm")</f>
        <v>2025-11</v>
      </c>
      <c r="W690" s="52" t="n">
        <f aca="false">1+COUNTIFS($B$2:$B$756,B690,$C$2:$C$756,"&lt;"&amp;C690)</f>
        <v>3</v>
      </c>
      <c r="X690" s="53" t="n">
        <f aca="false">IF(AND(ISNUMBER(P690),Q690&gt;0),P690*365/Q690,"")</f>
        <v>0.0817793036825342</v>
      </c>
      <c r="Y690" s="42" t="n">
        <f aca="false">IF(AND(C691=C690,ISNUMBER(R691)),R691,"")</f>
        <v>-0.650186638226558</v>
      </c>
      <c r="Z690" s="52" t="n">
        <f aca="false">IF(AND(W690=1,Q690&gt;Basis_Analysis!$B$3,ISNUMBER(Y690)),1,0)</f>
        <v>0</v>
      </c>
      <c r="AA690" s="43" t="str">
        <f aca="false">IF(W690=1,IF(SUMIFS($L$2:$L$756,$B$2:$B$756,B690,$W$2:$W$756,2)&gt;0,SUMIFS($L$2:$L$756,$B$2:$B$756,B690,$W$2:$W$756,2),""),"")</f>
        <v/>
      </c>
      <c r="AB690" s="54" t="str">
        <f aca="false">IF(AND(W690=1,ISNUMBER(AA690)),L690/(L690+AA690),"")</f>
        <v/>
      </c>
    </row>
    <row r="691" customFormat="false" ht="15" hidden="false" customHeight="true" outlineLevel="0" collapsed="false">
      <c r="A691" s="1" t="s">
        <v>274</v>
      </c>
      <c r="B691" s="46" t="n">
        <v>45965</v>
      </c>
      <c r="C691" s="46" t="n">
        <v>46049</v>
      </c>
      <c r="D691" s="47" t="n">
        <v>26235</v>
      </c>
      <c r="E691" s="47" t="n">
        <v>26255</v>
      </c>
      <c r="F691" s="47" t="n">
        <v>26066.4</v>
      </c>
      <c r="G691" s="47" t="n">
        <v>26083.3</v>
      </c>
      <c r="H691" s="47" t="n">
        <v>26066.4</v>
      </c>
      <c r="I691" s="47" t="n">
        <v>26083.3</v>
      </c>
      <c r="J691" s="48" t="n">
        <v>1634</v>
      </c>
      <c r="K691" s="47" t="n">
        <v>27768.72</v>
      </c>
      <c r="L691" s="48" t="n">
        <v>182130</v>
      </c>
      <c r="M691" s="48" t="n">
        <v>48230</v>
      </c>
      <c r="N691" s="47" t="n">
        <v>25597.65</v>
      </c>
      <c r="O691" s="47" t="n">
        <f aca="false">IF(AND(ISNUMBER(G691),ISNUMBER(N691)),G691-N691,"")</f>
        <v>485.649999999998</v>
      </c>
      <c r="P691" s="49" t="n">
        <f aca="false">IF(ISNUMBER(O691),O691/N691,"")</f>
        <v>0.0189724447361378</v>
      </c>
      <c r="Q691" s="50" t="n">
        <f aca="false">C691-B691</f>
        <v>84</v>
      </c>
      <c r="R691" s="51" t="n">
        <f aca="false">IF(AND(C691=C690,ISNUMBER(G691),ISNUMBER(G690)),(G691/G690-1)*100,"")</f>
        <v>-0.650186638226558</v>
      </c>
      <c r="S691" s="51" t="n">
        <f aca="false">IF(AND(C691=C690,ISNUMBER(L691),ISNUMBER(L690)),(L691/L690-1)*100,"")</f>
        <v>36.0194174757282</v>
      </c>
      <c r="T691" s="51" t="n">
        <f aca="false">IF(AND(C691=C690,ISNUMBER(G691),ISNUMBER(G690)),G691-G690,"")</f>
        <v>-170.700000000001</v>
      </c>
      <c r="U691" s="1" t="str">
        <f aca="false">IF(OR(NOT(ISNUMBER(R691)),NOT(ISNUMBER(S691))),"Not classified",IF(AND(R691&gt;0,S691&gt;0),"Long buildup (interpretation)",IF(AND(R691&lt;0,S691&gt;0),"Short buildup (interpretation)",IF(AND(R691&gt;0,S691&lt;0),"Short covering (interpretation)",IF(AND(R691&lt;0,S691&lt;0),"Long unwinding (interpretation)","Neutral")))))</f>
        <v>Short buildup (interpretation)</v>
      </c>
      <c r="V691" s="52" t="str">
        <f aca="false">TEXT(B691,"yyyy-mm")</f>
        <v>2025-11</v>
      </c>
      <c r="W691" s="52" t="n">
        <f aca="false">1+COUNTIFS($B$2:$B$756,B691,$C$2:$C$756,"&lt;"&amp;C691)</f>
        <v>3</v>
      </c>
      <c r="X691" s="53" t="n">
        <f aca="false">IF(AND(ISNUMBER(P691),Q691&gt;0),P691*365/Q691,"")</f>
        <v>0.0824397896272655</v>
      </c>
      <c r="Y691" s="42" t="n">
        <f aca="false">IF(AND(C692=C691,ISNUMBER(R692)),R692,"")</f>
        <v>-0.356933363493106</v>
      </c>
      <c r="Z691" s="52" t="n">
        <f aca="false">IF(AND(W691=1,Q691&gt;Basis_Analysis!$B$3,ISNUMBER(Y691)),1,0)</f>
        <v>0</v>
      </c>
      <c r="AA691" s="43" t="str">
        <f aca="false">IF(W691=1,IF(SUMIFS($L$2:$L$756,$B$2:$B$756,B691,$W$2:$W$756,2)&gt;0,SUMIFS($L$2:$L$756,$B$2:$B$756,B691,$W$2:$W$756,2),""),"")</f>
        <v/>
      </c>
      <c r="AB691" s="54" t="str">
        <f aca="false">IF(AND(W691=1,ISNUMBER(AA691)),L691/(L691+AA691),"")</f>
        <v/>
      </c>
    </row>
    <row r="692" customFormat="false" ht="15" hidden="false" customHeight="true" outlineLevel="0" collapsed="false">
      <c r="A692" s="1" t="s">
        <v>274</v>
      </c>
      <c r="B692" s="46" t="n">
        <v>45967</v>
      </c>
      <c r="C692" s="46" t="n">
        <v>46049</v>
      </c>
      <c r="D692" s="47" t="n">
        <v>26083.3</v>
      </c>
      <c r="E692" s="47" t="n">
        <v>26159.2</v>
      </c>
      <c r="F692" s="47" t="n">
        <v>25975</v>
      </c>
      <c r="G692" s="47" t="n">
        <v>25990.2</v>
      </c>
      <c r="H692" s="47" t="n">
        <v>25990.3</v>
      </c>
      <c r="I692" s="47" t="n">
        <v>25990.2</v>
      </c>
      <c r="J692" s="48" t="n">
        <v>1364</v>
      </c>
      <c r="K692" s="47" t="n">
        <v>23086.11</v>
      </c>
      <c r="L692" s="48" t="n">
        <v>210275</v>
      </c>
      <c r="M692" s="48" t="n">
        <v>28145</v>
      </c>
      <c r="N692" s="47" t="n">
        <v>25509.7</v>
      </c>
      <c r="O692" s="47" t="n">
        <f aca="false">IF(AND(ISNUMBER(G692),ISNUMBER(N692)),G692-N692,"")</f>
        <v>480.5</v>
      </c>
      <c r="P692" s="49" t="n">
        <f aca="false">IF(ISNUMBER(O692),O692/N692,"")</f>
        <v>0.0188359721988106</v>
      </c>
      <c r="Q692" s="50" t="n">
        <f aca="false">C692-B692</f>
        <v>82</v>
      </c>
      <c r="R692" s="51" t="n">
        <f aca="false">IF(AND(C692=C691,ISNUMBER(G692),ISNUMBER(G691)),(G692/G691-1)*100,"")</f>
        <v>-0.356933363493106</v>
      </c>
      <c r="S692" s="51" t="n">
        <f aca="false">IF(AND(C692=C691,ISNUMBER(L692),ISNUMBER(L691)),(L692/L691-1)*100,"")</f>
        <v>15.4532476802284</v>
      </c>
      <c r="T692" s="51" t="n">
        <f aca="false">IF(AND(C692=C691,ISNUMBER(G692),ISNUMBER(G691)),G692-G691,"")</f>
        <v>-93.0999999999985</v>
      </c>
      <c r="U692" s="1" t="str">
        <f aca="false">IF(OR(NOT(ISNUMBER(R692)),NOT(ISNUMBER(S692))),"Not classified",IF(AND(R692&gt;0,S692&gt;0),"Long buildup (interpretation)",IF(AND(R692&lt;0,S692&gt;0),"Short buildup (interpretation)",IF(AND(R692&gt;0,S692&lt;0),"Short covering (interpretation)",IF(AND(R692&lt;0,S692&lt;0),"Long unwinding (interpretation)","Neutral")))))</f>
        <v>Short buildup (interpretation)</v>
      </c>
      <c r="V692" s="52" t="str">
        <f aca="false">TEXT(B692,"yyyy-mm")</f>
        <v>2025-11</v>
      </c>
      <c r="W692" s="52" t="n">
        <f aca="false">1+COUNTIFS($B$2:$B$756,B692,$C$2:$C$756,"&lt;"&amp;C692)</f>
        <v>3</v>
      </c>
      <c r="X692" s="53" t="n">
        <f aca="false">IF(AND(ISNUMBER(P692),Q692&gt;0),P692*365/Q692,"")</f>
        <v>0.0838430469825108</v>
      </c>
      <c r="Y692" s="42" t="n">
        <f aca="false">IF(AND(C693=C692,ISNUMBER(R693)),R693,"")</f>
        <v>-0.131203299705285</v>
      </c>
      <c r="Z692" s="52" t="n">
        <f aca="false">IF(AND(W692=1,Q692&gt;Basis_Analysis!$B$3,ISNUMBER(Y692)),1,0)</f>
        <v>0</v>
      </c>
      <c r="AA692" s="43" t="str">
        <f aca="false">IF(W692=1,IF(SUMIFS($L$2:$L$756,$B$2:$B$756,B692,$W$2:$W$756,2)&gt;0,SUMIFS($L$2:$L$756,$B$2:$B$756,B692,$W$2:$W$756,2),""),"")</f>
        <v/>
      </c>
      <c r="AB692" s="54" t="str">
        <f aca="false">IF(AND(W692=1,ISNUMBER(AA692)),L692/(L692+AA692),"")</f>
        <v/>
      </c>
    </row>
    <row r="693" customFormat="false" ht="15" hidden="false" customHeight="true" outlineLevel="0" collapsed="false">
      <c r="A693" s="1" t="s">
        <v>274</v>
      </c>
      <c r="B693" s="46" t="n">
        <v>45968</v>
      </c>
      <c r="C693" s="46" t="n">
        <v>46049</v>
      </c>
      <c r="D693" s="47" t="n">
        <v>25900.1</v>
      </c>
      <c r="E693" s="47" t="n">
        <v>26015.8</v>
      </c>
      <c r="F693" s="47" t="n">
        <v>25803.2</v>
      </c>
      <c r="G693" s="47" t="n">
        <v>25956.1</v>
      </c>
      <c r="H693" s="47" t="n">
        <v>25985</v>
      </c>
      <c r="I693" s="47" t="n">
        <v>25956.1</v>
      </c>
      <c r="J693" s="48" t="n">
        <v>2087</v>
      </c>
      <c r="K693" s="47" t="n">
        <v>35132.75</v>
      </c>
      <c r="L693" s="48" t="n">
        <v>238550</v>
      </c>
      <c r="M693" s="48" t="n">
        <v>28275</v>
      </c>
      <c r="N693" s="47" t="n">
        <v>25492.3</v>
      </c>
      <c r="O693" s="47" t="n">
        <f aca="false">IF(AND(ISNUMBER(G693),ISNUMBER(N693)),G693-N693,"")</f>
        <v>463.799999999999</v>
      </c>
      <c r="P693" s="49" t="n">
        <f aca="false">IF(ISNUMBER(O693),O693/N693,"")</f>
        <v>0.0181937290868223</v>
      </c>
      <c r="Q693" s="50" t="n">
        <f aca="false">C693-B693</f>
        <v>81</v>
      </c>
      <c r="R693" s="51" t="n">
        <f aca="false">IF(AND(C693=C692,ISNUMBER(G693),ISNUMBER(G692)),(G693/G692-1)*100,"")</f>
        <v>-0.131203299705285</v>
      </c>
      <c r="S693" s="51" t="n">
        <f aca="false">IF(AND(C693=C692,ISNUMBER(L693),ISNUMBER(L692)),(L693/L692-1)*100,"")</f>
        <v>13.4466769706337</v>
      </c>
      <c r="T693" s="51" t="n">
        <f aca="false">IF(AND(C693=C692,ISNUMBER(G693),ISNUMBER(G692)),G693-G692,"")</f>
        <v>-34.1000000000022</v>
      </c>
      <c r="U693" s="1" t="str">
        <f aca="false">IF(OR(NOT(ISNUMBER(R693)),NOT(ISNUMBER(S693))),"Not classified",IF(AND(R693&gt;0,S693&gt;0),"Long buildup (interpretation)",IF(AND(R693&lt;0,S693&gt;0),"Short buildup (interpretation)",IF(AND(R693&gt;0,S693&lt;0),"Short covering (interpretation)",IF(AND(R693&lt;0,S693&lt;0),"Long unwinding (interpretation)","Neutral")))))</f>
        <v>Short buildup (interpretation)</v>
      </c>
      <c r="V693" s="52" t="str">
        <f aca="false">TEXT(B693,"yyyy-mm")</f>
        <v>2025-11</v>
      </c>
      <c r="W693" s="52" t="n">
        <f aca="false">1+COUNTIFS($B$2:$B$756,B693,$C$2:$C$756,"&lt;"&amp;C693)</f>
        <v>3</v>
      </c>
      <c r="X693" s="53" t="n">
        <f aca="false">IF(AND(ISNUMBER(P693),Q693&gt;0),P693*365/Q693,"")</f>
        <v>0.0819840878603719</v>
      </c>
      <c r="Y693" s="42" t="n">
        <f aca="false">IF(AND(C694=C693,ISNUMBER(R694)),R694,"")</f>
        <v>0.388733284276155</v>
      </c>
      <c r="Z693" s="52" t="n">
        <f aca="false">IF(AND(W693=1,Q693&gt;Basis_Analysis!$B$3,ISNUMBER(Y693)),1,0)</f>
        <v>0</v>
      </c>
      <c r="AA693" s="43" t="str">
        <f aca="false">IF(W693=1,IF(SUMIFS($L$2:$L$756,$B$2:$B$756,B693,$W$2:$W$756,2)&gt;0,SUMIFS($L$2:$L$756,$B$2:$B$756,B693,$W$2:$W$756,2),""),"")</f>
        <v/>
      </c>
      <c r="AB693" s="54" t="str">
        <f aca="false">IF(AND(W693=1,ISNUMBER(AA693)),L693/(L693+AA693),"")</f>
        <v/>
      </c>
    </row>
    <row r="694" customFormat="false" ht="15" hidden="false" customHeight="true" outlineLevel="0" collapsed="false">
      <c r="A694" s="1" t="s">
        <v>274</v>
      </c>
      <c r="B694" s="46" t="n">
        <v>45971</v>
      </c>
      <c r="C694" s="46" t="n">
        <v>46049</v>
      </c>
      <c r="D694" s="47" t="n">
        <v>25956.1</v>
      </c>
      <c r="E694" s="47" t="n">
        <v>26098.9</v>
      </c>
      <c r="F694" s="47" t="n">
        <v>25956.1</v>
      </c>
      <c r="G694" s="47" t="n">
        <v>26057</v>
      </c>
      <c r="H694" s="47" t="n">
        <v>26043.9</v>
      </c>
      <c r="I694" s="47" t="n">
        <v>26057</v>
      </c>
      <c r="J694" s="48" t="n">
        <v>1189</v>
      </c>
      <c r="K694" s="47" t="n">
        <v>20139.08</v>
      </c>
      <c r="L694" s="48" t="n">
        <v>246675</v>
      </c>
      <c r="M694" s="48" t="n">
        <v>8125</v>
      </c>
      <c r="N694" s="47" t="n">
        <v>25574.35</v>
      </c>
      <c r="O694" s="47" t="n">
        <f aca="false">IF(AND(ISNUMBER(G694),ISNUMBER(N694)),G694-N694,"")</f>
        <v>482.650000000001</v>
      </c>
      <c r="P694" s="49" t="n">
        <f aca="false">IF(ISNUMBER(O694),O694/N694,"")</f>
        <v>0.0188724249101151</v>
      </c>
      <c r="Q694" s="50" t="n">
        <f aca="false">C694-B694</f>
        <v>78</v>
      </c>
      <c r="R694" s="51" t="n">
        <f aca="false">IF(AND(C694=C693,ISNUMBER(G694),ISNUMBER(G693)),(G694/G693-1)*100,"")</f>
        <v>0.388733284276155</v>
      </c>
      <c r="S694" s="51" t="n">
        <f aca="false">IF(AND(C694=C693,ISNUMBER(L694),ISNUMBER(L693)),(L694/L693-1)*100,"")</f>
        <v>3.40599455040871</v>
      </c>
      <c r="T694" s="51" t="n">
        <f aca="false">IF(AND(C694=C693,ISNUMBER(G694),ISNUMBER(G693)),G694-G693,"")</f>
        <v>100.900000000001</v>
      </c>
      <c r="U694" s="1" t="str">
        <f aca="false">IF(OR(NOT(ISNUMBER(R694)),NOT(ISNUMBER(S694))),"Not classified",IF(AND(R694&gt;0,S694&gt;0),"Long buildup (interpretation)",IF(AND(R694&lt;0,S694&gt;0),"Short buildup (interpretation)",IF(AND(R694&gt;0,S694&lt;0),"Short covering (interpretation)",IF(AND(R694&lt;0,S694&lt;0),"Long unwinding (interpretation)","Neutral")))))</f>
        <v>Long buildup (interpretation)</v>
      </c>
      <c r="V694" s="52" t="str">
        <f aca="false">TEXT(B694,"yyyy-mm")</f>
        <v>2025-11</v>
      </c>
      <c r="W694" s="52" t="n">
        <f aca="false">1+COUNTIFS($B$2:$B$756,B694,$C$2:$C$756,"&lt;"&amp;C694)</f>
        <v>3</v>
      </c>
      <c r="X694" s="53" t="n">
        <f aca="false">IF(AND(ISNUMBER(P694),Q694&gt;0),P694*365/Q694,"")</f>
        <v>0.088313270412718</v>
      </c>
      <c r="Y694" s="42" t="n">
        <f aca="false">IF(AND(C695=C694,ISNUMBER(R695)),R695,"")</f>
        <v>0.41447595655677</v>
      </c>
      <c r="Z694" s="52" t="n">
        <f aca="false">IF(AND(W694=1,Q694&gt;Basis_Analysis!$B$3,ISNUMBER(Y694)),1,0)</f>
        <v>0</v>
      </c>
      <c r="AA694" s="43" t="str">
        <f aca="false">IF(W694=1,IF(SUMIFS($L$2:$L$756,$B$2:$B$756,B694,$W$2:$W$756,2)&gt;0,SUMIFS($L$2:$L$756,$B$2:$B$756,B694,$W$2:$W$756,2),""),"")</f>
        <v/>
      </c>
      <c r="AB694" s="54" t="str">
        <f aca="false">IF(AND(W694=1,ISNUMBER(AA694)),L694/(L694+AA694),"")</f>
        <v/>
      </c>
    </row>
    <row r="695" customFormat="false" ht="15" hidden="false" customHeight="true" outlineLevel="0" collapsed="false">
      <c r="A695" s="1" t="s">
        <v>274</v>
      </c>
      <c r="B695" s="46" t="n">
        <v>45972</v>
      </c>
      <c r="C695" s="46" t="n">
        <v>46049</v>
      </c>
      <c r="D695" s="47" t="n">
        <v>26038</v>
      </c>
      <c r="E695" s="47" t="n">
        <v>26187</v>
      </c>
      <c r="F695" s="47" t="n">
        <v>25935</v>
      </c>
      <c r="G695" s="47" t="n">
        <v>26165</v>
      </c>
      <c r="H695" s="47" t="n">
        <v>26187</v>
      </c>
      <c r="I695" s="47" t="n">
        <v>26165</v>
      </c>
      <c r="J695" s="48" t="n">
        <v>1863</v>
      </c>
      <c r="K695" s="47" t="n">
        <v>31559.02</v>
      </c>
      <c r="L695" s="48" t="n">
        <v>254150</v>
      </c>
      <c r="M695" s="48" t="n">
        <v>7475</v>
      </c>
      <c r="N695" s="47" t="n">
        <v>25694.95</v>
      </c>
      <c r="O695" s="47" t="n">
        <f aca="false">IF(AND(ISNUMBER(G695),ISNUMBER(N695)),G695-N695,"")</f>
        <v>470.049999999999</v>
      </c>
      <c r="P695" s="49" t="n">
        <f aca="false">IF(ISNUMBER(O695),O695/N695,"")</f>
        <v>0.0182934779012996</v>
      </c>
      <c r="Q695" s="50" t="n">
        <f aca="false">C695-B695</f>
        <v>77</v>
      </c>
      <c r="R695" s="51" t="n">
        <f aca="false">IF(AND(C695=C694,ISNUMBER(G695),ISNUMBER(G694)),(G695/G694-1)*100,"")</f>
        <v>0.41447595655677</v>
      </c>
      <c r="S695" s="51" t="n">
        <f aca="false">IF(AND(C695=C694,ISNUMBER(L695),ISNUMBER(L694)),(L695/L694-1)*100,"")</f>
        <v>3.03030303030303</v>
      </c>
      <c r="T695" s="51" t="n">
        <f aca="false">IF(AND(C695=C694,ISNUMBER(G695),ISNUMBER(G694)),G695-G694,"")</f>
        <v>108</v>
      </c>
      <c r="U695" s="1" t="str">
        <f aca="false">IF(OR(NOT(ISNUMBER(R695)),NOT(ISNUMBER(S695))),"Not classified",IF(AND(R695&gt;0,S695&gt;0),"Long buildup (interpretation)",IF(AND(R695&lt;0,S695&gt;0),"Short buildup (interpretation)",IF(AND(R695&gt;0,S695&lt;0),"Short covering (interpretation)",IF(AND(R695&lt;0,S695&lt;0),"Long unwinding (interpretation)","Neutral")))))</f>
        <v>Long buildup (interpretation)</v>
      </c>
      <c r="V695" s="52" t="str">
        <f aca="false">TEXT(B695,"yyyy-mm")</f>
        <v>2025-11</v>
      </c>
      <c r="W695" s="52" t="n">
        <f aca="false">1+COUNTIFS($B$2:$B$756,B695,$C$2:$C$756,"&lt;"&amp;C695)</f>
        <v>3</v>
      </c>
      <c r="X695" s="53" t="n">
        <f aca="false">IF(AND(ISNUMBER(P695),Q695&gt;0),P695*365/Q695,"")</f>
        <v>0.086715836804862</v>
      </c>
      <c r="Y695" s="42" t="n">
        <f aca="false">IF(AND(C696=C695,ISNUMBER(R696)),R696,"")</f>
        <v>0.624880565641117</v>
      </c>
      <c r="Z695" s="52" t="n">
        <f aca="false">IF(AND(W695=1,Q695&gt;Basis_Analysis!$B$3,ISNUMBER(Y695)),1,0)</f>
        <v>0</v>
      </c>
      <c r="AA695" s="43" t="str">
        <f aca="false">IF(W695=1,IF(SUMIFS($L$2:$L$756,$B$2:$B$756,B695,$W$2:$W$756,2)&gt;0,SUMIFS($L$2:$L$756,$B$2:$B$756,B695,$W$2:$W$756,2),""),"")</f>
        <v/>
      </c>
      <c r="AB695" s="54" t="str">
        <f aca="false">IF(AND(W695=1,ISNUMBER(AA695)),L695/(L695+AA695),"")</f>
        <v/>
      </c>
    </row>
    <row r="696" customFormat="false" ht="15" hidden="false" customHeight="true" outlineLevel="0" collapsed="false">
      <c r="A696" s="1" t="s">
        <v>274</v>
      </c>
      <c r="B696" s="46" t="n">
        <v>45973</v>
      </c>
      <c r="C696" s="46" t="n">
        <v>46049</v>
      </c>
      <c r="D696" s="47" t="n">
        <v>26282.7</v>
      </c>
      <c r="E696" s="47" t="n">
        <v>26350</v>
      </c>
      <c r="F696" s="47" t="n">
        <v>26245.7</v>
      </c>
      <c r="G696" s="47" t="n">
        <v>26328.5</v>
      </c>
      <c r="H696" s="47" t="n">
        <v>26315.4</v>
      </c>
      <c r="I696" s="47" t="n">
        <v>26328.5</v>
      </c>
      <c r="J696" s="48" t="n">
        <v>2129</v>
      </c>
      <c r="K696" s="47" t="n">
        <v>36396.74</v>
      </c>
      <c r="L696" s="48" t="n">
        <v>232830</v>
      </c>
      <c r="M696" s="48" t="n">
        <v>-21320</v>
      </c>
      <c r="N696" s="47" t="n">
        <v>25875.8</v>
      </c>
      <c r="O696" s="47" t="n">
        <f aca="false">IF(AND(ISNUMBER(G696),ISNUMBER(N696)),G696-N696,"")</f>
        <v>452.700000000001</v>
      </c>
      <c r="P696" s="49" t="n">
        <f aca="false">IF(ISNUMBER(O696),O696/N696,"")</f>
        <v>0.0174951112622605</v>
      </c>
      <c r="Q696" s="50" t="n">
        <f aca="false">C696-B696</f>
        <v>76</v>
      </c>
      <c r="R696" s="51" t="n">
        <f aca="false">IF(AND(C696=C695,ISNUMBER(G696),ISNUMBER(G695)),(G696/G695-1)*100,"")</f>
        <v>0.624880565641117</v>
      </c>
      <c r="S696" s="51" t="n">
        <f aca="false">IF(AND(C696=C695,ISNUMBER(L696),ISNUMBER(L695)),(L696/L695-1)*100,"")</f>
        <v>-8.38874680306906</v>
      </c>
      <c r="T696" s="51" t="n">
        <f aca="false">IF(AND(C696=C695,ISNUMBER(G696),ISNUMBER(G695)),G696-G695,"")</f>
        <v>163.5</v>
      </c>
      <c r="U696" s="1" t="str">
        <f aca="false">IF(OR(NOT(ISNUMBER(R696)),NOT(ISNUMBER(S696))),"Not classified",IF(AND(R696&gt;0,S696&gt;0),"Long buildup (interpretation)",IF(AND(R696&lt;0,S696&gt;0),"Short buildup (interpretation)",IF(AND(R696&gt;0,S696&lt;0),"Short covering (interpretation)",IF(AND(R696&lt;0,S696&lt;0),"Long unwinding (interpretation)","Neutral")))))</f>
        <v>Short covering (interpretation)</v>
      </c>
      <c r="V696" s="52" t="str">
        <f aca="false">TEXT(B696,"yyyy-mm")</f>
        <v>2025-11</v>
      </c>
      <c r="W696" s="52" t="n">
        <f aca="false">1+COUNTIFS($B$2:$B$756,B696,$C$2:$C$756,"&lt;"&amp;C696)</f>
        <v>3</v>
      </c>
      <c r="X696" s="53" t="n">
        <f aca="false">IF(AND(ISNUMBER(P696),Q696&gt;0),P696*365/Q696,"")</f>
        <v>0.0840225738253301</v>
      </c>
      <c r="Y696" s="42" t="n">
        <f aca="false">IF(AND(C697=C696,ISNUMBER(R697)),R697,"")</f>
        <v>-0.0809009248532888</v>
      </c>
      <c r="Z696" s="52" t="n">
        <f aca="false">IF(AND(W696=1,Q696&gt;Basis_Analysis!$B$3,ISNUMBER(Y696)),1,0)</f>
        <v>0</v>
      </c>
      <c r="AA696" s="43" t="str">
        <f aca="false">IF(W696=1,IF(SUMIFS($L$2:$L$756,$B$2:$B$756,B696,$W$2:$W$756,2)&gt;0,SUMIFS($L$2:$L$756,$B$2:$B$756,B696,$W$2:$W$756,2),""),"")</f>
        <v/>
      </c>
      <c r="AB696" s="54" t="str">
        <f aca="false">IF(AND(W696=1,ISNUMBER(AA696)),L696/(L696+AA696),"")</f>
        <v/>
      </c>
    </row>
    <row r="697" customFormat="false" ht="15" hidden="false" customHeight="true" outlineLevel="0" collapsed="false">
      <c r="A697" s="1" t="s">
        <v>274</v>
      </c>
      <c r="B697" s="46" t="n">
        <v>45974</v>
      </c>
      <c r="C697" s="46" t="n">
        <v>46049</v>
      </c>
      <c r="D697" s="47" t="n">
        <v>26318.8</v>
      </c>
      <c r="E697" s="47" t="n">
        <v>26418</v>
      </c>
      <c r="F697" s="47" t="n">
        <v>26260.1</v>
      </c>
      <c r="G697" s="47" t="n">
        <v>26307.2</v>
      </c>
      <c r="H697" s="47" t="n">
        <v>26313.5</v>
      </c>
      <c r="I697" s="47" t="n">
        <v>26307.2</v>
      </c>
      <c r="J697" s="48" t="n">
        <v>2340</v>
      </c>
      <c r="K697" s="47" t="n">
        <v>40065.2</v>
      </c>
      <c r="L697" s="48" t="n">
        <v>242645</v>
      </c>
      <c r="M697" s="48" t="n">
        <v>9815</v>
      </c>
      <c r="N697" s="47" t="n">
        <v>25879.15</v>
      </c>
      <c r="O697" s="47" t="n">
        <f aca="false">IF(AND(ISNUMBER(G697),ISNUMBER(N697)),G697-N697,"")</f>
        <v>428.049999999999</v>
      </c>
      <c r="P697" s="49" t="n">
        <f aca="false">IF(ISNUMBER(O697),O697/N697,"")</f>
        <v>0.0165403423219078</v>
      </c>
      <c r="Q697" s="50" t="n">
        <f aca="false">C697-B697</f>
        <v>75</v>
      </c>
      <c r="R697" s="51" t="n">
        <f aca="false">IF(AND(C697=C696,ISNUMBER(G697),ISNUMBER(G696)),(G697/G696-1)*100,"")</f>
        <v>-0.0809009248532888</v>
      </c>
      <c r="S697" s="51" t="n">
        <f aca="false">IF(AND(C697=C696,ISNUMBER(L697),ISNUMBER(L696)),(L697/L696-1)*100,"")</f>
        <v>4.21552205471802</v>
      </c>
      <c r="T697" s="51" t="n">
        <f aca="false">IF(AND(C697=C696,ISNUMBER(G697),ISNUMBER(G696)),G697-G696,"")</f>
        <v>-21.2999999999993</v>
      </c>
      <c r="U697" s="1" t="str">
        <f aca="false">IF(OR(NOT(ISNUMBER(R697)),NOT(ISNUMBER(S697))),"Not classified",IF(AND(R697&gt;0,S697&gt;0),"Long buildup (interpretation)",IF(AND(R697&lt;0,S697&gt;0),"Short buildup (interpretation)",IF(AND(R697&gt;0,S697&lt;0),"Short covering (interpretation)",IF(AND(R697&lt;0,S697&lt;0),"Long unwinding (interpretation)","Neutral")))))</f>
        <v>Short buildup (interpretation)</v>
      </c>
      <c r="V697" s="52" t="str">
        <f aca="false">TEXT(B697,"yyyy-mm")</f>
        <v>2025-11</v>
      </c>
      <c r="W697" s="52" t="n">
        <f aca="false">1+COUNTIFS($B$2:$B$756,B697,$C$2:$C$756,"&lt;"&amp;C697)</f>
        <v>3</v>
      </c>
      <c r="X697" s="53" t="n">
        <f aca="false">IF(AND(ISNUMBER(P697),Q697&gt;0),P697*365/Q697,"")</f>
        <v>0.0804963326332844</v>
      </c>
      <c r="Y697" s="42" t="n">
        <f aca="false">IF(AND(C698=C697,ISNUMBER(R698)),R698,"")</f>
        <v>-0.0239478165673268</v>
      </c>
      <c r="Z697" s="52" t="n">
        <f aca="false">IF(AND(W697=1,Q697&gt;Basis_Analysis!$B$3,ISNUMBER(Y697)),1,0)</f>
        <v>0</v>
      </c>
      <c r="AA697" s="43" t="str">
        <f aca="false">IF(W697=1,IF(SUMIFS($L$2:$L$756,$B$2:$B$756,B697,$W$2:$W$756,2)&gt;0,SUMIFS($L$2:$L$756,$B$2:$B$756,B697,$W$2:$W$756,2),""),"")</f>
        <v/>
      </c>
      <c r="AB697" s="54" t="str">
        <f aca="false">IF(AND(W697=1,ISNUMBER(AA697)),L697/(L697+AA697),"")</f>
        <v/>
      </c>
    </row>
    <row r="698" customFormat="false" ht="15" hidden="false" customHeight="true" outlineLevel="0" collapsed="false">
      <c r="A698" s="1" t="s">
        <v>274</v>
      </c>
      <c r="B698" s="46" t="n">
        <v>45975</v>
      </c>
      <c r="C698" s="46" t="n">
        <v>46049</v>
      </c>
      <c r="D698" s="47" t="n">
        <v>26250.1</v>
      </c>
      <c r="E698" s="47" t="n">
        <v>26344.8</v>
      </c>
      <c r="F698" s="47" t="n">
        <v>26188</v>
      </c>
      <c r="G698" s="47" t="n">
        <v>26300.9</v>
      </c>
      <c r="H698" s="47" t="n">
        <v>26308</v>
      </c>
      <c r="I698" s="47" t="n">
        <v>26300.9</v>
      </c>
      <c r="J698" s="48" t="n">
        <v>2864</v>
      </c>
      <c r="K698" s="47" t="n">
        <v>48886.93</v>
      </c>
      <c r="L698" s="48" t="n">
        <v>281515</v>
      </c>
      <c r="M698" s="48" t="n">
        <v>38870</v>
      </c>
      <c r="N698" s="47" t="n">
        <v>25910.05</v>
      </c>
      <c r="O698" s="47" t="n">
        <f aca="false">IF(AND(ISNUMBER(G698),ISNUMBER(N698)),G698-N698,"")</f>
        <v>390.850000000002</v>
      </c>
      <c r="P698" s="49" t="n">
        <f aca="false">IF(ISNUMBER(O698),O698/N698,"")</f>
        <v>0.0150848801912772</v>
      </c>
      <c r="Q698" s="50" t="n">
        <f aca="false">C698-B698</f>
        <v>74</v>
      </c>
      <c r="R698" s="51" t="n">
        <f aca="false">IF(AND(C698=C697,ISNUMBER(G698),ISNUMBER(G697)),(G698/G697-1)*100,"")</f>
        <v>-0.0239478165673268</v>
      </c>
      <c r="S698" s="51" t="n">
        <f aca="false">IF(AND(C698=C697,ISNUMBER(L698),ISNUMBER(L697)),(L698/L697-1)*100,"")</f>
        <v>16.0192874363782</v>
      </c>
      <c r="T698" s="51" t="n">
        <f aca="false">IF(AND(C698=C697,ISNUMBER(G698),ISNUMBER(G697)),G698-G697,"")</f>
        <v>-6.29999999999927</v>
      </c>
      <c r="U698" s="1" t="str">
        <f aca="false">IF(OR(NOT(ISNUMBER(R698)),NOT(ISNUMBER(S698))),"Not classified",IF(AND(R698&gt;0,S698&gt;0),"Long buildup (interpretation)",IF(AND(R698&lt;0,S698&gt;0),"Short buildup (interpretation)",IF(AND(R698&gt;0,S698&lt;0),"Short covering (interpretation)",IF(AND(R698&lt;0,S698&lt;0),"Long unwinding (interpretation)","Neutral")))))</f>
        <v>Short buildup (interpretation)</v>
      </c>
      <c r="V698" s="52" t="str">
        <f aca="false">TEXT(B698,"yyyy-mm")</f>
        <v>2025-11</v>
      </c>
      <c r="W698" s="52" t="n">
        <f aca="false">1+COUNTIFS($B$2:$B$756,B698,$C$2:$C$756,"&lt;"&amp;C698)</f>
        <v>3</v>
      </c>
      <c r="X698" s="53" t="n">
        <f aca="false">IF(AND(ISNUMBER(P698),Q698&gt;0),P698*365/Q698,"")</f>
        <v>0.0744051522948133</v>
      </c>
      <c r="Y698" s="42" t="n">
        <f aca="false">IF(AND(C699=C698,ISNUMBER(R699)),R699,"")</f>
        <v>0.379454695466697</v>
      </c>
      <c r="Z698" s="52" t="n">
        <f aca="false">IF(AND(W698=1,Q698&gt;Basis_Analysis!$B$3,ISNUMBER(Y698)),1,0)</f>
        <v>0</v>
      </c>
      <c r="AA698" s="43" t="str">
        <f aca="false">IF(W698=1,IF(SUMIFS($L$2:$L$756,$B$2:$B$756,B698,$W$2:$W$756,2)&gt;0,SUMIFS($L$2:$L$756,$B$2:$B$756,B698,$W$2:$W$756,2),""),"")</f>
        <v/>
      </c>
      <c r="AB698" s="54" t="str">
        <f aca="false">IF(AND(W698=1,ISNUMBER(AA698)),L698/(L698+AA698),"")</f>
        <v/>
      </c>
    </row>
    <row r="699" customFormat="false" ht="15" hidden="false" customHeight="true" outlineLevel="0" collapsed="false">
      <c r="A699" s="1" t="s">
        <v>274</v>
      </c>
      <c r="B699" s="46" t="n">
        <v>45978</v>
      </c>
      <c r="C699" s="46" t="n">
        <v>46049</v>
      </c>
      <c r="D699" s="47" t="n">
        <v>26330</v>
      </c>
      <c r="E699" s="47" t="n">
        <v>26414.8</v>
      </c>
      <c r="F699" s="47" t="n">
        <v>26309.9</v>
      </c>
      <c r="G699" s="47" t="n">
        <v>26400.7</v>
      </c>
      <c r="H699" s="47" t="n">
        <v>26404</v>
      </c>
      <c r="I699" s="47" t="n">
        <v>26400.7</v>
      </c>
      <c r="J699" s="48" t="n">
        <v>1632</v>
      </c>
      <c r="K699" s="47" t="n">
        <v>27980.37</v>
      </c>
      <c r="L699" s="48" t="n">
        <v>268060</v>
      </c>
      <c r="M699" s="48" t="n">
        <v>-13455</v>
      </c>
      <c r="N699" s="47" t="n">
        <v>26013.45</v>
      </c>
      <c r="O699" s="47" t="n">
        <f aca="false">IF(AND(ISNUMBER(G699),ISNUMBER(N699)),G699-N699,"")</f>
        <v>387.25</v>
      </c>
      <c r="P699" s="49" t="n">
        <f aca="false">IF(ISNUMBER(O699),O699/N699,"")</f>
        <v>0.0148865298528261</v>
      </c>
      <c r="Q699" s="50" t="n">
        <f aca="false">C699-B699</f>
        <v>71</v>
      </c>
      <c r="R699" s="51" t="n">
        <f aca="false">IF(AND(C699=C698,ISNUMBER(G699),ISNUMBER(G698)),(G699/G698-1)*100,"")</f>
        <v>0.379454695466697</v>
      </c>
      <c r="S699" s="51" t="n">
        <f aca="false">IF(AND(C699=C698,ISNUMBER(L699),ISNUMBER(L698)),(L699/L698-1)*100,"")</f>
        <v>-4.77949665204341</v>
      </c>
      <c r="T699" s="51" t="n">
        <f aca="false">IF(AND(C699=C698,ISNUMBER(G699),ISNUMBER(G698)),G699-G698,"")</f>
        <v>99.7999999999993</v>
      </c>
      <c r="U699" s="1" t="str">
        <f aca="false">IF(OR(NOT(ISNUMBER(R699)),NOT(ISNUMBER(S699))),"Not classified",IF(AND(R699&gt;0,S699&gt;0),"Long buildup (interpretation)",IF(AND(R699&lt;0,S699&gt;0),"Short buildup (interpretation)",IF(AND(R699&gt;0,S699&lt;0),"Short covering (interpretation)",IF(AND(R699&lt;0,S699&lt;0),"Long unwinding (interpretation)","Neutral")))))</f>
        <v>Short covering (interpretation)</v>
      </c>
      <c r="V699" s="52" t="str">
        <f aca="false">TEXT(B699,"yyyy-mm")</f>
        <v>2025-11</v>
      </c>
      <c r="W699" s="52" t="n">
        <f aca="false">1+COUNTIFS($B$2:$B$756,B699,$C$2:$C$756,"&lt;"&amp;C699)</f>
        <v>3</v>
      </c>
      <c r="X699" s="53" t="n">
        <f aca="false">IF(AND(ISNUMBER(P699),Q699&gt;0),P699*365/Q699,"")</f>
        <v>0.0765293436095991</v>
      </c>
      <c r="Y699" s="42" t="n">
        <f aca="false">IF(AND(C700=C699,ISNUMBER(R700)),R700,"")</f>
        <v>-0.319309715272698</v>
      </c>
      <c r="Z699" s="52" t="n">
        <f aca="false">IF(AND(W699=1,Q699&gt;Basis_Analysis!$B$3,ISNUMBER(Y699)),1,0)</f>
        <v>0</v>
      </c>
      <c r="AA699" s="43" t="str">
        <f aca="false">IF(W699=1,IF(SUMIFS($L$2:$L$756,$B$2:$B$756,B699,$W$2:$W$756,2)&gt;0,SUMIFS($L$2:$L$756,$B$2:$B$756,B699,$W$2:$W$756,2),""),"")</f>
        <v/>
      </c>
      <c r="AB699" s="54" t="str">
        <f aca="false">IF(AND(W699=1,ISNUMBER(AA699)),L699/(L699+AA699),"")</f>
        <v/>
      </c>
    </row>
    <row r="700" customFormat="false" ht="15" hidden="false" customHeight="true" outlineLevel="0" collapsed="false">
      <c r="A700" s="1" t="s">
        <v>274</v>
      </c>
      <c r="B700" s="46" t="n">
        <v>45979</v>
      </c>
      <c r="C700" s="46" t="n">
        <v>46049</v>
      </c>
      <c r="D700" s="47" t="n">
        <v>26363.9</v>
      </c>
      <c r="E700" s="47" t="n">
        <v>26384</v>
      </c>
      <c r="F700" s="47" t="n">
        <v>26280.9</v>
      </c>
      <c r="G700" s="47" t="n">
        <v>26316.4</v>
      </c>
      <c r="H700" s="47" t="n">
        <v>26302</v>
      </c>
      <c r="I700" s="47" t="n">
        <v>26316.4</v>
      </c>
      <c r="J700" s="48" t="n">
        <v>1813</v>
      </c>
      <c r="K700" s="47" t="n">
        <v>31028.27</v>
      </c>
      <c r="L700" s="48" t="n">
        <v>307060</v>
      </c>
      <c r="M700" s="48" t="n">
        <v>39000</v>
      </c>
      <c r="N700" s="47" t="n">
        <v>25910.05</v>
      </c>
      <c r="O700" s="47" t="n">
        <f aca="false">IF(AND(ISNUMBER(G700),ISNUMBER(N700)),G700-N700,"")</f>
        <v>406.350000000002</v>
      </c>
      <c r="P700" s="49" t="n">
        <f aca="false">IF(ISNUMBER(O700),O700/N700,"")</f>
        <v>0.0156831036605488</v>
      </c>
      <c r="Q700" s="50" t="n">
        <f aca="false">C700-B700</f>
        <v>70</v>
      </c>
      <c r="R700" s="51" t="n">
        <f aca="false">IF(AND(C700=C699,ISNUMBER(G700),ISNUMBER(G699)),(G700/G699-1)*100,"")</f>
        <v>-0.319309715272698</v>
      </c>
      <c r="S700" s="51" t="n">
        <f aca="false">IF(AND(C700=C699,ISNUMBER(L700),ISNUMBER(L699)),(L700/L699-1)*100,"")</f>
        <v>14.54898157129</v>
      </c>
      <c r="T700" s="51" t="n">
        <f aca="false">IF(AND(C700=C699,ISNUMBER(G700),ISNUMBER(G699)),G700-G699,"")</f>
        <v>-84.2999999999993</v>
      </c>
      <c r="U700" s="1" t="str">
        <f aca="false">IF(OR(NOT(ISNUMBER(R700)),NOT(ISNUMBER(S700))),"Not classified",IF(AND(R700&gt;0,S700&gt;0),"Long buildup (interpretation)",IF(AND(R700&lt;0,S700&gt;0),"Short buildup (interpretation)",IF(AND(R700&gt;0,S700&lt;0),"Short covering (interpretation)",IF(AND(R700&lt;0,S700&lt;0),"Long unwinding (interpretation)","Neutral")))))</f>
        <v>Short buildup (interpretation)</v>
      </c>
      <c r="V700" s="52" t="str">
        <f aca="false">TEXT(B700,"yyyy-mm")</f>
        <v>2025-11</v>
      </c>
      <c r="W700" s="52" t="n">
        <f aca="false">1+COUNTIFS($B$2:$B$756,B700,$C$2:$C$756,"&lt;"&amp;C700)</f>
        <v>3</v>
      </c>
      <c r="X700" s="53" t="n">
        <f aca="false">IF(AND(ISNUMBER(P700),Q700&gt;0),P700*365/Q700,"")</f>
        <v>0.0817761833728616</v>
      </c>
      <c r="Y700" s="42" t="n">
        <f aca="false">IF(AND(C701=C700,ISNUMBER(R701)),R701,"")</f>
        <v>0.374671307625651</v>
      </c>
      <c r="Z700" s="52" t="n">
        <f aca="false">IF(AND(W700=1,Q700&gt;Basis_Analysis!$B$3,ISNUMBER(Y700)),1,0)</f>
        <v>0</v>
      </c>
      <c r="AA700" s="43" t="str">
        <f aca="false">IF(W700=1,IF(SUMIFS($L$2:$L$756,$B$2:$B$756,B700,$W$2:$W$756,2)&gt;0,SUMIFS($L$2:$L$756,$B$2:$B$756,B700,$W$2:$W$756,2),""),"")</f>
        <v/>
      </c>
      <c r="AB700" s="54" t="str">
        <f aca="false">IF(AND(W700=1,ISNUMBER(AA700)),L700/(L700+AA700),"")</f>
        <v/>
      </c>
    </row>
    <row r="701" customFormat="false" ht="15" hidden="false" customHeight="true" outlineLevel="0" collapsed="false">
      <c r="A701" s="1" t="s">
        <v>274</v>
      </c>
      <c r="B701" s="46" t="n">
        <v>45980</v>
      </c>
      <c r="C701" s="46" t="n">
        <v>46049</v>
      </c>
      <c r="D701" s="47" t="n">
        <v>26302.1</v>
      </c>
      <c r="E701" s="47" t="n">
        <v>26426</v>
      </c>
      <c r="F701" s="47" t="n">
        <v>26248.1</v>
      </c>
      <c r="G701" s="47" t="n">
        <v>26415</v>
      </c>
      <c r="H701" s="47" t="n">
        <v>26420</v>
      </c>
      <c r="I701" s="47" t="n">
        <v>26415</v>
      </c>
      <c r="J701" s="48" t="n">
        <v>2245</v>
      </c>
      <c r="K701" s="47" t="n">
        <v>38490.28</v>
      </c>
      <c r="L701" s="48" t="n">
        <v>315575</v>
      </c>
      <c r="M701" s="48" t="n">
        <v>8515</v>
      </c>
      <c r="N701" s="47" t="n">
        <v>26052.65</v>
      </c>
      <c r="O701" s="47" t="n">
        <f aca="false">IF(AND(ISNUMBER(G701),ISNUMBER(N701)),G701-N701,"")</f>
        <v>362.349999999999</v>
      </c>
      <c r="P701" s="49" t="n">
        <f aca="false">IF(ISNUMBER(O701),O701/N701,"")</f>
        <v>0.0139083740041799</v>
      </c>
      <c r="Q701" s="50" t="n">
        <f aca="false">C701-B701</f>
        <v>69</v>
      </c>
      <c r="R701" s="51" t="n">
        <f aca="false">IF(AND(C701=C700,ISNUMBER(G701),ISNUMBER(G700)),(G701/G700-1)*100,"")</f>
        <v>0.374671307625651</v>
      </c>
      <c r="S701" s="51" t="n">
        <f aca="false">IF(AND(C701=C700,ISNUMBER(L701),ISNUMBER(L700)),(L701/L700-1)*100,"")</f>
        <v>2.77307366638442</v>
      </c>
      <c r="T701" s="51" t="n">
        <f aca="false">IF(AND(C701=C700,ISNUMBER(G701),ISNUMBER(G700)),G701-G700,"")</f>
        <v>98.5999999999985</v>
      </c>
      <c r="U701" s="1" t="str">
        <f aca="false">IF(OR(NOT(ISNUMBER(R701)),NOT(ISNUMBER(S701))),"Not classified",IF(AND(R701&gt;0,S701&gt;0),"Long buildup (interpretation)",IF(AND(R701&lt;0,S701&gt;0),"Short buildup (interpretation)",IF(AND(R701&gt;0,S701&lt;0),"Short covering (interpretation)",IF(AND(R701&lt;0,S701&lt;0),"Long unwinding (interpretation)","Neutral")))))</f>
        <v>Long buildup (interpretation)</v>
      </c>
      <c r="V701" s="52" t="str">
        <f aca="false">TEXT(B701,"yyyy-mm")</f>
        <v>2025-11</v>
      </c>
      <c r="W701" s="52" t="n">
        <f aca="false">1+COUNTIFS($B$2:$B$756,B701,$C$2:$C$756,"&lt;"&amp;C701)</f>
        <v>3</v>
      </c>
      <c r="X701" s="53" t="n">
        <f aca="false">IF(AND(ISNUMBER(P701),Q701&gt;0),P701*365/Q701,"")</f>
        <v>0.0735732827757345</v>
      </c>
      <c r="Y701" s="42" t="n">
        <f aca="false">IF(AND(C702=C701,ISNUMBER(R702)),R702,"")</f>
        <v>0.559909142532655</v>
      </c>
      <c r="Z701" s="52" t="n">
        <f aca="false">IF(AND(W701=1,Q701&gt;Basis_Analysis!$B$3,ISNUMBER(Y701)),1,0)</f>
        <v>0</v>
      </c>
      <c r="AA701" s="43" t="str">
        <f aca="false">IF(W701=1,IF(SUMIFS($L$2:$L$756,$B$2:$B$756,B701,$W$2:$W$756,2)&gt;0,SUMIFS($L$2:$L$756,$B$2:$B$756,B701,$W$2:$W$756,2),""),"")</f>
        <v/>
      </c>
      <c r="AB701" s="54" t="str">
        <f aca="false">IF(AND(W701=1,ISNUMBER(AA701)),L701/(L701+AA701),"")</f>
        <v/>
      </c>
    </row>
    <row r="702" customFormat="false" ht="15" hidden="false" customHeight="true" outlineLevel="0" collapsed="false">
      <c r="A702" s="1" t="s">
        <v>274</v>
      </c>
      <c r="B702" s="46" t="n">
        <v>45981</v>
      </c>
      <c r="C702" s="46" t="n">
        <v>46049</v>
      </c>
      <c r="D702" s="47" t="n">
        <v>26445</v>
      </c>
      <c r="E702" s="47" t="n">
        <v>26596</v>
      </c>
      <c r="F702" s="47" t="n">
        <v>26420.1</v>
      </c>
      <c r="G702" s="47" t="n">
        <v>26562.9</v>
      </c>
      <c r="H702" s="47" t="n">
        <v>26574</v>
      </c>
      <c r="I702" s="47" t="n">
        <v>26562.9</v>
      </c>
      <c r="J702" s="48" t="n">
        <v>4219</v>
      </c>
      <c r="K702" s="47" t="n">
        <v>72741.19</v>
      </c>
      <c r="L702" s="48" t="n">
        <v>385970</v>
      </c>
      <c r="M702" s="48" t="n">
        <v>70395</v>
      </c>
      <c r="N702" s="47" t="n">
        <v>26192.15</v>
      </c>
      <c r="O702" s="47" t="n">
        <f aca="false">IF(AND(ISNUMBER(G702),ISNUMBER(N702)),G702-N702,"")</f>
        <v>370.75</v>
      </c>
      <c r="P702" s="49" t="n">
        <f aca="false">IF(ISNUMBER(O702),O702/N702,"")</f>
        <v>0.0141550044574424</v>
      </c>
      <c r="Q702" s="50" t="n">
        <f aca="false">C702-B702</f>
        <v>68</v>
      </c>
      <c r="R702" s="51" t="n">
        <f aca="false">IF(AND(C702=C701,ISNUMBER(G702),ISNUMBER(G701)),(G702/G701-1)*100,"")</f>
        <v>0.559909142532655</v>
      </c>
      <c r="S702" s="51" t="n">
        <f aca="false">IF(AND(C702=C701,ISNUMBER(L702),ISNUMBER(L701)),(L702/L701-1)*100,"")</f>
        <v>22.3069001029866</v>
      </c>
      <c r="T702" s="51" t="n">
        <f aca="false">IF(AND(C702=C701,ISNUMBER(G702),ISNUMBER(G701)),G702-G701,"")</f>
        <v>147.900000000001</v>
      </c>
      <c r="U702" s="1" t="str">
        <f aca="false">IF(OR(NOT(ISNUMBER(R702)),NOT(ISNUMBER(S702))),"Not classified",IF(AND(R702&gt;0,S702&gt;0),"Long buildup (interpretation)",IF(AND(R702&lt;0,S702&gt;0),"Short buildup (interpretation)",IF(AND(R702&gt;0,S702&lt;0),"Short covering (interpretation)",IF(AND(R702&lt;0,S702&lt;0),"Long unwinding (interpretation)","Neutral")))))</f>
        <v>Long buildup (interpretation)</v>
      </c>
      <c r="V702" s="52" t="str">
        <f aca="false">TEXT(B702,"yyyy-mm")</f>
        <v>2025-11</v>
      </c>
      <c r="W702" s="52" t="n">
        <f aca="false">1+COUNTIFS($B$2:$B$756,B702,$C$2:$C$756,"&lt;"&amp;C702)</f>
        <v>3</v>
      </c>
      <c r="X702" s="53" t="n">
        <f aca="false">IF(AND(ISNUMBER(P702),Q702&gt;0),P702*365/Q702,"")</f>
        <v>0.0759790680436246</v>
      </c>
      <c r="Y702" s="42" t="n">
        <f aca="false">IF(AND(C703=C702,ISNUMBER(R703)),R703,"")</f>
        <v>-0.522156842814603</v>
      </c>
      <c r="Z702" s="52" t="n">
        <f aca="false">IF(AND(W702=1,Q702&gt;Basis_Analysis!$B$3,ISNUMBER(Y702)),1,0)</f>
        <v>0</v>
      </c>
      <c r="AA702" s="43" t="str">
        <f aca="false">IF(W702=1,IF(SUMIFS($L$2:$L$756,$B$2:$B$756,B702,$W$2:$W$756,2)&gt;0,SUMIFS($L$2:$L$756,$B$2:$B$756,B702,$W$2:$W$756,2),""),"")</f>
        <v/>
      </c>
      <c r="AB702" s="54" t="str">
        <f aca="false">IF(AND(W702=1,ISNUMBER(AA702)),L702/(L702+AA702),"")</f>
        <v/>
      </c>
    </row>
    <row r="703" customFormat="false" ht="15" hidden="false" customHeight="true" outlineLevel="0" collapsed="false">
      <c r="A703" s="1" t="s">
        <v>274</v>
      </c>
      <c r="B703" s="46" t="n">
        <v>45982</v>
      </c>
      <c r="C703" s="46" t="n">
        <v>46049</v>
      </c>
      <c r="D703" s="47" t="n">
        <v>26562.9</v>
      </c>
      <c r="E703" s="47" t="n">
        <v>26562.9</v>
      </c>
      <c r="F703" s="47" t="n">
        <v>26410</v>
      </c>
      <c r="G703" s="47" t="n">
        <v>26424.2</v>
      </c>
      <c r="H703" s="47" t="n">
        <v>26416</v>
      </c>
      <c r="I703" s="47" t="n">
        <v>26424.2</v>
      </c>
      <c r="J703" s="48" t="n">
        <v>5533</v>
      </c>
      <c r="K703" s="47" t="n">
        <v>95193.17</v>
      </c>
      <c r="L703" s="48" t="n">
        <v>548925</v>
      </c>
      <c r="M703" s="48" t="n">
        <v>162955</v>
      </c>
      <c r="N703" s="47" t="n">
        <v>26068.15</v>
      </c>
      <c r="O703" s="47" t="n">
        <f aca="false">IF(AND(ISNUMBER(G703),ISNUMBER(N703)),G703-N703,"")</f>
        <v>356.049999999999</v>
      </c>
      <c r="P703" s="49" t="n">
        <f aca="false">IF(ISNUMBER(O703),O703/N703,"")</f>
        <v>0.0136584299231054</v>
      </c>
      <c r="Q703" s="50" t="n">
        <f aca="false">C703-B703</f>
        <v>67</v>
      </c>
      <c r="R703" s="51" t="n">
        <f aca="false">IF(AND(C703=C702,ISNUMBER(G703),ISNUMBER(G702)),(G703/G702-1)*100,"")</f>
        <v>-0.522156842814603</v>
      </c>
      <c r="S703" s="51" t="n">
        <f aca="false">IF(AND(C703=C702,ISNUMBER(L703),ISNUMBER(L702)),(L703/L702-1)*100,"")</f>
        <v>42.2196025597844</v>
      </c>
      <c r="T703" s="51" t="n">
        <f aca="false">IF(AND(C703=C702,ISNUMBER(G703),ISNUMBER(G702)),G703-G702,"")</f>
        <v>-138.700000000001</v>
      </c>
      <c r="U703" s="1" t="str">
        <f aca="false">IF(OR(NOT(ISNUMBER(R703)),NOT(ISNUMBER(S703))),"Not classified",IF(AND(R703&gt;0,S703&gt;0),"Long buildup (interpretation)",IF(AND(R703&lt;0,S703&gt;0),"Short buildup (interpretation)",IF(AND(R703&gt;0,S703&lt;0),"Short covering (interpretation)",IF(AND(R703&lt;0,S703&lt;0),"Long unwinding (interpretation)","Neutral")))))</f>
        <v>Short buildup (interpretation)</v>
      </c>
      <c r="V703" s="52" t="str">
        <f aca="false">TEXT(B703,"yyyy-mm")</f>
        <v>2025-11</v>
      </c>
      <c r="W703" s="52" t="n">
        <f aca="false">1+COUNTIFS($B$2:$B$756,B703,$C$2:$C$756,"&lt;"&amp;C703)</f>
        <v>3</v>
      </c>
      <c r="X703" s="53" t="n">
        <f aca="false">IF(AND(ISNUMBER(P703),Q703&gt;0),P703*365/Q703,"")</f>
        <v>0.0744078645064696</v>
      </c>
      <c r="Y703" s="42" t="n">
        <f aca="false">IF(AND(C704=C703,ISNUMBER(R704)),R704,"")</f>
        <v>-0.248257279312158</v>
      </c>
      <c r="Z703" s="52" t="n">
        <f aca="false">IF(AND(W703=1,Q703&gt;Basis_Analysis!$B$3,ISNUMBER(Y703)),1,0)</f>
        <v>0</v>
      </c>
      <c r="AA703" s="43" t="str">
        <f aca="false">IF(W703=1,IF(SUMIFS($L$2:$L$756,$B$2:$B$756,B703,$W$2:$W$756,2)&gt;0,SUMIFS($L$2:$L$756,$B$2:$B$756,B703,$W$2:$W$756,2),""),"")</f>
        <v/>
      </c>
      <c r="AB703" s="54" t="str">
        <f aca="false">IF(AND(W703=1,ISNUMBER(AA703)),L703/(L703+AA703),"")</f>
        <v/>
      </c>
    </row>
    <row r="704" customFormat="false" ht="15" hidden="false" customHeight="true" outlineLevel="0" collapsed="false">
      <c r="A704" s="1" t="s">
        <v>274</v>
      </c>
      <c r="B704" s="46" t="n">
        <v>45985</v>
      </c>
      <c r="C704" s="46" t="n">
        <v>46049</v>
      </c>
      <c r="D704" s="47" t="n">
        <v>26489.9</v>
      </c>
      <c r="E704" s="47" t="n">
        <v>26497</v>
      </c>
      <c r="F704" s="47" t="n">
        <v>26301</v>
      </c>
      <c r="G704" s="47" t="n">
        <v>26358.6</v>
      </c>
      <c r="H704" s="47" t="n">
        <v>26326</v>
      </c>
      <c r="I704" s="47" t="n">
        <v>26358.6</v>
      </c>
      <c r="J704" s="48" t="n">
        <v>4283</v>
      </c>
      <c r="K704" s="47" t="n">
        <v>73547.26</v>
      </c>
      <c r="L704" s="48" t="n">
        <v>679185</v>
      </c>
      <c r="M704" s="48" t="n">
        <v>130260</v>
      </c>
      <c r="N704" s="47" t="n">
        <v>25959.5</v>
      </c>
      <c r="O704" s="47" t="n">
        <f aca="false">IF(AND(ISNUMBER(G704),ISNUMBER(N704)),G704-N704,"")</f>
        <v>399.099999999999</v>
      </c>
      <c r="P704" s="49" t="n">
        <f aca="false">IF(ISNUMBER(O704),O704/N704,"")</f>
        <v>0.015373947880352</v>
      </c>
      <c r="Q704" s="50" t="n">
        <f aca="false">C704-B704</f>
        <v>64</v>
      </c>
      <c r="R704" s="51" t="n">
        <f aca="false">IF(AND(C704=C703,ISNUMBER(G704),ISNUMBER(G703)),(G704/G703-1)*100,"")</f>
        <v>-0.248257279312158</v>
      </c>
      <c r="S704" s="51" t="n">
        <f aca="false">IF(AND(C704=C703,ISNUMBER(L704),ISNUMBER(L703)),(L704/L703-1)*100,"")</f>
        <v>23.7300177619894</v>
      </c>
      <c r="T704" s="51" t="n">
        <f aca="false">IF(AND(C704=C703,ISNUMBER(G704),ISNUMBER(G703)),G704-G703,"")</f>
        <v>-65.6000000000022</v>
      </c>
      <c r="U704" s="1" t="str">
        <f aca="false">IF(OR(NOT(ISNUMBER(R704)),NOT(ISNUMBER(S704))),"Not classified",IF(AND(R704&gt;0,S704&gt;0),"Long buildup (interpretation)",IF(AND(R704&lt;0,S704&gt;0),"Short buildup (interpretation)",IF(AND(R704&gt;0,S704&lt;0),"Short covering (interpretation)",IF(AND(R704&lt;0,S704&lt;0),"Long unwinding (interpretation)","Neutral")))))</f>
        <v>Short buildup (interpretation)</v>
      </c>
      <c r="V704" s="52" t="str">
        <f aca="false">TEXT(B704,"yyyy-mm")</f>
        <v>2025-11</v>
      </c>
      <c r="W704" s="52" t="n">
        <f aca="false">1+COUNTIFS($B$2:$B$756,B704,$C$2:$C$756,"&lt;"&amp;C704)</f>
        <v>3</v>
      </c>
      <c r="X704" s="53" t="n">
        <f aca="false">IF(AND(ISNUMBER(P704),Q704&gt;0),P704*365/Q704,"")</f>
        <v>0.0876795465051327</v>
      </c>
      <c r="Y704" s="42" t="n">
        <f aca="false">IF(AND(C705=C704,ISNUMBER(R705)),R705,"")</f>
        <v>-0.470434696835187</v>
      </c>
      <c r="Z704" s="52" t="n">
        <f aca="false">IF(AND(W704=1,Q704&gt;Basis_Analysis!$B$3,ISNUMBER(Y704)),1,0)</f>
        <v>0</v>
      </c>
      <c r="AA704" s="43" t="str">
        <f aca="false">IF(W704=1,IF(SUMIFS($L$2:$L$756,$B$2:$B$756,B704,$W$2:$W$756,2)&gt;0,SUMIFS($L$2:$L$756,$B$2:$B$756,B704,$W$2:$W$756,2),""),"")</f>
        <v/>
      </c>
      <c r="AB704" s="54" t="str">
        <f aca="false">IF(AND(W704=1,ISNUMBER(AA704)),L704/(L704+AA704),"")</f>
        <v/>
      </c>
    </row>
    <row r="705" customFormat="false" ht="15" hidden="false" customHeight="true" outlineLevel="0" collapsed="false">
      <c r="A705" s="1" t="s">
        <v>274</v>
      </c>
      <c r="B705" s="46" t="n">
        <v>45986</v>
      </c>
      <c r="C705" s="46" t="n">
        <v>46049</v>
      </c>
      <c r="D705" s="47" t="n">
        <v>26368.2</v>
      </c>
      <c r="E705" s="47" t="n">
        <v>26380</v>
      </c>
      <c r="F705" s="47" t="n">
        <v>26221.1</v>
      </c>
      <c r="G705" s="47" t="n">
        <v>26234.6</v>
      </c>
      <c r="H705" s="47" t="n">
        <v>26237.2</v>
      </c>
      <c r="I705" s="47" t="n">
        <v>26234.6</v>
      </c>
      <c r="J705" s="48" t="n">
        <v>6528</v>
      </c>
      <c r="K705" s="47" t="n">
        <v>111593.52</v>
      </c>
      <c r="L705" s="48" t="n">
        <v>861315</v>
      </c>
      <c r="M705" s="48" t="n">
        <v>182130</v>
      </c>
      <c r="N705" s="47" t="n">
        <v>25884.8</v>
      </c>
      <c r="O705" s="47" t="n">
        <f aca="false">IF(AND(ISNUMBER(G705),ISNUMBER(N705)),G705-N705,"")</f>
        <v>349.799999999999</v>
      </c>
      <c r="P705" s="49" t="n">
        <f aca="false">IF(ISNUMBER(O705),O705/N705,"")</f>
        <v>0.0135137223389788</v>
      </c>
      <c r="Q705" s="50" t="n">
        <f aca="false">C705-B705</f>
        <v>63</v>
      </c>
      <c r="R705" s="51" t="n">
        <f aca="false">IF(AND(C705=C704,ISNUMBER(G705),ISNUMBER(G704)),(G705/G704-1)*100,"")</f>
        <v>-0.470434696835187</v>
      </c>
      <c r="S705" s="51" t="n">
        <f aca="false">IF(AND(C705=C704,ISNUMBER(L705),ISNUMBER(L704)),(L705/L704-1)*100,"")</f>
        <v>26.8159632500718</v>
      </c>
      <c r="T705" s="51" t="n">
        <f aca="false">IF(AND(C705=C704,ISNUMBER(G705),ISNUMBER(G704)),G705-G704,"")</f>
        <v>-124</v>
      </c>
      <c r="U705" s="1" t="str">
        <f aca="false">IF(OR(NOT(ISNUMBER(R705)),NOT(ISNUMBER(S705))),"Not classified",IF(AND(R705&gt;0,S705&gt;0),"Long buildup (interpretation)",IF(AND(R705&lt;0,S705&gt;0),"Short buildup (interpretation)",IF(AND(R705&gt;0,S705&lt;0),"Short covering (interpretation)",IF(AND(R705&lt;0,S705&lt;0),"Long unwinding (interpretation)","Neutral")))))</f>
        <v>Short buildup (interpretation)</v>
      </c>
      <c r="V705" s="52" t="str">
        <f aca="false">TEXT(B705,"yyyy-mm")</f>
        <v>2025-11</v>
      </c>
      <c r="W705" s="52" t="n">
        <f aca="false">1+COUNTIFS($B$2:$B$756,B705,$C$2:$C$756,"&lt;"&amp;C705)</f>
        <v>3</v>
      </c>
      <c r="X705" s="53" t="n">
        <f aca="false">IF(AND(ISNUMBER(P705),Q705&gt;0),P705*365/Q705,"")</f>
        <v>0.0782937881544012</v>
      </c>
      <c r="Y705" s="42" t="n">
        <f aca="false">IF(AND(C706=C705,ISNUMBER(R706)),R706,"")</f>
        <v>1.11570216431736</v>
      </c>
      <c r="Z705" s="52" t="n">
        <f aca="false">IF(AND(W705=1,Q705&gt;Basis_Analysis!$B$3,ISNUMBER(Y705)),1,0)</f>
        <v>0</v>
      </c>
      <c r="AA705" s="43" t="str">
        <f aca="false">IF(W705=1,IF(SUMIFS($L$2:$L$756,$B$2:$B$756,B705,$W$2:$W$756,2)&gt;0,SUMIFS($L$2:$L$756,$B$2:$B$756,B705,$W$2:$W$756,2),""),"")</f>
        <v/>
      </c>
      <c r="AB705" s="54" t="str">
        <f aca="false">IF(AND(W705=1,ISNUMBER(AA705)),L705/(L705+AA705),"")</f>
        <v/>
      </c>
    </row>
    <row r="706" customFormat="false" ht="15" hidden="false" customHeight="true" outlineLevel="0" collapsed="false">
      <c r="A706" s="1" t="s">
        <v>274</v>
      </c>
      <c r="B706" s="46" t="n">
        <v>45987</v>
      </c>
      <c r="C706" s="46" t="n">
        <v>46049</v>
      </c>
      <c r="D706" s="47" t="n">
        <v>26220.1</v>
      </c>
      <c r="E706" s="47" t="n">
        <v>26545.7</v>
      </c>
      <c r="F706" s="47" t="n">
        <v>26220.1</v>
      </c>
      <c r="G706" s="47" t="n">
        <v>26527.3</v>
      </c>
      <c r="H706" s="47" t="n">
        <v>26540</v>
      </c>
      <c r="I706" s="47" t="n">
        <v>26527.3</v>
      </c>
      <c r="J706" s="48" t="n">
        <v>5462</v>
      </c>
      <c r="K706" s="47" t="n">
        <v>93895.89</v>
      </c>
      <c r="L706" s="48" t="n">
        <v>868660</v>
      </c>
      <c r="M706" s="48" t="n">
        <v>7345</v>
      </c>
      <c r="N706" s="47" t="n">
        <v>26205.3</v>
      </c>
      <c r="O706" s="47" t="n">
        <f aca="false">IF(AND(ISNUMBER(G706),ISNUMBER(N706)),G706-N706,"")</f>
        <v>322</v>
      </c>
      <c r="P706" s="49" t="n">
        <f aca="false">IF(ISNUMBER(O706),O706/N706,"")</f>
        <v>0.0122875906782216</v>
      </c>
      <c r="Q706" s="50" t="n">
        <f aca="false">C706-B706</f>
        <v>62</v>
      </c>
      <c r="R706" s="51" t="n">
        <f aca="false">IF(AND(C706=C705,ISNUMBER(G706),ISNUMBER(G705)),(G706/G705-1)*100,"")</f>
        <v>1.11570216431736</v>
      </c>
      <c r="S706" s="51" t="n">
        <f aca="false">IF(AND(C706=C705,ISNUMBER(L706),ISNUMBER(L705)),(L706/L705-1)*100,"")</f>
        <v>0.852765828994029</v>
      </c>
      <c r="T706" s="51" t="n">
        <f aca="false">IF(AND(C706=C705,ISNUMBER(G706),ISNUMBER(G705)),G706-G705,"")</f>
        <v>292.700000000001</v>
      </c>
      <c r="U706" s="1" t="str">
        <f aca="false">IF(OR(NOT(ISNUMBER(R706)),NOT(ISNUMBER(S706))),"Not classified",IF(AND(R706&gt;0,S706&gt;0),"Long buildup (interpretation)",IF(AND(R706&lt;0,S706&gt;0),"Short buildup (interpretation)",IF(AND(R706&gt;0,S706&lt;0),"Short covering (interpretation)",IF(AND(R706&lt;0,S706&lt;0),"Long unwinding (interpretation)","Neutral")))))</f>
        <v>Long buildup (interpretation)</v>
      </c>
      <c r="V706" s="52" t="str">
        <f aca="false">TEXT(B706,"yyyy-mm")</f>
        <v>2025-11</v>
      </c>
      <c r="W706" s="52" t="n">
        <f aca="false">1+COUNTIFS($B$2:$B$756,B706,$C$2:$C$756,"&lt;"&amp;C706)</f>
        <v>2</v>
      </c>
      <c r="X706" s="53" t="n">
        <f aca="false">IF(AND(ISNUMBER(P706),Q706&gt;0),P706*365/Q706,"")</f>
        <v>0.072338235444369</v>
      </c>
      <c r="Y706" s="42" t="n">
        <f aca="false">IF(AND(C707=C706,ISNUMBER(R707)),R707,"")</f>
        <v>0.0806716100017813</v>
      </c>
      <c r="Z706" s="52" t="n">
        <f aca="false">IF(AND(W706=1,Q706&gt;Basis_Analysis!$B$3,ISNUMBER(Y706)),1,0)</f>
        <v>0</v>
      </c>
      <c r="AA706" s="43" t="str">
        <f aca="false">IF(W706=1,IF(SUMIFS($L$2:$L$756,$B$2:$B$756,B706,$W$2:$W$756,2)&gt;0,SUMIFS($L$2:$L$756,$B$2:$B$756,B706,$W$2:$W$756,2),""),"")</f>
        <v/>
      </c>
      <c r="AB706" s="54" t="str">
        <f aca="false">IF(AND(W706=1,ISNUMBER(AA706)),L706/(L706+AA706),"")</f>
        <v/>
      </c>
    </row>
    <row r="707" customFormat="false" ht="15" hidden="false" customHeight="true" outlineLevel="0" collapsed="false">
      <c r="A707" s="1" t="s">
        <v>274</v>
      </c>
      <c r="B707" s="46" t="n">
        <v>45988</v>
      </c>
      <c r="C707" s="46" t="n">
        <v>46049</v>
      </c>
      <c r="D707" s="47" t="n">
        <v>26500.1</v>
      </c>
      <c r="E707" s="47" t="n">
        <v>26634.6</v>
      </c>
      <c r="F707" s="47" t="n">
        <v>26476</v>
      </c>
      <c r="G707" s="47" t="n">
        <v>26548.7</v>
      </c>
      <c r="H707" s="47" t="n">
        <v>26545</v>
      </c>
      <c r="I707" s="47" t="n">
        <v>26548.7</v>
      </c>
      <c r="J707" s="48" t="n">
        <v>4833</v>
      </c>
      <c r="K707" s="47" t="n">
        <v>83446.04</v>
      </c>
      <c r="L707" s="48" t="n">
        <v>888875</v>
      </c>
      <c r="M707" s="48" t="n">
        <v>20215</v>
      </c>
      <c r="N707" s="47" t="n">
        <v>26215.55</v>
      </c>
      <c r="O707" s="47" t="n">
        <f aca="false">IF(AND(ISNUMBER(G707),ISNUMBER(N707)),G707-N707,"")</f>
        <v>333.150000000001</v>
      </c>
      <c r="P707" s="49" t="n">
        <f aca="false">IF(ISNUMBER(O707),O707/N707,"")</f>
        <v>0.0127081064482722</v>
      </c>
      <c r="Q707" s="50" t="n">
        <f aca="false">C707-B707</f>
        <v>61</v>
      </c>
      <c r="R707" s="51" t="n">
        <f aca="false">IF(AND(C707=C706,ISNUMBER(G707),ISNUMBER(G706)),(G707/G706-1)*100,"")</f>
        <v>0.0806716100017813</v>
      </c>
      <c r="S707" s="51" t="n">
        <f aca="false">IF(AND(C707=C706,ISNUMBER(L707),ISNUMBER(L706)),(L707/L706-1)*100,"")</f>
        <v>2.32714756061059</v>
      </c>
      <c r="T707" s="51" t="n">
        <f aca="false">IF(AND(C707=C706,ISNUMBER(G707),ISNUMBER(G706)),G707-G706,"")</f>
        <v>21.4000000000015</v>
      </c>
      <c r="U707" s="1" t="str">
        <f aca="false">IF(OR(NOT(ISNUMBER(R707)),NOT(ISNUMBER(S707))),"Not classified",IF(AND(R707&gt;0,S707&gt;0),"Long buildup (interpretation)",IF(AND(R707&lt;0,S707&gt;0),"Short buildup (interpretation)",IF(AND(R707&gt;0,S707&lt;0),"Short covering (interpretation)",IF(AND(R707&lt;0,S707&lt;0),"Long unwinding (interpretation)","Neutral")))))</f>
        <v>Long buildup (interpretation)</v>
      </c>
      <c r="V707" s="52" t="str">
        <f aca="false">TEXT(B707,"yyyy-mm")</f>
        <v>2025-11</v>
      </c>
      <c r="W707" s="52" t="n">
        <f aca="false">1+COUNTIFS($B$2:$B$756,B707,$C$2:$C$756,"&lt;"&amp;C707)</f>
        <v>2</v>
      </c>
      <c r="X707" s="53" t="n">
        <f aca="false">IF(AND(ISNUMBER(P707),Q707&gt;0),P707*365/Q707,"")</f>
        <v>0.0760403090757269</v>
      </c>
      <c r="Y707" s="42" t="n">
        <f aca="false">IF(AND(C708=C707,ISNUMBER(R708)),R708,"")</f>
        <v>0.00527332788422541</v>
      </c>
      <c r="Z707" s="52" t="n">
        <f aca="false">IF(AND(W707=1,Q707&gt;Basis_Analysis!$B$3,ISNUMBER(Y707)),1,0)</f>
        <v>0</v>
      </c>
      <c r="AA707" s="43" t="str">
        <f aca="false">IF(W707=1,IF(SUMIFS($L$2:$L$756,$B$2:$B$756,B707,$W$2:$W$756,2)&gt;0,SUMIFS($L$2:$L$756,$B$2:$B$756,B707,$W$2:$W$756,2),""),"")</f>
        <v/>
      </c>
      <c r="AB707" s="54" t="str">
        <f aca="false">IF(AND(W707=1,ISNUMBER(AA707)),L707/(L707+AA707),"")</f>
        <v/>
      </c>
    </row>
    <row r="708" customFormat="false" ht="15" hidden="false" customHeight="true" outlineLevel="0" collapsed="false">
      <c r="A708" s="1" t="s">
        <v>274</v>
      </c>
      <c r="B708" s="46" t="n">
        <v>45989</v>
      </c>
      <c r="C708" s="46" t="n">
        <v>46049</v>
      </c>
      <c r="D708" s="47" t="n">
        <v>26548.7</v>
      </c>
      <c r="E708" s="47" t="n">
        <v>26605</v>
      </c>
      <c r="F708" s="47" t="n">
        <v>26526</v>
      </c>
      <c r="G708" s="47" t="n">
        <v>26550.1</v>
      </c>
      <c r="H708" s="47" t="n">
        <v>26565.1</v>
      </c>
      <c r="I708" s="47" t="n">
        <v>26550.1</v>
      </c>
      <c r="J708" s="48" t="n">
        <v>2261</v>
      </c>
      <c r="K708" s="47" t="n">
        <v>39042.08</v>
      </c>
      <c r="L708" s="48" t="n">
        <v>915785</v>
      </c>
      <c r="M708" s="48" t="n">
        <v>26910</v>
      </c>
      <c r="N708" s="47" t="n">
        <v>26202.95</v>
      </c>
      <c r="O708" s="47" t="n">
        <f aca="false">IF(AND(ISNUMBER(G708),ISNUMBER(N708)),G708-N708,"")</f>
        <v>347.149999999998</v>
      </c>
      <c r="P708" s="49" t="n">
        <f aca="false">IF(ISNUMBER(O708),O708/N708,"")</f>
        <v>0.0132485082786479</v>
      </c>
      <c r="Q708" s="50" t="n">
        <f aca="false">C708-B708</f>
        <v>60</v>
      </c>
      <c r="R708" s="51" t="n">
        <f aca="false">IF(AND(C708=C707,ISNUMBER(G708),ISNUMBER(G707)),(G708/G707-1)*100,"")</f>
        <v>0.00527332788422541</v>
      </c>
      <c r="S708" s="51" t="n">
        <f aca="false">IF(AND(C708=C707,ISNUMBER(L708),ISNUMBER(L707)),(L708/L707-1)*100,"")</f>
        <v>3.02742230347348</v>
      </c>
      <c r="T708" s="51" t="n">
        <f aca="false">IF(AND(C708=C707,ISNUMBER(G708),ISNUMBER(G707)),G708-G707,"")</f>
        <v>1.39999999999782</v>
      </c>
      <c r="U708" s="1" t="str">
        <f aca="false">IF(OR(NOT(ISNUMBER(R708)),NOT(ISNUMBER(S708))),"Not classified",IF(AND(R708&gt;0,S708&gt;0),"Long buildup (interpretation)",IF(AND(R708&lt;0,S708&gt;0),"Short buildup (interpretation)",IF(AND(R708&gt;0,S708&lt;0),"Short covering (interpretation)",IF(AND(R708&lt;0,S708&lt;0),"Long unwinding (interpretation)","Neutral")))))</f>
        <v>Long buildup (interpretation)</v>
      </c>
      <c r="V708" s="52" t="str">
        <f aca="false">TEXT(B708,"yyyy-mm")</f>
        <v>2025-11</v>
      </c>
      <c r="W708" s="52" t="n">
        <f aca="false">1+COUNTIFS($B$2:$B$756,B708,$C$2:$C$756,"&lt;"&amp;C708)</f>
        <v>2</v>
      </c>
      <c r="X708" s="53" t="n">
        <f aca="false">IF(AND(ISNUMBER(P708),Q708&gt;0),P708*365/Q708,"")</f>
        <v>0.0805950920284416</v>
      </c>
      <c r="Y708" s="42" t="n">
        <f aca="false">IF(AND(C709=C708,ISNUMBER(R709)),R709,"")</f>
        <v>-0.177023815352861</v>
      </c>
      <c r="Z708" s="52" t="n">
        <f aca="false">IF(AND(W708=1,Q708&gt;Basis_Analysis!$B$3,ISNUMBER(Y708)),1,0)</f>
        <v>0</v>
      </c>
      <c r="AA708" s="43" t="str">
        <f aca="false">IF(W708=1,IF(SUMIFS($L$2:$L$756,$B$2:$B$756,B708,$W$2:$W$756,2)&gt;0,SUMIFS($L$2:$L$756,$B$2:$B$756,B708,$W$2:$W$756,2),""),"")</f>
        <v/>
      </c>
      <c r="AB708" s="54" t="str">
        <f aca="false">IF(AND(W708=1,ISNUMBER(AA708)),L708/(L708+AA708),"")</f>
        <v/>
      </c>
    </row>
    <row r="709" customFormat="false" ht="15" hidden="false" customHeight="true" outlineLevel="0" collapsed="false">
      <c r="A709" s="1" t="s">
        <v>274</v>
      </c>
      <c r="B709" s="46" t="n">
        <v>45992</v>
      </c>
      <c r="C709" s="46" t="n">
        <v>46049</v>
      </c>
      <c r="D709" s="47" t="n">
        <v>26639.9</v>
      </c>
      <c r="E709" s="47" t="n">
        <v>26649.9</v>
      </c>
      <c r="F709" s="47" t="n">
        <v>26472</v>
      </c>
      <c r="G709" s="47" t="n">
        <v>26503.1</v>
      </c>
      <c r="H709" s="47" t="n">
        <v>26497</v>
      </c>
      <c r="I709" s="47" t="n">
        <v>26503.1</v>
      </c>
      <c r="J709" s="48" t="n">
        <v>3933</v>
      </c>
      <c r="K709" s="47" t="n">
        <v>67878.81</v>
      </c>
      <c r="L709" s="48" t="n">
        <v>926380</v>
      </c>
      <c r="M709" s="48" t="n">
        <v>10595</v>
      </c>
      <c r="N709" s="47" t="n">
        <v>26175.75</v>
      </c>
      <c r="O709" s="47" t="n">
        <f aca="false">IF(AND(ISNUMBER(G709),ISNUMBER(N709)),G709-N709,"")</f>
        <v>327.349999999999</v>
      </c>
      <c r="P709" s="49" t="n">
        <f aca="false">IF(ISNUMBER(O709),O709/N709,"")</f>
        <v>0.0125058498801371</v>
      </c>
      <c r="Q709" s="50" t="n">
        <f aca="false">C709-B709</f>
        <v>57</v>
      </c>
      <c r="R709" s="51" t="n">
        <f aca="false">IF(AND(C709=C708,ISNUMBER(G709),ISNUMBER(G708)),(G709/G708-1)*100,"")</f>
        <v>-0.177023815352861</v>
      </c>
      <c r="S709" s="51" t="n">
        <f aca="false">IF(AND(C709=C708,ISNUMBER(L709),ISNUMBER(L708)),(L709/L708-1)*100,"")</f>
        <v>1.15693093903044</v>
      </c>
      <c r="T709" s="51" t="n">
        <f aca="false">IF(AND(C709=C708,ISNUMBER(G709),ISNUMBER(G708)),G709-G708,"")</f>
        <v>-47</v>
      </c>
      <c r="U709" s="1" t="str">
        <f aca="false">IF(OR(NOT(ISNUMBER(R709)),NOT(ISNUMBER(S709))),"Not classified",IF(AND(R709&gt;0,S709&gt;0),"Long buildup (interpretation)",IF(AND(R709&lt;0,S709&gt;0),"Short buildup (interpretation)",IF(AND(R709&gt;0,S709&lt;0),"Short covering (interpretation)",IF(AND(R709&lt;0,S709&lt;0),"Long unwinding (interpretation)","Neutral")))))</f>
        <v>Short buildup (interpretation)</v>
      </c>
      <c r="V709" s="52" t="str">
        <f aca="false">TEXT(B709,"yyyy-mm")</f>
        <v>2025-12</v>
      </c>
      <c r="W709" s="52" t="n">
        <f aca="false">1+COUNTIFS($B$2:$B$756,B709,$C$2:$C$756,"&lt;"&amp;C709)</f>
        <v>2</v>
      </c>
      <c r="X709" s="53" t="n">
        <f aca="false">IF(AND(ISNUMBER(P709),Q709&gt;0),P709*365/Q709,"")</f>
        <v>0.0800813194078954</v>
      </c>
      <c r="Y709" s="42" t="n">
        <f aca="false">IF(AND(C710=C709,ISNUMBER(R710)),R710,"")</f>
        <v>-0.431647618580455</v>
      </c>
      <c r="Z709" s="52" t="n">
        <f aca="false">IF(AND(W709=1,Q709&gt;Basis_Analysis!$B$3,ISNUMBER(Y709)),1,0)</f>
        <v>0</v>
      </c>
      <c r="AA709" s="43" t="str">
        <f aca="false">IF(W709=1,IF(SUMIFS($L$2:$L$756,$B$2:$B$756,B709,$W$2:$W$756,2)&gt;0,SUMIFS($L$2:$L$756,$B$2:$B$756,B709,$W$2:$W$756,2),""),"")</f>
        <v/>
      </c>
      <c r="AB709" s="54" t="str">
        <f aca="false">IF(AND(W709=1,ISNUMBER(AA709)),L709/(L709+AA709),"")</f>
        <v/>
      </c>
    </row>
    <row r="710" customFormat="false" ht="15" hidden="false" customHeight="true" outlineLevel="0" collapsed="false">
      <c r="A710" s="1" t="s">
        <v>274</v>
      </c>
      <c r="B710" s="46" t="n">
        <v>45993</v>
      </c>
      <c r="C710" s="46" t="n">
        <v>46049</v>
      </c>
      <c r="D710" s="47" t="n">
        <v>26450</v>
      </c>
      <c r="E710" s="47" t="n">
        <v>26483.4</v>
      </c>
      <c r="F710" s="47" t="n">
        <v>26360</v>
      </c>
      <c r="G710" s="47" t="n">
        <v>26388.7</v>
      </c>
      <c r="H710" s="47" t="n">
        <v>26408.1</v>
      </c>
      <c r="I710" s="47" t="n">
        <v>26388.7</v>
      </c>
      <c r="J710" s="48" t="n">
        <v>3828</v>
      </c>
      <c r="K710" s="47" t="n">
        <v>65711.54</v>
      </c>
      <c r="L710" s="48" t="n">
        <v>997035</v>
      </c>
      <c r="M710" s="48" t="n">
        <v>70655</v>
      </c>
      <c r="N710" s="47" t="n">
        <v>26032.2</v>
      </c>
      <c r="O710" s="47" t="n">
        <f aca="false">IF(AND(ISNUMBER(G710),ISNUMBER(N710)),G710-N710,"")</f>
        <v>356.5</v>
      </c>
      <c r="P710" s="49" t="n">
        <f aca="false">IF(ISNUMBER(O710),O710/N710,"")</f>
        <v>0.0136945782530866</v>
      </c>
      <c r="Q710" s="50" t="n">
        <f aca="false">C710-B710</f>
        <v>56</v>
      </c>
      <c r="R710" s="51" t="n">
        <f aca="false">IF(AND(C710=C709,ISNUMBER(G710),ISNUMBER(G709)),(G710/G709-1)*100,"")</f>
        <v>-0.431647618580455</v>
      </c>
      <c r="S710" s="51" t="n">
        <f aca="false">IF(AND(C710=C709,ISNUMBER(L710),ISNUMBER(L709)),(L710/L709-1)*100,"")</f>
        <v>7.62699971933765</v>
      </c>
      <c r="T710" s="51" t="n">
        <f aca="false">IF(AND(C710=C709,ISNUMBER(G710),ISNUMBER(G709)),G710-G709,"")</f>
        <v>-114.399999999998</v>
      </c>
      <c r="U710" s="1" t="str">
        <f aca="false">IF(OR(NOT(ISNUMBER(R710)),NOT(ISNUMBER(S710))),"Not classified",IF(AND(R710&gt;0,S710&gt;0),"Long buildup (interpretation)",IF(AND(R710&lt;0,S710&gt;0),"Short buildup (interpretation)",IF(AND(R710&gt;0,S710&lt;0),"Short covering (interpretation)",IF(AND(R710&lt;0,S710&lt;0),"Long unwinding (interpretation)","Neutral")))))</f>
        <v>Short buildup (interpretation)</v>
      </c>
      <c r="V710" s="52" t="str">
        <f aca="false">TEXT(B710,"yyyy-mm")</f>
        <v>2025-12</v>
      </c>
      <c r="W710" s="52" t="n">
        <f aca="false">1+COUNTIFS($B$2:$B$756,B710,$C$2:$C$756,"&lt;"&amp;C710)</f>
        <v>2</v>
      </c>
      <c r="X710" s="53" t="n">
        <f aca="false">IF(AND(ISNUMBER(P710),Q710&gt;0),P710*365/Q710,"")</f>
        <v>0.0892593046852963</v>
      </c>
      <c r="Y710" s="42" t="n">
        <f aca="false">IF(AND(C711=C710,ISNUMBER(R711)),R711,"")</f>
        <v>-0.326276019659943</v>
      </c>
      <c r="Z710" s="52" t="n">
        <f aca="false">IF(AND(W710=1,Q710&gt;Basis_Analysis!$B$3,ISNUMBER(Y710)),1,0)</f>
        <v>0</v>
      </c>
      <c r="AA710" s="43" t="str">
        <f aca="false">IF(W710=1,IF(SUMIFS($L$2:$L$756,$B$2:$B$756,B710,$W$2:$W$756,2)&gt;0,SUMIFS($L$2:$L$756,$B$2:$B$756,B710,$W$2:$W$756,2),""),"")</f>
        <v/>
      </c>
      <c r="AB710" s="54" t="str">
        <f aca="false">IF(AND(W710=1,ISNUMBER(AA710)),L710/(L710+AA710),"")</f>
        <v/>
      </c>
    </row>
    <row r="711" customFormat="false" ht="15" hidden="false" customHeight="true" outlineLevel="0" collapsed="false">
      <c r="A711" s="1" t="s">
        <v>274</v>
      </c>
      <c r="B711" s="46" t="n">
        <v>45994</v>
      </c>
      <c r="C711" s="46" t="n">
        <v>46049</v>
      </c>
      <c r="D711" s="47" t="n">
        <v>26370</v>
      </c>
      <c r="E711" s="47" t="n">
        <v>26385.8</v>
      </c>
      <c r="F711" s="47" t="n">
        <v>26220</v>
      </c>
      <c r="G711" s="47" t="n">
        <v>26302.6</v>
      </c>
      <c r="H711" s="47" t="n">
        <v>26314.9</v>
      </c>
      <c r="I711" s="47" t="n">
        <v>26302.6</v>
      </c>
      <c r="J711" s="48" t="n">
        <v>4754</v>
      </c>
      <c r="K711" s="47" t="n">
        <v>81182.33</v>
      </c>
      <c r="L711" s="48" t="n">
        <v>1059045</v>
      </c>
      <c r="M711" s="48" t="n">
        <v>62010</v>
      </c>
      <c r="N711" s="47" t="n">
        <v>25986</v>
      </c>
      <c r="O711" s="47" t="n">
        <f aca="false">IF(AND(ISNUMBER(G711),ISNUMBER(N711)),G711-N711,"")</f>
        <v>316.599999999999</v>
      </c>
      <c r="P711" s="49" t="n">
        <f aca="false">IF(ISNUMBER(O711),O711/N711,"")</f>
        <v>0.012183483414146</v>
      </c>
      <c r="Q711" s="50" t="n">
        <f aca="false">C711-B711</f>
        <v>55</v>
      </c>
      <c r="R711" s="51" t="n">
        <f aca="false">IF(AND(C711=C710,ISNUMBER(G711),ISNUMBER(G710)),(G711/G710-1)*100,"")</f>
        <v>-0.326276019659943</v>
      </c>
      <c r="S711" s="51" t="n">
        <f aca="false">IF(AND(C711=C710,ISNUMBER(L711),ISNUMBER(L710)),(L711/L710-1)*100,"")</f>
        <v>6.21944064150206</v>
      </c>
      <c r="T711" s="51" t="n">
        <f aca="false">IF(AND(C711=C710,ISNUMBER(G711),ISNUMBER(G710)),G711-G710,"")</f>
        <v>-86.1000000000022</v>
      </c>
      <c r="U711" s="1" t="str">
        <f aca="false">IF(OR(NOT(ISNUMBER(R711)),NOT(ISNUMBER(S711))),"Not classified",IF(AND(R711&gt;0,S711&gt;0),"Long buildup (interpretation)",IF(AND(R711&lt;0,S711&gt;0),"Short buildup (interpretation)",IF(AND(R711&gt;0,S711&lt;0),"Short covering (interpretation)",IF(AND(R711&lt;0,S711&lt;0),"Long unwinding (interpretation)","Neutral")))))</f>
        <v>Short buildup (interpretation)</v>
      </c>
      <c r="V711" s="52" t="str">
        <f aca="false">TEXT(B711,"yyyy-mm")</f>
        <v>2025-12</v>
      </c>
      <c r="W711" s="52" t="n">
        <f aca="false">1+COUNTIFS($B$2:$B$756,B711,$C$2:$C$756,"&lt;"&amp;C711)</f>
        <v>2</v>
      </c>
      <c r="X711" s="53" t="n">
        <f aca="false">IF(AND(ISNUMBER(P711),Q711&gt;0),P711*365/Q711,"")</f>
        <v>0.0808540262938782</v>
      </c>
      <c r="Y711" s="42" t="n">
        <f aca="false">IF(AND(C712=C711,ISNUMBER(R712)),R712,"")</f>
        <v>0.182111274170627</v>
      </c>
      <c r="Z711" s="52" t="n">
        <f aca="false">IF(AND(W711=1,Q711&gt;Basis_Analysis!$B$3,ISNUMBER(Y711)),1,0)</f>
        <v>0</v>
      </c>
      <c r="AA711" s="43" t="str">
        <f aca="false">IF(W711=1,IF(SUMIFS($L$2:$L$756,$B$2:$B$756,B711,$W$2:$W$756,2)&gt;0,SUMIFS($L$2:$L$756,$B$2:$B$756,B711,$W$2:$W$756,2),""),"")</f>
        <v/>
      </c>
      <c r="AB711" s="54" t="str">
        <f aca="false">IF(AND(W711=1,ISNUMBER(AA711)),L711/(L711+AA711),"")</f>
        <v/>
      </c>
    </row>
    <row r="712" customFormat="false" ht="15" hidden="false" customHeight="true" outlineLevel="0" collapsed="false">
      <c r="A712" s="1" t="s">
        <v>274</v>
      </c>
      <c r="B712" s="46" t="n">
        <v>45995</v>
      </c>
      <c r="C712" s="46" t="n">
        <v>46049</v>
      </c>
      <c r="D712" s="47" t="n">
        <v>26272</v>
      </c>
      <c r="E712" s="47" t="n">
        <v>26408</v>
      </c>
      <c r="F712" s="47" t="n">
        <v>26230.5</v>
      </c>
      <c r="G712" s="47" t="n">
        <v>26350.5</v>
      </c>
      <c r="H712" s="47" t="n">
        <v>26349</v>
      </c>
      <c r="I712" s="47" t="n">
        <v>26350.5</v>
      </c>
      <c r="J712" s="48" t="n">
        <v>3627</v>
      </c>
      <c r="K712" s="47" t="n">
        <v>62065.42</v>
      </c>
      <c r="L712" s="48" t="n">
        <v>1069640</v>
      </c>
      <c r="M712" s="48" t="n">
        <v>10595</v>
      </c>
      <c r="N712" s="47" t="n">
        <v>26033.75</v>
      </c>
      <c r="O712" s="47" t="n">
        <f aca="false">IF(AND(ISNUMBER(G712),ISNUMBER(N712)),G712-N712,"")</f>
        <v>316.75</v>
      </c>
      <c r="P712" s="49" t="n">
        <f aca="false">IF(ISNUMBER(O712),O712/N712,"")</f>
        <v>0.0121668987372161</v>
      </c>
      <c r="Q712" s="50" t="n">
        <f aca="false">C712-B712</f>
        <v>54</v>
      </c>
      <c r="R712" s="51" t="n">
        <f aca="false">IF(AND(C712=C711,ISNUMBER(G712),ISNUMBER(G711)),(G712/G711-1)*100,"")</f>
        <v>0.182111274170627</v>
      </c>
      <c r="S712" s="51" t="n">
        <f aca="false">IF(AND(C712=C711,ISNUMBER(L712),ISNUMBER(L711)),(L712/L711-1)*100,"")</f>
        <v>1.00042963235745</v>
      </c>
      <c r="T712" s="51" t="n">
        <f aca="false">IF(AND(C712=C711,ISNUMBER(G712),ISNUMBER(G711)),G712-G711,"")</f>
        <v>47.9000000000015</v>
      </c>
      <c r="U712" s="1" t="str">
        <f aca="false">IF(OR(NOT(ISNUMBER(R712)),NOT(ISNUMBER(S712))),"Not classified",IF(AND(R712&gt;0,S712&gt;0),"Long buildup (interpretation)",IF(AND(R712&lt;0,S712&gt;0),"Short buildup (interpretation)",IF(AND(R712&gt;0,S712&lt;0),"Short covering (interpretation)",IF(AND(R712&lt;0,S712&lt;0),"Long unwinding (interpretation)","Neutral")))))</f>
        <v>Long buildup (interpretation)</v>
      </c>
      <c r="V712" s="52" t="str">
        <f aca="false">TEXT(B712,"yyyy-mm")</f>
        <v>2025-12</v>
      </c>
      <c r="W712" s="52" t="n">
        <f aca="false">1+COUNTIFS($B$2:$B$756,B712,$C$2:$C$756,"&lt;"&amp;C712)</f>
        <v>2</v>
      </c>
      <c r="X712" s="53" t="n">
        <f aca="false">IF(AND(ISNUMBER(P712),Q712&gt;0),P712*365/Q712,"")</f>
        <v>0.0822392229459978</v>
      </c>
      <c r="Y712" s="42" t="n">
        <f aca="false">IF(AND(C713=C712,ISNUMBER(R713)),R713,"")</f>
        <v>0.541166201779841</v>
      </c>
      <c r="Z712" s="52" t="n">
        <f aca="false">IF(AND(W712=1,Q712&gt;Basis_Analysis!$B$3,ISNUMBER(Y712)),1,0)</f>
        <v>0</v>
      </c>
      <c r="AA712" s="43" t="str">
        <f aca="false">IF(W712=1,IF(SUMIFS($L$2:$L$756,$B$2:$B$756,B712,$W$2:$W$756,2)&gt;0,SUMIFS($L$2:$L$756,$B$2:$B$756,B712,$W$2:$W$756,2),""),"")</f>
        <v/>
      </c>
      <c r="AB712" s="54" t="str">
        <f aca="false">IF(AND(W712=1,ISNUMBER(AA712)),L712/(L712+AA712),"")</f>
        <v/>
      </c>
    </row>
    <row r="713" customFormat="false" ht="15" hidden="false" customHeight="true" outlineLevel="0" collapsed="false">
      <c r="A713" s="1" t="s">
        <v>274</v>
      </c>
      <c r="B713" s="46" t="n">
        <v>45996</v>
      </c>
      <c r="C713" s="46" t="n">
        <v>46049</v>
      </c>
      <c r="D713" s="47" t="n">
        <v>26317.7</v>
      </c>
      <c r="E713" s="47" t="n">
        <v>26524</v>
      </c>
      <c r="F713" s="47" t="n">
        <v>26317.7</v>
      </c>
      <c r="G713" s="47" t="n">
        <v>26493.1</v>
      </c>
      <c r="H713" s="47" t="n">
        <v>26499.3</v>
      </c>
      <c r="I713" s="47" t="n">
        <v>26493.1</v>
      </c>
      <c r="J713" s="48" t="n">
        <v>4594</v>
      </c>
      <c r="K713" s="47" t="n">
        <v>78963.9</v>
      </c>
      <c r="L713" s="48" t="n">
        <v>1097850</v>
      </c>
      <c r="M713" s="48" t="n">
        <v>28210</v>
      </c>
      <c r="N713" s="47" t="n">
        <v>26186.45</v>
      </c>
      <c r="O713" s="47" t="n">
        <f aca="false">IF(AND(ISNUMBER(G713),ISNUMBER(N713)),G713-N713,"")</f>
        <v>306.649999999998</v>
      </c>
      <c r="P713" s="49" t="n">
        <f aca="false">IF(ISNUMBER(O713),O713/N713,"")</f>
        <v>0.0117102547309772</v>
      </c>
      <c r="Q713" s="50" t="n">
        <f aca="false">C713-B713</f>
        <v>53</v>
      </c>
      <c r="R713" s="51" t="n">
        <f aca="false">IF(AND(C713=C712,ISNUMBER(G713),ISNUMBER(G712)),(G713/G712-1)*100,"")</f>
        <v>0.541166201779841</v>
      </c>
      <c r="S713" s="51" t="n">
        <f aca="false">IF(AND(C713=C712,ISNUMBER(L713),ISNUMBER(L712)),(L713/L712-1)*100,"")</f>
        <v>2.63733592610598</v>
      </c>
      <c r="T713" s="51" t="n">
        <f aca="false">IF(AND(C713=C712,ISNUMBER(G713),ISNUMBER(G712)),G713-G712,"")</f>
        <v>142.599999999999</v>
      </c>
      <c r="U713" s="1" t="str">
        <f aca="false">IF(OR(NOT(ISNUMBER(R713)),NOT(ISNUMBER(S713))),"Not classified",IF(AND(R713&gt;0,S713&gt;0),"Long buildup (interpretation)",IF(AND(R713&lt;0,S713&gt;0),"Short buildup (interpretation)",IF(AND(R713&gt;0,S713&lt;0),"Short covering (interpretation)",IF(AND(R713&lt;0,S713&lt;0),"Long unwinding (interpretation)","Neutral")))))</f>
        <v>Long buildup (interpretation)</v>
      </c>
      <c r="V713" s="52" t="str">
        <f aca="false">TEXT(B713,"yyyy-mm")</f>
        <v>2025-12</v>
      </c>
      <c r="W713" s="52" t="n">
        <f aca="false">1+COUNTIFS($B$2:$B$756,B713,$C$2:$C$756,"&lt;"&amp;C713)</f>
        <v>2</v>
      </c>
      <c r="X713" s="53" t="n">
        <f aca="false">IF(AND(ISNUMBER(P713),Q713&gt;0),P713*365/Q713,"")</f>
        <v>0.0806460939020128</v>
      </c>
      <c r="Y713" s="42" t="n">
        <f aca="false">IF(AND(C714=C713,ISNUMBER(R714)),R714,"")</f>
        <v>-0.967421706029115</v>
      </c>
      <c r="Z713" s="52" t="n">
        <f aca="false">IF(AND(W713=1,Q713&gt;Basis_Analysis!$B$3,ISNUMBER(Y713)),1,0)</f>
        <v>0</v>
      </c>
      <c r="AA713" s="43" t="str">
        <f aca="false">IF(W713=1,IF(SUMIFS($L$2:$L$756,$B$2:$B$756,B713,$W$2:$W$756,2)&gt;0,SUMIFS($L$2:$L$756,$B$2:$B$756,B713,$W$2:$W$756,2),""),"")</f>
        <v/>
      </c>
      <c r="AB713" s="54" t="str">
        <f aca="false">IF(AND(W713=1,ISNUMBER(AA713)),L713/(L713+AA713),"")</f>
        <v/>
      </c>
    </row>
    <row r="714" customFormat="false" ht="15" hidden="false" customHeight="true" outlineLevel="0" collapsed="false">
      <c r="A714" s="1" t="s">
        <v>274</v>
      </c>
      <c r="B714" s="46" t="n">
        <v>45999</v>
      </c>
      <c r="C714" s="46" t="n">
        <v>46049</v>
      </c>
      <c r="D714" s="47" t="n">
        <v>26499.9</v>
      </c>
      <c r="E714" s="47" t="n">
        <v>26499.9</v>
      </c>
      <c r="F714" s="47" t="n">
        <v>26211</v>
      </c>
      <c r="G714" s="47" t="n">
        <v>26236.8</v>
      </c>
      <c r="H714" s="47" t="n">
        <v>26218.7</v>
      </c>
      <c r="I714" s="47" t="n">
        <v>26236.8</v>
      </c>
      <c r="J714" s="48" t="n">
        <v>6540</v>
      </c>
      <c r="K714" s="47" t="n">
        <v>111883.29</v>
      </c>
      <c r="L714" s="48" t="n">
        <v>1171430</v>
      </c>
      <c r="M714" s="48" t="n">
        <v>73580</v>
      </c>
      <c r="N714" s="47" t="n">
        <v>25960.55</v>
      </c>
      <c r="O714" s="47" t="n">
        <f aca="false">IF(AND(ISNUMBER(G714),ISNUMBER(N714)),G714-N714,"")</f>
        <v>276.25</v>
      </c>
      <c r="P714" s="49" t="n">
        <f aca="false">IF(ISNUMBER(O714),O714/N714,"")</f>
        <v>0.0106411458925177</v>
      </c>
      <c r="Q714" s="50" t="n">
        <f aca="false">C714-B714</f>
        <v>50</v>
      </c>
      <c r="R714" s="51" t="n">
        <f aca="false">IF(AND(C714=C713,ISNUMBER(G714),ISNUMBER(G713)),(G714/G713-1)*100,"")</f>
        <v>-0.967421706029115</v>
      </c>
      <c r="S714" s="51" t="n">
        <f aca="false">IF(AND(C714=C713,ISNUMBER(L714),ISNUMBER(L713)),(L714/L713-1)*100,"")</f>
        <v>6.70219064535227</v>
      </c>
      <c r="T714" s="51" t="n">
        <f aca="false">IF(AND(C714=C713,ISNUMBER(G714),ISNUMBER(G713)),G714-G713,"")</f>
        <v>-256.299999999999</v>
      </c>
      <c r="U714" s="1" t="str">
        <f aca="false">IF(OR(NOT(ISNUMBER(R714)),NOT(ISNUMBER(S714))),"Not classified",IF(AND(R714&gt;0,S714&gt;0),"Long buildup (interpretation)",IF(AND(R714&lt;0,S714&gt;0),"Short buildup (interpretation)",IF(AND(R714&gt;0,S714&lt;0),"Short covering (interpretation)",IF(AND(R714&lt;0,S714&lt;0),"Long unwinding (interpretation)","Neutral")))))</f>
        <v>Short buildup (interpretation)</v>
      </c>
      <c r="V714" s="52" t="str">
        <f aca="false">TEXT(B714,"yyyy-mm")</f>
        <v>2025-12</v>
      </c>
      <c r="W714" s="52" t="n">
        <f aca="false">1+COUNTIFS($B$2:$B$756,B714,$C$2:$C$756,"&lt;"&amp;C714)</f>
        <v>2</v>
      </c>
      <c r="X714" s="53" t="n">
        <f aca="false">IF(AND(ISNUMBER(P714),Q714&gt;0),P714*365/Q714,"")</f>
        <v>0.0776803650153791</v>
      </c>
      <c r="Y714" s="42" t="n">
        <f aca="false">IF(AND(C715=C714,ISNUMBER(R715)),R715,"")</f>
        <v>-0.402488108305887</v>
      </c>
      <c r="Z714" s="52" t="n">
        <f aca="false">IF(AND(W714=1,Q714&gt;Basis_Analysis!$B$3,ISNUMBER(Y714)),1,0)</f>
        <v>0</v>
      </c>
      <c r="AA714" s="43" t="str">
        <f aca="false">IF(W714=1,IF(SUMIFS($L$2:$L$756,$B$2:$B$756,B714,$W$2:$W$756,2)&gt;0,SUMIFS($L$2:$L$756,$B$2:$B$756,B714,$W$2:$W$756,2),""),"")</f>
        <v/>
      </c>
      <c r="AB714" s="54" t="str">
        <f aca="false">IF(AND(W714=1,ISNUMBER(AA714)),L714/(L714+AA714),"")</f>
        <v/>
      </c>
    </row>
    <row r="715" customFormat="false" ht="15" hidden="false" customHeight="true" outlineLevel="0" collapsed="false">
      <c r="A715" s="1" t="s">
        <v>274</v>
      </c>
      <c r="B715" s="46" t="n">
        <v>46000</v>
      </c>
      <c r="C715" s="46" t="n">
        <v>46049</v>
      </c>
      <c r="D715" s="47" t="n">
        <v>26156.5</v>
      </c>
      <c r="E715" s="47" t="n">
        <v>26201</v>
      </c>
      <c r="F715" s="47" t="n">
        <v>26043.8</v>
      </c>
      <c r="G715" s="47" t="n">
        <v>26131.2</v>
      </c>
      <c r="H715" s="47" t="n">
        <v>26125</v>
      </c>
      <c r="I715" s="47" t="n">
        <v>26131.2</v>
      </c>
      <c r="J715" s="48" t="n">
        <v>6807</v>
      </c>
      <c r="K715" s="47" t="n">
        <v>115568.27</v>
      </c>
      <c r="L715" s="48" t="n">
        <v>1257490</v>
      </c>
      <c r="M715" s="48" t="n">
        <v>86060</v>
      </c>
      <c r="N715" s="47" t="n">
        <v>25839.65</v>
      </c>
      <c r="O715" s="47" t="n">
        <f aca="false">IF(AND(ISNUMBER(G715),ISNUMBER(N715)),G715-N715,"")</f>
        <v>291.549999999999</v>
      </c>
      <c r="P715" s="49" t="n">
        <f aca="false">IF(ISNUMBER(O715),O715/N715,"")</f>
        <v>0.0112830475644987</v>
      </c>
      <c r="Q715" s="50" t="n">
        <f aca="false">C715-B715</f>
        <v>49</v>
      </c>
      <c r="R715" s="51" t="n">
        <f aca="false">IF(AND(C715=C714,ISNUMBER(G715),ISNUMBER(G714)),(G715/G714-1)*100,"")</f>
        <v>-0.402488108305887</v>
      </c>
      <c r="S715" s="51" t="n">
        <f aca="false">IF(AND(C715=C714,ISNUMBER(L715),ISNUMBER(L714)),(L715/L714-1)*100,"")</f>
        <v>7.34657640661414</v>
      </c>
      <c r="T715" s="51" t="n">
        <f aca="false">IF(AND(C715=C714,ISNUMBER(G715),ISNUMBER(G714)),G715-G714,"")</f>
        <v>-105.599999999999</v>
      </c>
      <c r="U715" s="1" t="str">
        <f aca="false">IF(OR(NOT(ISNUMBER(R715)),NOT(ISNUMBER(S715))),"Not classified",IF(AND(R715&gt;0,S715&gt;0),"Long buildup (interpretation)",IF(AND(R715&lt;0,S715&gt;0),"Short buildup (interpretation)",IF(AND(R715&gt;0,S715&lt;0),"Short covering (interpretation)",IF(AND(R715&lt;0,S715&lt;0),"Long unwinding (interpretation)","Neutral")))))</f>
        <v>Short buildup (interpretation)</v>
      </c>
      <c r="V715" s="52" t="str">
        <f aca="false">TEXT(B715,"yyyy-mm")</f>
        <v>2025-12</v>
      </c>
      <c r="W715" s="52" t="n">
        <f aca="false">1+COUNTIFS($B$2:$B$756,B715,$C$2:$C$756,"&lt;"&amp;C715)</f>
        <v>2</v>
      </c>
      <c r="X715" s="53" t="n">
        <f aca="false">IF(AND(ISNUMBER(P715),Q715&gt;0),P715*365/Q715,"")</f>
        <v>0.0840471910416741</v>
      </c>
      <c r="Y715" s="42" t="n">
        <f aca="false">IF(AND(C716=C715,ISNUMBER(R716)),R716,"")</f>
        <v>-0.378092089150128</v>
      </c>
      <c r="Z715" s="52" t="n">
        <f aca="false">IF(AND(W715=1,Q715&gt;Basis_Analysis!$B$3,ISNUMBER(Y715)),1,0)</f>
        <v>0</v>
      </c>
      <c r="AA715" s="43" t="str">
        <f aca="false">IF(W715=1,IF(SUMIFS($L$2:$L$756,$B$2:$B$756,B715,$W$2:$W$756,2)&gt;0,SUMIFS($L$2:$L$756,$B$2:$B$756,B715,$W$2:$W$756,2),""),"")</f>
        <v/>
      </c>
      <c r="AB715" s="54" t="str">
        <f aca="false">IF(AND(W715=1,ISNUMBER(AA715)),L715/(L715+AA715),"")</f>
        <v/>
      </c>
    </row>
    <row r="716" customFormat="false" ht="15" hidden="false" customHeight="true" outlineLevel="0" collapsed="false">
      <c r="A716" s="1" t="s">
        <v>274</v>
      </c>
      <c r="B716" s="46" t="n">
        <v>46001</v>
      </c>
      <c r="C716" s="46" t="n">
        <v>46049</v>
      </c>
      <c r="D716" s="47" t="n">
        <v>26118</v>
      </c>
      <c r="E716" s="47" t="n">
        <v>26220.9</v>
      </c>
      <c r="F716" s="47" t="n">
        <v>26015</v>
      </c>
      <c r="G716" s="47" t="n">
        <v>26032.4</v>
      </c>
      <c r="H716" s="47" t="n">
        <v>26026.1</v>
      </c>
      <c r="I716" s="47" t="n">
        <v>26032.4</v>
      </c>
      <c r="J716" s="48" t="n">
        <v>5547</v>
      </c>
      <c r="K716" s="47" t="n">
        <v>94091.04</v>
      </c>
      <c r="L716" s="48" t="n">
        <v>1314625</v>
      </c>
      <c r="M716" s="48" t="n">
        <v>57135</v>
      </c>
      <c r="N716" s="47" t="n">
        <v>25758</v>
      </c>
      <c r="O716" s="47" t="n">
        <f aca="false">IF(AND(ISNUMBER(G716),ISNUMBER(N716)),G716-N716,"")</f>
        <v>274.400000000001</v>
      </c>
      <c r="P716" s="49" t="n">
        <f aca="false">IF(ISNUMBER(O716),O716/N716,"")</f>
        <v>0.0106530010093952</v>
      </c>
      <c r="Q716" s="50" t="n">
        <f aca="false">C716-B716</f>
        <v>48</v>
      </c>
      <c r="R716" s="51" t="n">
        <f aca="false">IF(AND(C716=C715,ISNUMBER(G716),ISNUMBER(G715)),(G716/G715-1)*100,"")</f>
        <v>-0.378092089150128</v>
      </c>
      <c r="S716" s="51" t="n">
        <f aca="false">IF(AND(C716=C715,ISNUMBER(L716),ISNUMBER(L715)),(L716/L715-1)*100,"")</f>
        <v>4.54357489920396</v>
      </c>
      <c r="T716" s="51" t="n">
        <f aca="false">IF(AND(C716=C715,ISNUMBER(G716),ISNUMBER(G715)),G716-G715,"")</f>
        <v>-98.7999999999993</v>
      </c>
      <c r="U716" s="1" t="str">
        <f aca="false">IF(OR(NOT(ISNUMBER(R716)),NOT(ISNUMBER(S716))),"Not classified",IF(AND(R716&gt;0,S716&gt;0),"Long buildup (interpretation)",IF(AND(R716&lt;0,S716&gt;0),"Short buildup (interpretation)",IF(AND(R716&gt;0,S716&lt;0),"Short covering (interpretation)",IF(AND(R716&lt;0,S716&lt;0),"Long unwinding (interpretation)","Neutral")))))</f>
        <v>Short buildup (interpretation)</v>
      </c>
      <c r="V716" s="52" t="str">
        <f aca="false">TEXT(B716,"yyyy-mm")</f>
        <v>2025-12</v>
      </c>
      <c r="W716" s="52" t="n">
        <f aca="false">1+COUNTIFS($B$2:$B$756,B716,$C$2:$C$756,"&lt;"&amp;C716)</f>
        <v>2</v>
      </c>
      <c r="X716" s="53" t="n">
        <f aca="false">IF(AND(ISNUMBER(P716),Q716&gt;0),P716*365/Q716,"")</f>
        <v>0.0810071951756093</v>
      </c>
      <c r="Y716" s="42" t="n">
        <f aca="false">IF(AND(C717=C716,ISNUMBER(R717)),R717,"")</f>
        <v>0.528572087091472</v>
      </c>
      <c r="Z716" s="52" t="n">
        <f aca="false">IF(AND(W716=1,Q716&gt;Basis_Analysis!$B$3,ISNUMBER(Y716)),1,0)</f>
        <v>0</v>
      </c>
      <c r="AA716" s="43" t="str">
        <f aca="false">IF(W716=1,IF(SUMIFS($L$2:$L$756,$B$2:$B$756,B716,$W$2:$W$756,2)&gt;0,SUMIFS($L$2:$L$756,$B$2:$B$756,B716,$W$2:$W$756,2),""),"")</f>
        <v/>
      </c>
      <c r="AB716" s="54" t="str">
        <f aca="false">IF(AND(W716=1,ISNUMBER(AA716)),L716/(L716+AA716),"")</f>
        <v/>
      </c>
    </row>
    <row r="717" customFormat="false" ht="15" hidden="false" customHeight="true" outlineLevel="0" collapsed="false">
      <c r="A717" s="1" t="s">
        <v>274</v>
      </c>
      <c r="B717" s="46" t="n">
        <v>46002</v>
      </c>
      <c r="C717" s="46" t="n">
        <v>46049</v>
      </c>
      <c r="D717" s="47" t="n">
        <v>26050</v>
      </c>
      <c r="E717" s="47" t="n">
        <v>26196</v>
      </c>
      <c r="F717" s="47" t="n">
        <v>25969.2</v>
      </c>
      <c r="G717" s="47" t="n">
        <v>26170</v>
      </c>
      <c r="H717" s="47" t="n">
        <v>26170</v>
      </c>
      <c r="I717" s="47" t="n">
        <v>26170</v>
      </c>
      <c r="J717" s="48" t="n">
        <v>5361</v>
      </c>
      <c r="K717" s="47" t="n">
        <v>90957.96</v>
      </c>
      <c r="L717" s="48" t="n">
        <v>1376050</v>
      </c>
      <c r="M717" s="48" t="n">
        <v>61425</v>
      </c>
      <c r="N717" s="47" t="n">
        <v>25898.55</v>
      </c>
      <c r="O717" s="47" t="n">
        <f aca="false">IF(AND(ISNUMBER(G717),ISNUMBER(N717)),G717-N717,"")</f>
        <v>271.450000000001</v>
      </c>
      <c r="P717" s="49" t="n">
        <f aca="false">IF(ISNUMBER(O717),O717/N717,"")</f>
        <v>0.0104812817706011</v>
      </c>
      <c r="Q717" s="50" t="n">
        <f aca="false">C717-B717</f>
        <v>47</v>
      </c>
      <c r="R717" s="51" t="n">
        <f aca="false">IF(AND(C717=C716,ISNUMBER(G717),ISNUMBER(G716)),(G717/G716-1)*100,"")</f>
        <v>0.528572087091472</v>
      </c>
      <c r="S717" s="51" t="n">
        <f aca="false">IF(AND(C717=C716,ISNUMBER(L717),ISNUMBER(L716)),(L717/L716-1)*100,"")</f>
        <v>4.67243510506799</v>
      </c>
      <c r="T717" s="51" t="n">
        <f aca="false">IF(AND(C717=C716,ISNUMBER(G717),ISNUMBER(G716)),G717-G716,"")</f>
        <v>137.599999999999</v>
      </c>
      <c r="U717" s="1" t="str">
        <f aca="false">IF(OR(NOT(ISNUMBER(R717)),NOT(ISNUMBER(S717))),"Not classified",IF(AND(R717&gt;0,S717&gt;0),"Long buildup (interpretation)",IF(AND(R717&lt;0,S717&gt;0),"Short buildup (interpretation)",IF(AND(R717&gt;0,S717&lt;0),"Short covering (interpretation)",IF(AND(R717&lt;0,S717&lt;0),"Long unwinding (interpretation)","Neutral")))))</f>
        <v>Long buildup (interpretation)</v>
      </c>
      <c r="V717" s="52" t="str">
        <f aca="false">TEXT(B717,"yyyy-mm")</f>
        <v>2025-12</v>
      </c>
      <c r="W717" s="52" t="n">
        <f aca="false">1+COUNTIFS($B$2:$B$756,B717,$C$2:$C$756,"&lt;"&amp;C717)</f>
        <v>2</v>
      </c>
      <c r="X717" s="53" t="n">
        <f aca="false">IF(AND(ISNUMBER(P717),Q717&gt;0),P717*365/Q717,"")</f>
        <v>0.0813971882184978</v>
      </c>
      <c r="Y717" s="42" t="n">
        <f aca="false">IF(AND(C718=C717,ISNUMBER(R718)),R718,"")</f>
        <v>0.498280473824986</v>
      </c>
      <c r="Z717" s="52" t="n">
        <f aca="false">IF(AND(W717=1,Q717&gt;Basis_Analysis!$B$3,ISNUMBER(Y717)),1,0)</f>
        <v>0</v>
      </c>
      <c r="AA717" s="43" t="str">
        <f aca="false">IF(W717=1,IF(SUMIFS($L$2:$L$756,$B$2:$B$756,B717,$W$2:$W$756,2)&gt;0,SUMIFS($L$2:$L$756,$B$2:$B$756,B717,$W$2:$W$756,2),""),"")</f>
        <v/>
      </c>
      <c r="AB717" s="54" t="str">
        <f aca="false">IF(AND(W717=1,ISNUMBER(AA717)),L717/(L717+AA717),"")</f>
        <v/>
      </c>
    </row>
    <row r="718" customFormat="false" ht="15" hidden="false" customHeight="true" outlineLevel="0" collapsed="false">
      <c r="A718" s="1" t="s">
        <v>274</v>
      </c>
      <c r="B718" s="46" t="n">
        <v>46003</v>
      </c>
      <c r="C718" s="46" t="n">
        <v>46049</v>
      </c>
      <c r="D718" s="47" t="n">
        <v>26239.7</v>
      </c>
      <c r="E718" s="47" t="n">
        <v>26309</v>
      </c>
      <c r="F718" s="47" t="n">
        <v>26201</v>
      </c>
      <c r="G718" s="47" t="n">
        <v>26300.4</v>
      </c>
      <c r="H718" s="47" t="n">
        <v>26305</v>
      </c>
      <c r="I718" s="47" t="n">
        <v>26300.4</v>
      </c>
      <c r="J718" s="48" t="n">
        <v>5100</v>
      </c>
      <c r="K718" s="47" t="n">
        <v>87099.27</v>
      </c>
      <c r="L718" s="48" t="n">
        <v>1399775</v>
      </c>
      <c r="M718" s="48" t="n">
        <v>23725</v>
      </c>
      <c r="N718" s="47" t="n">
        <v>26046.95</v>
      </c>
      <c r="O718" s="47" t="n">
        <f aca="false">IF(AND(ISNUMBER(G718),ISNUMBER(N718)),G718-N718,"")</f>
        <v>253.450000000001</v>
      </c>
      <c r="P718" s="49" t="n">
        <f aca="false">IF(ISNUMBER(O718),O718/N718,"")</f>
        <v>0.00973050587496811</v>
      </c>
      <c r="Q718" s="50" t="n">
        <f aca="false">C718-B718</f>
        <v>46</v>
      </c>
      <c r="R718" s="51" t="n">
        <f aca="false">IF(AND(C718=C717,ISNUMBER(G718),ISNUMBER(G717)),(G718/G717-1)*100,"")</f>
        <v>0.498280473824986</v>
      </c>
      <c r="S718" s="51" t="n">
        <f aca="false">IF(AND(C718=C717,ISNUMBER(L718),ISNUMBER(L717)),(L718/L717-1)*100,"")</f>
        <v>1.72413793103448</v>
      </c>
      <c r="T718" s="51" t="n">
        <f aca="false">IF(AND(C718=C717,ISNUMBER(G718),ISNUMBER(G717)),G718-G717,"")</f>
        <v>130.400000000001</v>
      </c>
      <c r="U718" s="1" t="str">
        <f aca="false">IF(OR(NOT(ISNUMBER(R718)),NOT(ISNUMBER(S718))),"Not classified",IF(AND(R718&gt;0,S718&gt;0),"Long buildup (interpretation)",IF(AND(R718&lt;0,S718&gt;0),"Short buildup (interpretation)",IF(AND(R718&gt;0,S718&lt;0),"Short covering (interpretation)",IF(AND(R718&lt;0,S718&lt;0),"Long unwinding (interpretation)","Neutral")))))</f>
        <v>Long buildup (interpretation)</v>
      </c>
      <c r="V718" s="52" t="str">
        <f aca="false">TEXT(B718,"yyyy-mm")</f>
        <v>2025-12</v>
      </c>
      <c r="W718" s="52" t="n">
        <f aca="false">1+COUNTIFS($B$2:$B$756,B718,$C$2:$C$756,"&lt;"&amp;C718)</f>
        <v>2</v>
      </c>
      <c r="X718" s="53" t="n">
        <f aca="false">IF(AND(ISNUMBER(P718),Q718&gt;0),P718*365/Q718,"")</f>
        <v>0.0772094487905079</v>
      </c>
      <c r="Y718" s="42" t="n">
        <f aca="false">IF(AND(C719=C718,ISNUMBER(R719)),R719,"")</f>
        <v>-0.120530486228354</v>
      </c>
      <c r="Z718" s="52" t="n">
        <f aca="false">IF(AND(W718=1,Q718&gt;Basis_Analysis!$B$3,ISNUMBER(Y718)),1,0)</f>
        <v>0</v>
      </c>
      <c r="AA718" s="43" t="str">
        <f aca="false">IF(W718=1,IF(SUMIFS($L$2:$L$756,$B$2:$B$756,B718,$W$2:$W$756,2)&gt;0,SUMIFS($L$2:$L$756,$B$2:$B$756,B718,$W$2:$W$756,2),""),"")</f>
        <v/>
      </c>
      <c r="AB718" s="54" t="str">
        <f aca="false">IF(AND(W718=1,ISNUMBER(AA718)),L718/(L718+AA718),"")</f>
        <v/>
      </c>
    </row>
    <row r="719" customFormat="false" ht="15" hidden="false" customHeight="true" outlineLevel="0" collapsed="false">
      <c r="A719" s="1" t="s">
        <v>274</v>
      </c>
      <c r="B719" s="46" t="n">
        <v>46006</v>
      </c>
      <c r="C719" s="46" t="n">
        <v>46049</v>
      </c>
      <c r="D719" s="47" t="n">
        <v>26238.4</v>
      </c>
      <c r="E719" s="47" t="n">
        <v>26288</v>
      </c>
      <c r="F719" s="47" t="n">
        <v>26155</v>
      </c>
      <c r="G719" s="47" t="n">
        <v>26268.7</v>
      </c>
      <c r="H719" s="47" t="n">
        <v>26265</v>
      </c>
      <c r="I719" s="47" t="n">
        <v>26268.7</v>
      </c>
      <c r="J719" s="48" t="n">
        <v>5558</v>
      </c>
      <c r="K719" s="47" t="n">
        <v>94760.84</v>
      </c>
      <c r="L719" s="48" t="n">
        <v>1420055</v>
      </c>
      <c r="M719" s="48" t="n">
        <v>20280</v>
      </c>
      <c r="N719" s="47" t="n">
        <v>26027.3</v>
      </c>
      <c r="O719" s="47" t="n">
        <f aca="false">IF(AND(ISNUMBER(G719),ISNUMBER(N719)),G719-N719,"")</f>
        <v>241.400000000001</v>
      </c>
      <c r="P719" s="49" t="n">
        <f aca="false">IF(ISNUMBER(O719),O719/N719,"")</f>
        <v>0.00927487676401323</v>
      </c>
      <c r="Q719" s="50" t="n">
        <f aca="false">C719-B719</f>
        <v>43</v>
      </c>
      <c r="R719" s="51" t="n">
        <f aca="false">IF(AND(C719=C718,ISNUMBER(G719),ISNUMBER(G718)),(G719/G718-1)*100,"")</f>
        <v>-0.120530486228354</v>
      </c>
      <c r="S719" s="51" t="n">
        <f aca="false">IF(AND(C719=C718,ISNUMBER(L719),ISNUMBER(L718)),(L719/L718-1)*100,"")</f>
        <v>1.44880427211516</v>
      </c>
      <c r="T719" s="51" t="n">
        <f aca="false">IF(AND(C719=C718,ISNUMBER(G719),ISNUMBER(G718)),G719-G718,"")</f>
        <v>-31.7000000000007</v>
      </c>
      <c r="U719" s="1" t="str">
        <f aca="false">IF(OR(NOT(ISNUMBER(R719)),NOT(ISNUMBER(S719))),"Not classified",IF(AND(R719&gt;0,S719&gt;0),"Long buildup (interpretation)",IF(AND(R719&lt;0,S719&gt;0),"Short buildup (interpretation)",IF(AND(R719&gt;0,S719&lt;0),"Short covering (interpretation)",IF(AND(R719&lt;0,S719&lt;0),"Long unwinding (interpretation)","Neutral")))))</f>
        <v>Short buildup (interpretation)</v>
      </c>
      <c r="V719" s="52" t="str">
        <f aca="false">TEXT(B719,"yyyy-mm")</f>
        <v>2025-12</v>
      </c>
      <c r="W719" s="52" t="n">
        <f aca="false">1+COUNTIFS($B$2:$B$756,B719,$C$2:$C$756,"&lt;"&amp;C719)</f>
        <v>2</v>
      </c>
      <c r="X719" s="53" t="n">
        <f aca="false">IF(AND(ISNUMBER(P719),Q719&gt;0),P719*365/Q719,"")</f>
        <v>0.0787286050898797</v>
      </c>
      <c r="Y719" s="42" t="n">
        <f aca="false">IF(AND(C720=C719,ISNUMBER(R720)),R720,"")</f>
        <v>-0.593101295458087</v>
      </c>
      <c r="Z719" s="52" t="n">
        <f aca="false">IF(AND(W719=1,Q719&gt;Basis_Analysis!$B$3,ISNUMBER(Y719)),1,0)</f>
        <v>0</v>
      </c>
      <c r="AA719" s="43" t="str">
        <f aca="false">IF(W719=1,IF(SUMIFS($L$2:$L$756,$B$2:$B$756,B719,$W$2:$W$756,2)&gt;0,SUMIFS($L$2:$L$756,$B$2:$B$756,B719,$W$2:$W$756,2),""),"")</f>
        <v/>
      </c>
      <c r="AB719" s="54" t="str">
        <f aca="false">IF(AND(W719=1,ISNUMBER(AA719)),L719/(L719+AA719),"")</f>
        <v/>
      </c>
    </row>
    <row r="720" customFormat="false" ht="15" hidden="false" customHeight="true" outlineLevel="0" collapsed="false">
      <c r="A720" s="1" t="s">
        <v>274</v>
      </c>
      <c r="B720" s="46" t="n">
        <v>46007</v>
      </c>
      <c r="C720" s="46" t="n">
        <v>46049</v>
      </c>
      <c r="D720" s="47" t="n">
        <v>26211</v>
      </c>
      <c r="E720" s="47" t="n">
        <v>26228.6</v>
      </c>
      <c r="F720" s="47" t="n">
        <v>26099</v>
      </c>
      <c r="G720" s="47" t="n">
        <v>26112.9</v>
      </c>
      <c r="H720" s="47" t="n">
        <v>26099</v>
      </c>
      <c r="I720" s="47" t="n">
        <v>26112.9</v>
      </c>
      <c r="J720" s="48" t="n">
        <v>6078</v>
      </c>
      <c r="K720" s="47" t="n">
        <v>103303.06</v>
      </c>
      <c r="L720" s="48" t="n">
        <v>1501825</v>
      </c>
      <c r="M720" s="48" t="n">
        <v>81770</v>
      </c>
      <c r="N720" s="47" t="n">
        <v>25860.1</v>
      </c>
      <c r="O720" s="47" t="n">
        <f aca="false">IF(AND(ISNUMBER(G720),ISNUMBER(N720)),G720-N720,"")</f>
        <v>252.800000000003</v>
      </c>
      <c r="P720" s="49" t="n">
        <f aca="false">IF(ISNUMBER(O720),O720/N720,"")</f>
        <v>0.00977567758825383</v>
      </c>
      <c r="Q720" s="50" t="n">
        <f aca="false">C720-B720</f>
        <v>42</v>
      </c>
      <c r="R720" s="51" t="n">
        <f aca="false">IF(AND(C720=C719,ISNUMBER(G720),ISNUMBER(G719)),(G720/G719-1)*100,"")</f>
        <v>-0.593101295458087</v>
      </c>
      <c r="S720" s="51" t="n">
        <f aca="false">IF(AND(C720=C719,ISNUMBER(L720),ISNUMBER(L719)),(L720/L719-1)*100,"")</f>
        <v>5.75822767428023</v>
      </c>
      <c r="T720" s="51" t="n">
        <f aca="false">IF(AND(C720=C719,ISNUMBER(G720),ISNUMBER(G719)),G720-G719,"")</f>
        <v>-155.799999999999</v>
      </c>
      <c r="U720" s="1" t="str">
        <f aca="false">IF(OR(NOT(ISNUMBER(R720)),NOT(ISNUMBER(S720))),"Not classified",IF(AND(R720&gt;0,S720&gt;0),"Long buildup (interpretation)",IF(AND(R720&lt;0,S720&gt;0),"Short buildup (interpretation)",IF(AND(R720&gt;0,S720&lt;0),"Short covering (interpretation)",IF(AND(R720&lt;0,S720&lt;0),"Long unwinding (interpretation)","Neutral")))))</f>
        <v>Short buildup (interpretation)</v>
      </c>
      <c r="V720" s="52" t="str">
        <f aca="false">TEXT(B720,"yyyy-mm")</f>
        <v>2025-12</v>
      </c>
      <c r="W720" s="52" t="n">
        <f aca="false">1+COUNTIFS($B$2:$B$756,B720,$C$2:$C$756,"&lt;"&amp;C720)</f>
        <v>2</v>
      </c>
      <c r="X720" s="53" t="n">
        <f aca="false">IF(AND(ISNUMBER(P720),Q720&gt;0),P720*365/Q720,"")</f>
        <v>0.0849552933264916</v>
      </c>
      <c r="Y720" s="42" t="n">
        <f aca="false">IF(AND(C721=C720,ISNUMBER(R721)),R721,"")</f>
        <v>-0.195688720900411</v>
      </c>
      <c r="Z720" s="52" t="n">
        <f aca="false">IF(AND(W720=1,Q720&gt;Basis_Analysis!$B$3,ISNUMBER(Y720)),1,0)</f>
        <v>0</v>
      </c>
      <c r="AA720" s="43" t="str">
        <f aca="false">IF(W720=1,IF(SUMIFS($L$2:$L$756,$B$2:$B$756,B720,$W$2:$W$756,2)&gt;0,SUMIFS($L$2:$L$756,$B$2:$B$756,B720,$W$2:$W$756,2),""),"")</f>
        <v/>
      </c>
      <c r="AB720" s="54" t="str">
        <f aca="false">IF(AND(W720=1,ISNUMBER(AA720)),L720/(L720+AA720),"")</f>
        <v/>
      </c>
    </row>
    <row r="721" customFormat="false" ht="15" hidden="false" customHeight="true" outlineLevel="0" collapsed="false">
      <c r="A721" s="1" t="s">
        <v>274</v>
      </c>
      <c r="B721" s="46" t="n">
        <v>46008</v>
      </c>
      <c r="C721" s="46" t="n">
        <v>46049</v>
      </c>
      <c r="D721" s="47" t="n">
        <v>26125</v>
      </c>
      <c r="E721" s="47" t="n">
        <v>26164.8</v>
      </c>
      <c r="F721" s="47" t="n">
        <v>26026</v>
      </c>
      <c r="G721" s="47" t="n">
        <v>26061.8</v>
      </c>
      <c r="H721" s="47" t="n">
        <v>26071</v>
      </c>
      <c r="I721" s="47" t="n">
        <v>26061.8</v>
      </c>
      <c r="J721" s="48" t="n">
        <v>5083</v>
      </c>
      <c r="K721" s="47" t="n">
        <v>86144.48</v>
      </c>
      <c r="L721" s="48" t="n">
        <v>1585935</v>
      </c>
      <c r="M721" s="48" t="n">
        <v>84110</v>
      </c>
      <c r="N721" s="47" t="n">
        <v>25818.55</v>
      </c>
      <c r="O721" s="47" t="n">
        <f aca="false">IF(AND(ISNUMBER(G721),ISNUMBER(N721)),G721-N721,"")</f>
        <v>243.25</v>
      </c>
      <c r="P721" s="49" t="n">
        <f aca="false">IF(ISNUMBER(O721),O721/N721,"")</f>
        <v>0.00942152057338619</v>
      </c>
      <c r="Q721" s="50" t="n">
        <f aca="false">C721-B721</f>
        <v>41</v>
      </c>
      <c r="R721" s="51" t="n">
        <f aca="false">IF(AND(C721=C720,ISNUMBER(G721),ISNUMBER(G720)),(G721/G720-1)*100,"")</f>
        <v>-0.195688720900411</v>
      </c>
      <c r="S721" s="51" t="n">
        <f aca="false">IF(AND(C721=C720,ISNUMBER(L721),ISNUMBER(L720)),(L721/L720-1)*100,"")</f>
        <v>5.60051936810215</v>
      </c>
      <c r="T721" s="51" t="n">
        <f aca="false">IF(AND(C721=C720,ISNUMBER(G721),ISNUMBER(G720)),G721-G720,"")</f>
        <v>-51.1000000000022</v>
      </c>
      <c r="U721" s="1" t="str">
        <f aca="false">IF(OR(NOT(ISNUMBER(R721)),NOT(ISNUMBER(S721))),"Not classified",IF(AND(R721&gt;0,S721&gt;0),"Long buildup (interpretation)",IF(AND(R721&lt;0,S721&gt;0),"Short buildup (interpretation)",IF(AND(R721&gt;0,S721&lt;0),"Short covering (interpretation)",IF(AND(R721&lt;0,S721&lt;0),"Long unwinding (interpretation)","Neutral")))))</f>
        <v>Short buildup (interpretation)</v>
      </c>
      <c r="V721" s="52" t="str">
        <f aca="false">TEXT(B721,"yyyy-mm")</f>
        <v>2025-12</v>
      </c>
      <c r="W721" s="52" t="n">
        <f aca="false">1+COUNTIFS($B$2:$B$756,B721,$C$2:$C$756,"&lt;"&amp;C721)</f>
        <v>2</v>
      </c>
      <c r="X721" s="53" t="n">
        <f aca="false">IF(AND(ISNUMBER(P721),Q721&gt;0),P721*365/Q721,"")</f>
        <v>0.0838745124216088</v>
      </c>
      <c r="Y721" s="42" t="n">
        <f aca="false">IF(AND(C722=C721,ISNUMBER(R722)),R722,"")</f>
        <v>-0.0487303256106686</v>
      </c>
      <c r="Z721" s="52" t="n">
        <f aca="false">IF(AND(W721=1,Q721&gt;Basis_Analysis!$B$3,ISNUMBER(Y721)),1,0)</f>
        <v>0</v>
      </c>
      <c r="AA721" s="43" t="str">
        <f aca="false">IF(W721=1,IF(SUMIFS($L$2:$L$756,$B$2:$B$756,B721,$W$2:$W$756,2)&gt;0,SUMIFS($L$2:$L$756,$B$2:$B$756,B721,$W$2:$W$756,2),""),"")</f>
        <v/>
      </c>
      <c r="AB721" s="54" t="str">
        <f aca="false">IF(AND(W721=1,ISNUMBER(AA721)),L721/(L721+AA721),"")</f>
        <v/>
      </c>
    </row>
    <row r="722" customFormat="false" ht="15" hidden="false" customHeight="true" outlineLevel="0" collapsed="false">
      <c r="A722" s="1" t="s">
        <v>274</v>
      </c>
      <c r="B722" s="46" t="n">
        <v>46009</v>
      </c>
      <c r="C722" s="46" t="n">
        <v>46049</v>
      </c>
      <c r="D722" s="47" t="n">
        <v>26019.1</v>
      </c>
      <c r="E722" s="47" t="n">
        <v>26135</v>
      </c>
      <c r="F722" s="47" t="n">
        <v>25975.1</v>
      </c>
      <c r="G722" s="47" t="n">
        <v>26049.1</v>
      </c>
      <c r="H722" s="47" t="n">
        <v>26045</v>
      </c>
      <c r="I722" s="47" t="n">
        <v>26049.1</v>
      </c>
      <c r="J722" s="48" t="n">
        <v>6025</v>
      </c>
      <c r="K722" s="47" t="n">
        <v>102058.53</v>
      </c>
      <c r="L722" s="48" t="n">
        <v>1644240</v>
      </c>
      <c r="M722" s="48" t="n">
        <v>58305</v>
      </c>
      <c r="N722" s="47" t="n">
        <v>25815.55</v>
      </c>
      <c r="O722" s="47" t="n">
        <f aca="false">IF(AND(ISNUMBER(G722),ISNUMBER(N722)),G722-N722,"")</f>
        <v>233.549999999999</v>
      </c>
      <c r="P722" s="49" t="n">
        <f aca="false">IF(ISNUMBER(O722),O722/N722,"")</f>
        <v>0.00904687291186898</v>
      </c>
      <c r="Q722" s="50" t="n">
        <f aca="false">C722-B722</f>
        <v>40</v>
      </c>
      <c r="R722" s="51" t="n">
        <f aca="false">IF(AND(C722=C721,ISNUMBER(G722),ISNUMBER(G721)),(G722/G721-1)*100,"")</f>
        <v>-0.0487303256106686</v>
      </c>
      <c r="S722" s="51" t="n">
        <f aca="false">IF(AND(C722=C721,ISNUMBER(L722),ISNUMBER(L721)),(L722/L721-1)*100,"")</f>
        <v>3.67638017951555</v>
      </c>
      <c r="T722" s="51" t="n">
        <f aca="false">IF(AND(C722=C721,ISNUMBER(G722),ISNUMBER(G721)),G722-G721,"")</f>
        <v>-12.7000000000007</v>
      </c>
      <c r="U722" s="1" t="str">
        <f aca="false">IF(OR(NOT(ISNUMBER(R722)),NOT(ISNUMBER(S722))),"Not classified",IF(AND(R722&gt;0,S722&gt;0),"Long buildup (interpretation)",IF(AND(R722&lt;0,S722&gt;0),"Short buildup (interpretation)",IF(AND(R722&gt;0,S722&lt;0),"Short covering (interpretation)",IF(AND(R722&lt;0,S722&lt;0),"Long unwinding (interpretation)","Neutral")))))</f>
        <v>Short buildup (interpretation)</v>
      </c>
      <c r="V722" s="52" t="str">
        <f aca="false">TEXT(B722,"yyyy-mm")</f>
        <v>2025-12</v>
      </c>
      <c r="W722" s="52" t="n">
        <f aca="false">1+COUNTIFS($B$2:$B$756,B722,$C$2:$C$756,"&lt;"&amp;C722)</f>
        <v>2</v>
      </c>
      <c r="X722" s="53" t="n">
        <f aca="false">IF(AND(ISNUMBER(P722),Q722&gt;0),P722*365/Q722,"")</f>
        <v>0.0825527153208045</v>
      </c>
      <c r="Y722" s="42" t="n">
        <f aca="false">IF(AND(C723=C722,ISNUMBER(R723)),R723,"")</f>
        <v>0.540901605045852</v>
      </c>
      <c r="Z722" s="52" t="n">
        <f aca="false">IF(AND(W722=1,Q722&gt;Basis_Analysis!$B$3,ISNUMBER(Y722)),1,0)</f>
        <v>0</v>
      </c>
      <c r="AA722" s="43" t="str">
        <f aca="false">IF(W722=1,IF(SUMIFS($L$2:$L$756,$B$2:$B$756,B722,$W$2:$W$756,2)&gt;0,SUMIFS($L$2:$L$756,$B$2:$B$756,B722,$W$2:$W$756,2),""),"")</f>
        <v/>
      </c>
      <c r="AB722" s="54" t="str">
        <f aca="false">IF(AND(W722=1,ISNUMBER(AA722)),L722/(L722+AA722),"")</f>
        <v/>
      </c>
    </row>
    <row r="723" customFormat="false" ht="15" hidden="false" customHeight="true" outlineLevel="0" collapsed="false">
      <c r="A723" s="1" t="s">
        <v>274</v>
      </c>
      <c r="B723" s="46" t="n">
        <v>46010</v>
      </c>
      <c r="C723" s="46" t="n">
        <v>46049</v>
      </c>
      <c r="D723" s="47" t="n">
        <v>26120</v>
      </c>
      <c r="E723" s="47" t="n">
        <v>26200</v>
      </c>
      <c r="F723" s="47" t="n">
        <v>26103.5</v>
      </c>
      <c r="G723" s="47" t="n">
        <v>26190</v>
      </c>
      <c r="H723" s="47" t="n">
        <v>26195</v>
      </c>
      <c r="I723" s="47" t="n">
        <v>26190</v>
      </c>
      <c r="J723" s="48" t="n">
        <v>7626</v>
      </c>
      <c r="K723" s="47" t="n">
        <v>129709.56</v>
      </c>
      <c r="L723" s="48" t="n">
        <v>1721785</v>
      </c>
      <c r="M723" s="48" t="n">
        <v>77545</v>
      </c>
      <c r="N723" s="47" t="n">
        <v>25966.4</v>
      </c>
      <c r="O723" s="47" t="n">
        <f aca="false">IF(AND(ISNUMBER(G723),ISNUMBER(N723)),G723-N723,"")</f>
        <v>223.599999999999</v>
      </c>
      <c r="P723" s="49" t="n">
        <f aca="false">IF(ISNUMBER(O723),O723/N723,"")</f>
        <v>0.00861112822724746</v>
      </c>
      <c r="Q723" s="50" t="n">
        <f aca="false">C723-B723</f>
        <v>39</v>
      </c>
      <c r="R723" s="51" t="n">
        <f aca="false">IF(AND(C723=C722,ISNUMBER(G723),ISNUMBER(G722)),(G723/G722-1)*100,"")</f>
        <v>0.540901605045852</v>
      </c>
      <c r="S723" s="51" t="n">
        <f aca="false">IF(AND(C723=C722,ISNUMBER(L723),ISNUMBER(L722)),(L723/L722-1)*100,"")</f>
        <v>4.71616065781151</v>
      </c>
      <c r="T723" s="51" t="n">
        <f aca="false">IF(AND(C723=C722,ISNUMBER(G723),ISNUMBER(G722)),G723-G722,"")</f>
        <v>140.900000000001</v>
      </c>
      <c r="U723" s="1" t="str">
        <f aca="false">IF(OR(NOT(ISNUMBER(R723)),NOT(ISNUMBER(S723))),"Not classified",IF(AND(R723&gt;0,S723&gt;0),"Long buildup (interpretation)",IF(AND(R723&lt;0,S723&gt;0),"Short buildup (interpretation)",IF(AND(R723&gt;0,S723&lt;0),"Short covering (interpretation)",IF(AND(R723&lt;0,S723&lt;0),"Long unwinding (interpretation)","Neutral")))))</f>
        <v>Long buildup (interpretation)</v>
      </c>
      <c r="V723" s="52" t="str">
        <f aca="false">TEXT(B723,"yyyy-mm")</f>
        <v>2025-12</v>
      </c>
      <c r="W723" s="52" t="n">
        <f aca="false">1+COUNTIFS($B$2:$B$756,B723,$C$2:$C$756,"&lt;"&amp;C723)</f>
        <v>2</v>
      </c>
      <c r="X723" s="53" t="n">
        <f aca="false">IF(AND(ISNUMBER(P723),Q723&gt;0),P723*365/Q723,"")</f>
        <v>0.0805913282806493</v>
      </c>
      <c r="Y723" s="42" t="n">
        <f aca="false">IF(AND(C724=C723,ISNUMBER(R724)),R724,"")</f>
        <v>0.715540282550586</v>
      </c>
      <c r="Z723" s="52" t="n">
        <f aca="false">IF(AND(W723=1,Q723&gt;Basis_Analysis!$B$3,ISNUMBER(Y723)),1,0)</f>
        <v>0</v>
      </c>
      <c r="AA723" s="43" t="str">
        <f aca="false">IF(W723=1,IF(SUMIFS($L$2:$L$756,$B$2:$B$756,B723,$W$2:$W$756,2)&gt;0,SUMIFS($L$2:$L$756,$B$2:$B$756,B723,$W$2:$W$756,2),""),"")</f>
        <v/>
      </c>
      <c r="AB723" s="54" t="str">
        <f aca="false">IF(AND(W723=1,ISNUMBER(AA723)),L723/(L723+AA723),"")</f>
        <v/>
      </c>
    </row>
    <row r="724" customFormat="false" ht="15" hidden="false" customHeight="true" outlineLevel="0" collapsed="false">
      <c r="A724" s="1" t="s">
        <v>274</v>
      </c>
      <c r="B724" s="46" t="n">
        <v>46013</v>
      </c>
      <c r="C724" s="46" t="n">
        <v>46049</v>
      </c>
      <c r="D724" s="47" t="n">
        <v>26289.8</v>
      </c>
      <c r="E724" s="47" t="n">
        <v>26383.9</v>
      </c>
      <c r="F724" s="47" t="n">
        <v>26262.1</v>
      </c>
      <c r="G724" s="47" t="n">
        <v>26377.4</v>
      </c>
      <c r="H724" s="47" t="n">
        <v>26382</v>
      </c>
      <c r="I724" s="47" t="n">
        <v>26377.4</v>
      </c>
      <c r="J724" s="48" t="n">
        <v>14374</v>
      </c>
      <c r="K724" s="47" t="n">
        <v>246228.8</v>
      </c>
      <c r="L724" s="48" t="n">
        <v>2054585</v>
      </c>
      <c r="M724" s="48" t="n">
        <v>332800</v>
      </c>
      <c r="N724" s="47" t="n">
        <v>26172.4</v>
      </c>
      <c r="O724" s="47" t="n">
        <f aca="false">IF(AND(ISNUMBER(G724),ISNUMBER(N724)),G724-N724,"")</f>
        <v>205</v>
      </c>
      <c r="P724" s="49" t="n">
        <f aca="false">IF(ISNUMBER(O724),O724/N724,"")</f>
        <v>0.00783267869969892</v>
      </c>
      <c r="Q724" s="50" t="n">
        <f aca="false">C724-B724</f>
        <v>36</v>
      </c>
      <c r="R724" s="51" t="n">
        <f aca="false">IF(AND(C724=C723,ISNUMBER(G724),ISNUMBER(G723)),(G724/G723-1)*100,"")</f>
        <v>0.715540282550586</v>
      </c>
      <c r="S724" s="51" t="n">
        <f aca="false">IF(AND(C724=C723,ISNUMBER(L724),ISNUMBER(L723)),(L724/L723-1)*100,"")</f>
        <v>19.3287779833138</v>
      </c>
      <c r="T724" s="51" t="n">
        <f aca="false">IF(AND(C724=C723,ISNUMBER(G724),ISNUMBER(G723)),G724-G723,"")</f>
        <v>187.400000000001</v>
      </c>
      <c r="U724" s="1" t="str">
        <f aca="false">IF(OR(NOT(ISNUMBER(R724)),NOT(ISNUMBER(S724))),"Not classified",IF(AND(R724&gt;0,S724&gt;0),"Long buildup (interpretation)",IF(AND(R724&lt;0,S724&gt;0),"Short buildup (interpretation)",IF(AND(R724&gt;0,S724&lt;0),"Short covering (interpretation)",IF(AND(R724&lt;0,S724&lt;0),"Long unwinding (interpretation)","Neutral")))))</f>
        <v>Long buildup (interpretation)</v>
      </c>
      <c r="V724" s="52" t="str">
        <f aca="false">TEXT(B724,"yyyy-mm")</f>
        <v>2025-12</v>
      </c>
      <c r="W724" s="52" t="n">
        <f aca="false">1+COUNTIFS($B$2:$B$756,B724,$C$2:$C$756,"&lt;"&amp;C724)</f>
        <v>2</v>
      </c>
      <c r="X724" s="53" t="n">
        <f aca="false">IF(AND(ISNUMBER(P724),Q724&gt;0),P724*365/Q724,"")</f>
        <v>0.0794146590386141</v>
      </c>
      <c r="Y724" s="42" t="n">
        <f aca="false">IF(AND(C725=C724,ISNUMBER(R725)),R725,"")</f>
        <v>0.0583833129876199</v>
      </c>
      <c r="Z724" s="52" t="n">
        <f aca="false">IF(AND(W724=1,Q724&gt;Basis_Analysis!$B$3,ISNUMBER(Y724)),1,0)</f>
        <v>0</v>
      </c>
      <c r="AA724" s="43" t="str">
        <f aca="false">IF(W724=1,IF(SUMIFS($L$2:$L$756,$B$2:$B$756,B724,$W$2:$W$756,2)&gt;0,SUMIFS($L$2:$L$756,$B$2:$B$756,B724,$W$2:$W$756,2),""),"")</f>
        <v/>
      </c>
      <c r="AB724" s="54" t="str">
        <f aca="false">IF(AND(W724=1,ISNUMBER(AA724)),L724/(L724+AA724),"")</f>
        <v/>
      </c>
    </row>
    <row r="725" customFormat="false" ht="15" hidden="false" customHeight="true" outlineLevel="0" collapsed="false">
      <c r="A725" s="1" t="s">
        <v>274</v>
      </c>
      <c r="B725" s="46" t="n">
        <v>46014</v>
      </c>
      <c r="C725" s="46" t="n">
        <v>46049</v>
      </c>
      <c r="D725" s="47" t="n">
        <v>26382.9</v>
      </c>
      <c r="E725" s="47" t="n">
        <v>26440</v>
      </c>
      <c r="F725" s="47" t="n">
        <v>26343</v>
      </c>
      <c r="G725" s="47" t="n">
        <v>26392.8</v>
      </c>
      <c r="H725" s="47" t="n">
        <v>26387</v>
      </c>
      <c r="I725" s="47" t="n">
        <v>26392.8</v>
      </c>
      <c r="J725" s="48" t="n">
        <v>13809</v>
      </c>
      <c r="K725" s="47" t="n">
        <v>236921.77</v>
      </c>
      <c r="L725" s="48" t="n">
        <v>2453230</v>
      </c>
      <c r="M725" s="48" t="n">
        <v>398645</v>
      </c>
      <c r="N725" s="47" t="n">
        <v>26177.15</v>
      </c>
      <c r="O725" s="47" t="n">
        <f aca="false">IF(AND(ISNUMBER(G725),ISNUMBER(N725)),G725-N725,"")</f>
        <v>215.649999999998</v>
      </c>
      <c r="P725" s="49" t="n">
        <f aca="false">IF(ISNUMBER(O725),O725/N725,"")</f>
        <v>0.00823810078637276</v>
      </c>
      <c r="Q725" s="50" t="n">
        <f aca="false">C725-B725</f>
        <v>35</v>
      </c>
      <c r="R725" s="51" t="n">
        <f aca="false">IF(AND(C725=C724,ISNUMBER(G725),ISNUMBER(G724)),(G725/G724-1)*100,"")</f>
        <v>0.0583833129876199</v>
      </c>
      <c r="S725" s="51" t="n">
        <f aca="false">IF(AND(C725=C724,ISNUMBER(L725),ISNUMBER(L724)),(L725/L724-1)*100,"")</f>
        <v>19.4027017621563</v>
      </c>
      <c r="T725" s="51" t="n">
        <f aca="false">IF(AND(C725=C724,ISNUMBER(G725),ISNUMBER(G724)),G725-G724,"")</f>
        <v>15.3999999999978</v>
      </c>
      <c r="U725" s="1" t="str">
        <f aca="false">IF(OR(NOT(ISNUMBER(R725)),NOT(ISNUMBER(S725))),"Not classified",IF(AND(R725&gt;0,S725&gt;0),"Long buildup (interpretation)",IF(AND(R725&lt;0,S725&gt;0),"Short buildup (interpretation)",IF(AND(R725&gt;0,S725&lt;0),"Short covering (interpretation)",IF(AND(R725&lt;0,S725&lt;0),"Long unwinding (interpretation)","Neutral")))))</f>
        <v>Long buildup (interpretation)</v>
      </c>
      <c r="V725" s="52" t="str">
        <f aca="false">TEXT(B725,"yyyy-mm")</f>
        <v>2025-12</v>
      </c>
      <c r="W725" s="52" t="n">
        <f aca="false">1+COUNTIFS($B$2:$B$756,B725,$C$2:$C$756,"&lt;"&amp;C725)</f>
        <v>2</v>
      </c>
      <c r="X725" s="53" t="n">
        <f aca="false">IF(AND(ISNUMBER(P725),Q725&gt;0),P725*365/Q725,"")</f>
        <v>0.0859116224864588</v>
      </c>
      <c r="Y725" s="42" t="n">
        <f aca="false">IF(AND(C726=C725,ISNUMBER(R726)),R726,"")</f>
        <v>-0.154966506016785</v>
      </c>
      <c r="Z725" s="52" t="n">
        <f aca="false">IF(AND(W725=1,Q725&gt;Basis_Analysis!$B$3,ISNUMBER(Y725)),1,0)</f>
        <v>0</v>
      </c>
      <c r="AA725" s="43" t="str">
        <f aca="false">IF(W725=1,IF(SUMIFS($L$2:$L$756,$B$2:$B$756,B725,$W$2:$W$756,2)&gt;0,SUMIFS($L$2:$L$756,$B$2:$B$756,B725,$W$2:$W$756,2),""),"")</f>
        <v/>
      </c>
      <c r="AB725" s="54" t="str">
        <f aca="false">IF(AND(W725=1,ISNUMBER(AA725)),L725/(L725+AA725),"")</f>
        <v/>
      </c>
    </row>
    <row r="726" customFormat="false" ht="15" hidden="false" customHeight="true" outlineLevel="0" collapsed="false">
      <c r="A726" s="1" t="s">
        <v>274</v>
      </c>
      <c r="B726" s="46" t="n">
        <v>46015</v>
      </c>
      <c r="C726" s="46" t="n">
        <v>46049</v>
      </c>
      <c r="D726" s="47" t="n">
        <v>26399</v>
      </c>
      <c r="E726" s="47" t="n">
        <v>26448</v>
      </c>
      <c r="F726" s="47" t="n">
        <v>26337.5</v>
      </c>
      <c r="G726" s="47" t="n">
        <v>26351.9</v>
      </c>
      <c r="H726" s="47" t="n">
        <v>26345</v>
      </c>
      <c r="I726" s="47" t="n">
        <v>26351.9</v>
      </c>
      <c r="J726" s="48" t="n">
        <v>22454</v>
      </c>
      <c r="K726" s="47" t="n">
        <v>385032.16</v>
      </c>
      <c r="L726" s="48" t="n">
        <v>3225690</v>
      </c>
      <c r="M726" s="48" t="n">
        <v>772460</v>
      </c>
      <c r="N726" s="47" t="n">
        <v>26142.1</v>
      </c>
      <c r="O726" s="47" t="n">
        <f aca="false">IF(AND(ISNUMBER(G726),ISNUMBER(N726)),G726-N726,"")</f>
        <v>209.800000000003</v>
      </c>
      <c r="P726" s="49" t="n">
        <f aca="false">IF(ISNUMBER(O726),O726/N726,"")</f>
        <v>0.00802536904074282</v>
      </c>
      <c r="Q726" s="50" t="n">
        <f aca="false">C726-B726</f>
        <v>34</v>
      </c>
      <c r="R726" s="51" t="n">
        <f aca="false">IF(AND(C726=C725,ISNUMBER(G726),ISNUMBER(G725)),(G726/G725-1)*100,"")</f>
        <v>-0.154966506016785</v>
      </c>
      <c r="S726" s="51" t="n">
        <f aca="false">IF(AND(C726=C725,ISNUMBER(L726),ISNUMBER(L725)),(L726/L725-1)*100,"")</f>
        <v>31.4874675427905</v>
      </c>
      <c r="T726" s="51" t="n">
        <f aca="false">IF(AND(C726=C725,ISNUMBER(G726),ISNUMBER(G725)),G726-G725,"")</f>
        <v>-40.8999999999978</v>
      </c>
      <c r="U726" s="1" t="str">
        <f aca="false">IF(OR(NOT(ISNUMBER(R726)),NOT(ISNUMBER(S726))),"Not classified",IF(AND(R726&gt;0,S726&gt;0),"Long buildup (interpretation)",IF(AND(R726&lt;0,S726&gt;0),"Short buildup (interpretation)",IF(AND(R726&gt;0,S726&lt;0),"Short covering (interpretation)",IF(AND(R726&lt;0,S726&lt;0),"Long unwinding (interpretation)","Neutral")))))</f>
        <v>Short buildup (interpretation)</v>
      </c>
      <c r="V726" s="52" t="str">
        <f aca="false">TEXT(B726,"yyyy-mm")</f>
        <v>2025-12</v>
      </c>
      <c r="W726" s="52" t="n">
        <f aca="false">1+COUNTIFS($B$2:$B$756,B726,$C$2:$C$756,"&lt;"&amp;C726)</f>
        <v>2</v>
      </c>
      <c r="X726" s="53" t="n">
        <f aca="false">IF(AND(ISNUMBER(P726),Q726&gt;0),P726*365/Q726,"")</f>
        <v>0.0861546970550332</v>
      </c>
      <c r="Y726" s="42" t="n">
        <f aca="false">IF(AND(C727=C726,ISNUMBER(R727)),R727,"")</f>
        <v>-0.445508672998918</v>
      </c>
      <c r="Z726" s="52" t="n">
        <f aca="false">IF(AND(W726=1,Q726&gt;Basis_Analysis!$B$3,ISNUMBER(Y726)),1,0)</f>
        <v>0</v>
      </c>
      <c r="AA726" s="43" t="str">
        <f aca="false">IF(W726=1,IF(SUMIFS($L$2:$L$756,$B$2:$B$756,B726,$W$2:$W$756,2)&gt;0,SUMIFS($L$2:$L$756,$B$2:$B$756,B726,$W$2:$W$756,2),""),"")</f>
        <v/>
      </c>
      <c r="AB726" s="54" t="str">
        <f aca="false">IF(AND(W726=1,ISNUMBER(AA726)),L726/(L726+AA726),"")</f>
        <v/>
      </c>
    </row>
    <row r="727" customFormat="false" ht="15" hidden="false" customHeight="true" outlineLevel="0" collapsed="false">
      <c r="A727" s="1" t="s">
        <v>274</v>
      </c>
      <c r="B727" s="46" t="n">
        <v>46017</v>
      </c>
      <c r="C727" s="46" t="n">
        <v>46049</v>
      </c>
      <c r="D727" s="47" t="n">
        <v>26330</v>
      </c>
      <c r="E727" s="47" t="n">
        <v>26330</v>
      </c>
      <c r="F727" s="47" t="n">
        <v>26213</v>
      </c>
      <c r="G727" s="47" t="n">
        <v>26234.5</v>
      </c>
      <c r="H727" s="47" t="n">
        <v>26236</v>
      </c>
      <c r="I727" s="47" t="n">
        <v>26234.5</v>
      </c>
      <c r="J727" s="48" t="n">
        <v>59051</v>
      </c>
      <c r="K727" s="47" t="n">
        <v>1007368.32</v>
      </c>
      <c r="L727" s="48" t="n">
        <v>5500625</v>
      </c>
      <c r="M727" s="48" t="n">
        <v>2274935</v>
      </c>
      <c r="N727" s="47" t="n">
        <v>26042.3</v>
      </c>
      <c r="O727" s="47" t="n">
        <f aca="false">IF(AND(ISNUMBER(G727),ISNUMBER(N727)),G727-N727,"")</f>
        <v>192.200000000001</v>
      </c>
      <c r="P727" s="49" t="n">
        <f aca="false">IF(ISNUMBER(O727),O727/N727,"")</f>
        <v>0.0073803005110916</v>
      </c>
      <c r="Q727" s="50" t="n">
        <f aca="false">C727-B727</f>
        <v>32</v>
      </c>
      <c r="R727" s="51" t="n">
        <f aca="false">IF(AND(C727=C726,ISNUMBER(G727),ISNUMBER(G726)),(G727/G726-1)*100,"")</f>
        <v>-0.445508672998918</v>
      </c>
      <c r="S727" s="51" t="n">
        <f aca="false">IF(AND(C727=C726,ISNUMBER(L727),ISNUMBER(L726)),(L727/L726-1)*100,"")</f>
        <v>70.5255309716681</v>
      </c>
      <c r="T727" s="51" t="n">
        <f aca="false">IF(AND(C727=C726,ISNUMBER(G727),ISNUMBER(G726)),G727-G726,"")</f>
        <v>-117.400000000001</v>
      </c>
      <c r="U727" s="1" t="str">
        <f aca="false">IF(OR(NOT(ISNUMBER(R727)),NOT(ISNUMBER(S727))),"Not classified",IF(AND(R727&gt;0,S727&gt;0),"Long buildup (interpretation)",IF(AND(R727&lt;0,S727&gt;0),"Short buildup (interpretation)",IF(AND(R727&gt;0,S727&lt;0),"Short covering (interpretation)",IF(AND(R727&lt;0,S727&lt;0),"Long unwinding (interpretation)","Neutral")))))</f>
        <v>Short buildup (interpretation)</v>
      </c>
      <c r="V727" s="52" t="str">
        <f aca="false">TEXT(B727,"yyyy-mm")</f>
        <v>2025-12</v>
      </c>
      <c r="W727" s="52" t="n">
        <f aca="false">1+COUNTIFS($B$2:$B$756,B727,$C$2:$C$756,"&lt;"&amp;C727)</f>
        <v>2</v>
      </c>
      <c r="X727" s="53" t="n">
        <f aca="false">IF(AND(ISNUMBER(P727),Q727&gt;0),P727*365/Q727,"")</f>
        <v>0.0841815527046385</v>
      </c>
      <c r="Y727" s="42" t="n">
        <f aca="false">IF(AND(C728=C727,ISNUMBER(R728)),R728,"")</f>
        <v>-0.431492881510986</v>
      </c>
      <c r="Z727" s="52" t="n">
        <f aca="false">IF(AND(W727=1,Q727&gt;Basis_Analysis!$B$3,ISNUMBER(Y727)),1,0)</f>
        <v>0</v>
      </c>
      <c r="AA727" s="43" t="str">
        <f aca="false">IF(W727=1,IF(SUMIFS($L$2:$L$756,$B$2:$B$756,B727,$W$2:$W$756,2)&gt;0,SUMIFS($L$2:$L$756,$B$2:$B$756,B727,$W$2:$W$756,2),""),"")</f>
        <v/>
      </c>
      <c r="AB727" s="54" t="str">
        <f aca="false">IF(AND(W727=1,ISNUMBER(AA727)),L727/(L727+AA727),"")</f>
        <v/>
      </c>
    </row>
    <row r="728" customFormat="false" ht="15" hidden="false" customHeight="true" outlineLevel="0" collapsed="false">
      <c r="A728" s="1" t="s">
        <v>274</v>
      </c>
      <c r="B728" s="46" t="n">
        <v>46020</v>
      </c>
      <c r="C728" s="46" t="n">
        <v>46049</v>
      </c>
      <c r="D728" s="47" t="n">
        <v>26231</v>
      </c>
      <c r="E728" s="47" t="n">
        <v>26272</v>
      </c>
      <c r="F728" s="47" t="n">
        <v>26101</v>
      </c>
      <c r="G728" s="47" t="n">
        <v>26121.3</v>
      </c>
      <c r="H728" s="47" t="n">
        <v>26119</v>
      </c>
      <c r="I728" s="47" t="n">
        <v>26121.3</v>
      </c>
      <c r="J728" s="48" t="n">
        <v>95106</v>
      </c>
      <c r="K728" s="47" t="n">
        <v>1617025.91</v>
      </c>
      <c r="L728" s="48" t="n">
        <v>9451585</v>
      </c>
      <c r="M728" s="48" t="n">
        <v>3950960</v>
      </c>
      <c r="N728" s="47" t="n">
        <v>25942.1</v>
      </c>
      <c r="O728" s="47" t="n">
        <f aca="false">IF(AND(ISNUMBER(G728),ISNUMBER(N728)),G728-N728,"")</f>
        <v>179.200000000001</v>
      </c>
      <c r="P728" s="49" t="n">
        <f aca="false">IF(ISNUMBER(O728),O728/N728,"")</f>
        <v>0.00690769058788613</v>
      </c>
      <c r="Q728" s="50" t="n">
        <f aca="false">C728-B728</f>
        <v>29</v>
      </c>
      <c r="R728" s="51" t="n">
        <f aca="false">IF(AND(C728=C727,ISNUMBER(G728),ISNUMBER(G727)),(G728/G727-1)*100,"")</f>
        <v>-0.431492881510986</v>
      </c>
      <c r="S728" s="51" t="n">
        <f aca="false">IF(AND(C728=C727,ISNUMBER(L728),ISNUMBER(L727)),(L728/L727-1)*100,"")</f>
        <v>71.8274741506647</v>
      </c>
      <c r="T728" s="51" t="n">
        <f aca="false">IF(AND(C728=C727,ISNUMBER(G728),ISNUMBER(G727)),G728-G727,"")</f>
        <v>-113.200000000001</v>
      </c>
      <c r="U728" s="1" t="str">
        <f aca="false">IF(OR(NOT(ISNUMBER(R728)),NOT(ISNUMBER(S728))),"Not classified",IF(AND(R728&gt;0,S728&gt;0),"Long buildup (interpretation)",IF(AND(R728&lt;0,S728&gt;0),"Short buildup (interpretation)",IF(AND(R728&gt;0,S728&lt;0),"Short covering (interpretation)",IF(AND(R728&lt;0,S728&lt;0),"Long unwinding (interpretation)","Neutral")))))</f>
        <v>Short buildup (interpretation)</v>
      </c>
      <c r="V728" s="52" t="str">
        <f aca="false">TEXT(B728,"yyyy-mm")</f>
        <v>2025-12</v>
      </c>
      <c r="W728" s="52" t="n">
        <f aca="false">1+COUNTIFS($B$2:$B$756,B728,$C$2:$C$756,"&lt;"&amp;C728)</f>
        <v>2</v>
      </c>
      <c r="X728" s="53" t="n">
        <f aca="false">IF(AND(ISNUMBER(P728),Q728&gt;0),P728*365/Q728,"")</f>
        <v>0.0869416229164978</v>
      </c>
      <c r="Y728" s="42" t="n">
        <f aca="false">IF(AND(C729=C728,ISNUMBER(R729)),R729,"")</f>
        <v>-0.00957073346272708</v>
      </c>
      <c r="Z728" s="52" t="n">
        <f aca="false">IF(AND(W728=1,Q728&gt;Basis_Analysis!$B$3,ISNUMBER(Y728)),1,0)</f>
        <v>0</v>
      </c>
      <c r="AA728" s="43" t="str">
        <f aca="false">IF(W728=1,IF(SUMIFS($L$2:$L$756,$B$2:$B$756,B728,$W$2:$W$756,2)&gt;0,SUMIFS($L$2:$L$756,$B$2:$B$756,B728,$W$2:$W$756,2),""),"")</f>
        <v/>
      </c>
      <c r="AB728" s="54" t="str">
        <f aca="false">IF(AND(W728=1,ISNUMBER(AA728)),L728/(L728+AA728),"")</f>
        <v/>
      </c>
    </row>
    <row r="729" customFormat="false" ht="15" hidden="false" customHeight="true" outlineLevel="0" collapsed="false">
      <c r="A729" s="1" t="s">
        <v>274</v>
      </c>
      <c r="B729" s="46" t="n">
        <v>46021</v>
      </c>
      <c r="C729" s="46" t="n">
        <v>46049</v>
      </c>
      <c r="D729" s="47" t="n">
        <v>26098</v>
      </c>
      <c r="E729" s="47" t="n">
        <v>26144.4</v>
      </c>
      <c r="F729" s="47" t="n">
        <v>26040.3</v>
      </c>
      <c r="G729" s="47" t="n">
        <v>26118.8</v>
      </c>
      <c r="H729" s="47" t="n">
        <v>26135</v>
      </c>
      <c r="I729" s="47" t="n">
        <v>26118.8</v>
      </c>
      <c r="J729" s="48" t="n">
        <v>110194</v>
      </c>
      <c r="K729" s="47" t="n">
        <v>1868804.8</v>
      </c>
      <c r="L729" s="48" t="n">
        <v>13958490</v>
      </c>
      <c r="M729" s="48" t="n">
        <v>4506905</v>
      </c>
      <c r="N729" s="47" t="n">
        <v>25938.85</v>
      </c>
      <c r="O729" s="47" t="n">
        <f aca="false">IF(AND(ISNUMBER(G729),ISNUMBER(N729)),G729-N729,"")</f>
        <v>179.950000000001</v>
      </c>
      <c r="P729" s="49" t="n">
        <f aca="false">IF(ISNUMBER(O729),O729/N729,"")</f>
        <v>0.00693747024251271</v>
      </c>
      <c r="Q729" s="50" t="n">
        <f aca="false">C729-B729</f>
        <v>28</v>
      </c>
      <c r="R729" s="51" t="n">
        <f aca="false">IF(AND(C729=C728,ISNUMBER(G729),ISNUMBER(G728)),(G729/G728-1)*100,"")</f>
        <v>-0.00957073346272708</v>
      </c>
      <c r="S729" s="51" t="n">
        <f aca="false">IF(AND(C729=C728,ISNUMBER(L729),ISNUMBER(L728)),(L729/L728-1)*100,"")</f>
        <v>47.6841185896334</v>
      </c>
      <c r="T729" s="51" t="n">
        <f aca="false">IF(AND(C729=C728,ISNUMBER(G729),ISNUMBER(G728)),G729-G728,"")</f>
        <v>-2.5</v>
      </c>
      <c r="U729" s="1" t="str">
        <f aca="false">IF(OR(NOT(ISNUMBER(R729)),NOT(ISNUMBER(S729))),"Not classified",IF(AND(R729&gt;0,S729&gt;0),"Long buildup (interpretation)",IF(AND(R729&lt;0,S729&gt;0),"Short buildup (interpretation)",IF(AND(R729&gt;0,S729&lt;0),"Short covering (interpretation)",IF(AND(R729&lt;0,S729&lt;0),"Long unwinding (interpretation)","Neutral")))))</f>
        <v>Short buildup (interpretation)</v>
      </c>
      <c r="V729" s="52" t="str">
        <f aca="false">TEXT(B729,"yyyy-mm")</f>
        <v>2025-12</v>
      </c>
      <c r="W729" s="52" t="n">
        <f aca="false">1+COUNTIFS($B$2:$B$756,B729,$C$2:$C$756,"&lt;"&amp;C729)</f>
        <v>2</v>
      </c>
      <c r="X729" s="53" t="n">
        <f aca="false">IF(AND(ISNUMBER(P729),Q729&gt;0),P729*365/Q729,"")</f>
        <v>0.0904348799470407</v>
      </c>
      <c r="Y729" s="42" t="n">
        <f aca="false">IF(AND(C730=C729,ISNUMBER(R730)),R730,"")</f>
        <v>0.679587117325453</v>
      </c>
      <c r="Z729" s="52" t="n">
        <f aca="false">IF(AND(W729=1,Q729&gt;Basis_Analysis!$B$3,ISNUMBER(Y729)),1,0)</f>
        <v>0</v>
      </c>
      <c r="AA729" s="43" t="str">
        <f aca="false">IF(W729=1,IF(SUMIFS($L$2:$L$756,$B$2:$B$756,B729,$W$2:$W$756,2)&gt;0,SUMIFS($L$2:$L$756,$B$2:$B$756,B729,$W$2:$W$756,2),""),"")</f>
        <v/>
      </c>
      <c r="AB729" s="54" t="str">
        <f aca="false">IF(AND(W729=1,ISNUMBER(AA729)),L729/(L729+AA729),"")</f>
        <v/>
      </c>
    </row>
    <row r="730" customFormat="false" ht="15" hidden="false" customHeight="true" outlineLevel="0" collapsed="false">
      <c r="A730" s="1" t="s">
        <v>274</v>
      </c>
      <c r="B730" s="46" t="n">
        <v>46022</v>
      </c>
      <c r="C730" s="46" t="n">
        <v>46049</v>
      </c>
      <c r="D730" s="47" t="n">
        <v>26145</v>
      </c>
      <c r="E730" s="47" t="n">
        <v>26325</v>
      </c>
      <c r="F730" s="47" t="n">
        <v>26130.2</v>
      </c>
      <c r="G730" s="47" t="n">
        <v>26296.3</v>
      </c>
      <c r="H730" s="47" t="n">
        <v>26304.8</v>
      </c>
      <c r="I730" s="47" t="n">
        <v>26296.3</v>
      </c>
      <c r="J730" s="48" t="n">
        <v>72942</v>
      </c>
      <c r="K730" s="47" t="n">
        <v>1243966.91</v>
      </c>
      <c r="L730" s="48" t="n">
        <v>14026480</v>
      </c>
      <c r="M730" s="48" t="n">
        <v>67990</v>
      </c>
      <c r="N730" s="47" t="n">
        <v>26129.6</v>
      </c>
      <c r="O730" s="47" t="n">
        <f aca="false">IF(AND(ISNUMBER(G730),ISNUMBER(N730)),G730-N730,"")</f>
        <v>166.700000000001</v>
      </c>
      <c r="P730" s="49" t="n">
        <f aca="false">IF(ISNUMBER(O730),O730/N730,"")</f>
        <v>0.00637973792174395</v>
      </c>
      <c r="Q730" s="50" t="n">
        <f aca="false">C730-B730</f>
        <v>27</v>
      </c>
      <c r="R730" s="51" t="n">
        <f aca="false">IF(AND(C730=C729,ISNUMBER(G730),ISNUMBER(G729)),(G730/G729-1)*100,"")</f>
        <v>0.679587117325453</v>
      </c>
      <c r="S730" s="51" t="n">
        <f aca="false">IF(AND(C730=C729,ISNUMBER(L730),ISNUMBER(L729)),(L730/L729-1)*100,"")</f>
        <v>0.487087070306314</v>
      </c>
      <c r="T730" s="51" t="n">
        <f aca="false">IF(AND(C730=C729,ISNUMBER(G730),ISNUMBER(G729)),G730-G729,"")</f>
        <v>177.5</v>
      </c>
      <c r="U730" s="1" t="str">
        <f aca="false">IF(OR(NOT(ISNUMBER(R730)),NOT(ISNUMBER(S730))),"Not classified",IF(AND(R730&gt;0,S730&gt;0),"Long buildup (interpretation)",IF(AND(R730&lt;0,S730&gt;0),"Short buildup (interpretation)",IF(AND(R730&gt;0,S730&lt;0),"Short covering (interpretation)",IF(AND(R730&lt;0,S730&lt;0),"Long unwinding (interpretation)","Neutral")))))</f>
        <v>Long buildup (interpretation)</v>
      </c>
      <c r="V730" s="52" t="str">
        <f aca="false">TEXT(B730,"yyyy-mm")</f>
        <v>2025-12</v>
      </c>
      <c r="W730" s="52" t="n">
        <f aca="false">1+COUNTIFS($B$2:$B$756,B730,$C$2:$C$756,"&lt;"&amp;C730)</f>
        <v>1</v>
      </c>
      <c r="X730" s="53" t="n">
        <f aca="false">IF(AND(ISNUMBER(P730),Q730&gt;0),P730*365/Q730,"")</f>
        <v>0.0862446052383905</v>
      </c>
      <c r="Y730" s="42" t="str">
        <f aca="false">IF(AND(C731=C730,ISNUMBER(R731)),R731,"")</f>
        <v/>
      </c>
      <c r="Z730" s="52" t="n">
        <f aca="false">IF(AND(W730=1,Q730&gt;Basis_Analysis!$B$3,ISNUMBER(Y730)),1,0)</f>
        <v>0</v>
      </c>
      <c r="AA730" s="43" t="n">
        <f aca="false">IF(W730=1,IF(SUMIFS($L$2:$L$756,$B$2:$B$756,B730,$W$2:$W$756,2)&gt;0,SUMIFS($L$2:$L$756,$B$2:$B$756,B730,$W$2:$W$756,2),""),"")</f>
        <v>1195610</v>
      </c>
      <c r="AB730" s="54" t="n">
        <f aca="false">IF(AND(W730=1,ISNUMBER(AA730)),L730/(L730+AA730),"")</f>
        <v>0.921455595125242</v>
      </c>
    </row>
    <row r="731" customFormat="false" ht="15" hidden="false" customHeight="true" outlineLevel="0" collapsed="false">
      <c r="A731" s="1" t="s">
        <v>274</v>
      </c>
      <c r="B731" s="46" t="n">
        <v>45987</v>
      </c>
      <c r="C731" s="46" t="n">
        <v>46077</v>
      </c>
      <c r="D731" s="47" t="n">
        <v>26280.8</v>
      </c>
      <c r="E731" s="47" t="n">
        <v>26694.8</v>
      </c>
      <c r="F731" s="47" t="n">
        <v>26280.8</v>
      </c>
      <c r="G731" s="47" t="n">
        <v>26676.9</v>
      </c>
      <c r="H731" s="47" t="n">
        <v>26687.1</v>
      </c>
      <c r="I731" s="47" t="n">
        <v>26676.9</v>
      </c>
      <c r="J731" s="48" t="n">
        <v>1361</v>
      </c>
      <c r="K731" s="47" t="n">
        <v>23538</v>
      </c>
      <c r="L731" s="48" t="n">
        <v>57265</v>
      </c>
      <c r="M731" s="48" t="n">
        <v>57265</v>
      </c>
      <c r="N731" s="47" t="n">
        <v>26205.3</v>
      </c>
      <c r="O731" s="47" t="n">
        <f aca="false">IF(AND(ISNUMBER(G731),ISNUMBER(N731)),G731-N731,"")</f>
        <v>471.600000000002</v>
      </c>
      <c r="P731" s="49" t="n">
        <f aca="false">IF(ISNUMBER(O731),O731/N731,"")</f>
        <v>0.01799635951506</v>
      </c>
      <c r="Q731" s="50" t="n">
        <f aca="false">C731-B731</f>
        <v>90</v>
      </c>
      <c r="R731" s="51" t="str">
        <f aca="false">IF(AND(C731=C730,ISNUMBER(G731),ISNUMBER(G730)),(G731/G730-1)*100,"")</f>
        <v/>
      </c>
      <c r="S731" s="51" t="str">
        <f aca="false">IF(AND(C731=C730,ISNUMBER(L731),ISNUMBER(L730)),(L731/L730-1)*100,"")</f>
        <v/>
      </c>
      <c r="T731" s="51" t="str">
        <f aca="false">IF(AND(C731=C730,ISNUMBER(G731),ISNUMBER(G730)),G731-G730,"")</f>
        <v/>
      </c>
      <c r="U731" s="1" t="str">
        <f aca="false">IF(OR(NOT(ISNUMBER(R731)),NOT(ISNUMBER(S731))),"Not classified",IF(AND(R731&gt;0,S731&gt;0),"Long buildup (interpretation)",IF(AND(R731&lt;0,S731&gt;0),"Short buildup (interpretation)",IF(AND(R731&gt;0,S731&lt;0),"Short covering (interpretation)",IF(AND(R731&lt;0,S731&lt;0),"Long unwinding (interpretation)","Neutral")))))</f>
        <v>Not classified</v>
      </c>
      <c r="V731" s="52" t="str">
        <f aca="false">TEXT(B731,"yyyy-mm")</f>
        <v>2025-11</v>
      </c>
      <c r="W731" s="52" t="n">
        <f aca="false">1+COUNTIFS($B$2:$B$756,B731,$C$2:$C$756,"&lt;"&amp;C731)</f>
        <v>3</v>
      </c>
      <c r="X731" s="53" t="n">
        <f aca="false">IF(AND(ISNUMBER(P731),Q731&gt;0),P731*365/Q731,"")</f>
        <v>0.0729852358110767</v>
      </c>
      <c r="Y731" s="42" t="n">
        <f aca="false">IF(AND(C732=C731,ISNUMBER(R732)),R732,"")</f>
        <v>0.0832180650675252</v>
      </c>
      <c r="Z731" s="52" t="n">
        <f aca="false">IF(AND(W731=1,Q731&gt;Basis_Analysis!$B$3,ISNUMBER(Y731)),1,0)</f>
        <v>0</v>
      </c>
      <c r="AA731" s="43" t="str">
        <f aca="false">IF(W731=1,IF(SUMIFS($L$2:$L$756,$B$2:$B$756,B731,$W$2:$W$756,2)&gt;0,SUMIFS($L$2:$L$756,$B$2:$B$756,B731,$W$2:$W$756,2),""),"")</f>
        <v/>
      </c>
      <c r="AB731" s="54" t="str">
        <f aca="false">IF(AND(W731=1,ISNUMBER(AA731)),L731/(L731+AA731),"")</f>
        <v/>
      </c>
    </row>
    <row r="732" customFormat="false" ht="15" hidden="false" customHeight="true" outlineLevel="0" collapsed="false">
      <c r="A732" s="1" t="s">
        <v>274</v>
      </c>
      <c r="B732" s="46" t="n">
        <v>45988</v>
      </c>
      <c r="C732" s="46" t="n">
        <v>46077</v>
      </c>
      <c r="D732" s="47" t="n">
        <v>26699</v>
      </c>
      <c r="E732" s="47" t="n">
        <v>26791.2</v>
      </c>
      <c r="F732" s="47" t="n">
        <v>26630.5</v>
      </c>
      <c r="G732" s="47" t="n">
        <v>26699.1</v>
      </c>
      <c r="H732" s="47" t="n">
        <v>26702</v>
      </c>
      <c r="I732" s="47" t="n">
        <v>26699.1</v>
      </c>
      <c r="J732" s="48" t="n">
        <v>1946</v>
      </c>
      <c r="K732" s="47" t="n">
        <v>33794.17</v>
      </c>
      <c r="L732" s="48" t="n">
        <v>118365</v>
      </c>
      <c r="M732" s="48" t="n">
        <v>61100</v>
      </c>
      <c r="N732" s="47" t="n">
        <v>26215.55</v>
      </c>
      <c r="O732" s="47" t="n">
        <f aca="false">IF(AND(ISNUMBER(G732),ISNUMBER(N732)),G732-N732,"")</f>
        <v>483.549999999999</v>
      </c>
      <c r="P732" s="49" t="n">
        <f aca="false">IF(ISNUMBER(O732),O732/N732,"")</f>
        <v>0.0184451594568872</v>
      </c>
      <c r="Q732" s="50" t="n">
        <f aca="false">C732-B732</f>
        <v>89</v>
      </c>
      <c r="R732" s="51" t="n">
        <f aca="false">IF(AND(C732=C731,ISNUMBER(G732),ISNUMBER(G731)),(G732/G731-1)*100,"")</f>
        <v>0.0832180650675252</v>
      </c>
      <c r="S732" s="51" t="n">
        <f aca="false">IF(AND(C732=C731,ISNUMBER(L732),ISNUMBER(L731)),(L732/L731-1)*100,"")</f>
        <v>106.696935300795</v>
      </c>
      <c r="T732" s="51" t="n">
        <f aca="false">IF(AND(C732=C731,ISNUMBER(G732),ISNUMBER(G731)),G732-G731,"")</f>
        <v>22.1999999999971</v>
      </c>
      <c r="U732" s="1" t="str">
        <f aca="false">IF(OR(NOT(ISNUMBER(R732)),NOT(ISNUMBER(S732))),"Not classified",IF(AND(R732&gt;0,S732&gt;0),"Long buildup (interpretation)",IF(AND(R732&lt;0,S732&gt;0),"Short buildup (interpretation)",IF(AND(R732&gt;0,S732&lt;0),"Short covering (interpretation)",IF(AND(R732&lt;0,S732&lt;0),"Long unwinding (interpretation)","Neutral")))))</f>
        <v>Long buildup (interpretation)</v>
      </c>
      <c r="V732" s="52" t="str">
        <f aca="false">TEXT(B732,"yyyy-mm")</f>
        <v>2025-11</v>
      </c>
      <c r="W732" s="52" t="n">
        <f aca="false">1+COUNTIFS($B$2:$B$756,B732,$C$2:$C$756,"&lt;"&amp;C732)</f>
        <v>3</v>
      </c>
      <c r="X732" s="53" t="n">
        <f aca="false">IF(AND(ISNUMBER(P732),Q732&gt;0),P732*365/Q732,"")</f>
        <v>0.0756458786715037</v>
      </c>
      <c r="Y732" s="42" t="n">
        <f aca="false">IF(AND(C733=C732,ISNUMBER(R733)),R733,"")</f>
        <v>-0.0149817784120043</v>
      </c>
      <c r="Z732" s="52" t="n">
        <f aca="false">IF(AND(W732=1,Q732&gt;Basis_Analysis!$B$3,ISNUMBER(Y732)),1,0)</f>
        <v>0</v>
      </c>
      <c r="AA732" s="43" t="str">
        <f aca="false">IF(W732=1,IF(SUMIFS($L$2:$L$756,$B$2:$B$756,B732,$W$2:$W$756,2)&gt;0,SUMIFS($L$2:$L$756,$B$2:$B$756,B732,$W$2:$W$756,2),""),"")</f>
        <v/>
      </c>
      <c r="AB732" s="54" t="str">
        <f aca="false">IF(AND(W732=1,ISNUMBER(AA732)),L732/(L732+AA732),"")</f>
        <v/>
      </c>
    </row>
    <row r="733" customFormat="false" ht="15" hidden="false" customHeight="true" outlineLevel="0" collapsed="false">
      <c r="A733" s="1" t="s">
        <v>274</v>
      </c>
      <c r="B733" s="46" t="n">
        <v>45989</v>
      </c>
      <c r="C733" s="46" t="n">
        <v>46077</v>
      </c>
      <c r="D733" s="47" t="n">
        <v>26702.1</v>
      </c>
      <c r="E733" s="47" t="n">
        <v>26754.9</v>
      </c>
      <c r="F733" s="47" t="n">
        <v>26671.2</v>
      </c>
      <c r="G733" s="47" t="n">
        <v>26695.1</v>
      </c>
      <c r="H733" s="47" t="n">
        <v>26698.5</v>
      </c>
      <c r="I733" s="47" t="n">
        <v>26695.1</v>
      </c>
      <c r="J733" s="48" t="n">
        <v>879</v>
      </c>
      <c r="K733" s="47" t="n">
        <v>15261.21</v>
      </c>
      <c r="L733" s="48" t="n">
        <v>144690</v>
      </c>
      <c r="M733" s="48" t="n">
        <v>26325</v>
      </c>
      <c r="N733" s="47" t="n">
        <v>26202.95</v>
      </c>
      <c r="O733" s="47" t="n">
        <f aca="false">IF(AND(ISNUMBER(G733),ISNUMBER(N733)),G733-N733,"")</f>
        <v>492.149999999998</v>
      </c>
      <c r="P733" s="49" t="n">
        <f aca="false">IF(ISNUMBER(O733),O733/N733,"")</f>
        <v>0.0187822363512504</v>
      </c>
      <c r="Q733" s="50" t="n">
        <f aca="false">C733-B733</f>
        <v>88</v>
      </c>
      <c r="R733" s="51" t="n">
        <f aca="false">IF(AND(C733=C732,ISNUMBER(G733),ISNUMBER(G732)),(G733/G732-1)*100,"")</f>
        <v>-0.0149817784120043</v>
      </c>
      <c r="S733" s="51" t="n">
        <f aca="false">IF(AND(C733=C732,ISNUMBER(L733),ISNUMBER(L732)),(L733/L732-1)*100,"")</f>
        <v>22.2405271828666</v>
      </c>
      <c r="T733" s="51" t="n">
        <f aca="false">IF(AND(C733=C732,ISNUMBER(G733),ISNUMBER(G732)),G733-G732,"")</f>
        <v>-4</v>
      </c>
      <c r="U733" s="1" t="str">
        <f aca="false">IF(OR(NOT(ISNUMBER(R733)),NOT(ISNUMBER(S733))),"Not classified",IF(AND(R733&gt;0,S733&gt;0),"Long buildup (interpretation)",IF(AND(R733&lt;0,S733&gt;0),"Short buildup (interpretation)",IF(AND(R733&gt;0,S733&lt;0),"Short covering (interpretation)",IF(AND(R733&lt;0,S733&lt;0),"Long unwinding (interpretation)","Neutral")))))</f>
        <v>Short buildup (interpretation)</v>
      </c>
      <c r="V733" s="52" t="str">
        <f aca="false">TEXT(B733,"yyyy-mm")</f>
        <v>2025-11</v>
      </c>
      <c r="W733" s="52" t="n">
        <f aca="false">1+COUNTIFS($B$2:$B$756,B733,$C$2:$C$756,"&lt;"&amp;C733)</f>
        <v>3</v>
      </c>
      <c r="X733" s="53" t="n">
        <f aca="false">IF(AND(ISNUMBER(P733),Q733&gt;0),P733*365/Q733,"")</f>
        <v>0.0779035939568911</v>
      </c>
      <c r="Y733" s="42" t="n">
        <f aca="false">IF(AND(C734=C733,ISNUMBER(R734)),R734,"")</f>
        <v>-0.185052687571863</v>
      </c>
      <c r="Z733" s="52" t="n">
        <f aca="false">IF(AND(W733=1,Q733&gt;Basis_Analysis!$B$3,ISNUMBER(Y733)),1,0)</f>
        <v>0</v>
      </c>
      <c r="AA733" s="43" t="str">
        <f aca="false">IF(W733=1,IF(SUMIFS($L$2:$L$756,$B$2:$B$756,B733,$W$2:$W$756,2)&gt;0,SUMIFS($L$2:$L$756,$B$2:$B$756,B733,$W$2:$W$756,2),""),"")</f>
        <v/>
      </c>
      <c r="AB733" s="54" t="str">
        <f aca="false">IF(AND(W733=1,ISNUMBER(AA733)),L733/(L733+AA733),"")</f>
        <v/>
      </c>
    </row>
    <row r="734" customFormat="false" ht="15" hidden="false" customHeight="true" outlineLevel="0" collapsed="false">
      <c r="A734" s="1" t="s">
        <v>274</v>
      </c>
      <c r="B734" s="46" t="n">
        <v>45992</v>
      </c>
      <c r="C734" s="46" t="n">
        <v>46077</v>
      </c>
      <c r="D734" s="47" t="n">
        <v>26750</v>
      </c>
      <c r="E734" s="47" t="n">
        <v>26794.9</v>
      </c>
      <c r="F734" s="47" t="n">
        <v>26616</v>
      </c>
      <c r="G734" s="47" t="n">
        <v>26645.7</v>
      </c>
      <c r="H734" s="47" t="n">
        <v>26642</v>
      </c>
      <c r="I734" s="47" t="n">
        <v>26645.7</v>
      </c>
      <c r="J734" s="48" t="n">
        <v>1355</v>
      </c>
      <c r="K734" s="47" t="n">
        <v>23513.17</v>
      </c>
      <c r="L734" s="48" t="n">
        <v>181870</v>
      </c>
      <c r="M734" s="48" t="n">
        <v>37180</v>
      </c>
      <c r="N734" s="47" t="n">
        <v>26175.75</v>
      </c>
      <c r="O734" s="47" t="n">
        <f aca="false">IF(AND(ISNUMBER(G734),ISNUMBER(N734)),G734-N734,"")</f>
        <v>469.950000000001</v>
      </c>
      <c r="P734" s="49" t="n">
        <f aca="false">IF(ISNUMBER(O734),O734/N734,"")</f>
        <v>0.0179536402968397</v>
      </c>
      <c r="Q734" s="50" t="n">
        <f aca="false">C734-B734</f>
        <v>85</v>
      </c>
      <c r="R734" s="51" t="n">
        <f aca="false">IF(AND(C734=C733,ISNUMBER(G734),ISNUMBER(G733)),(G734/G733-1)*100,"")</f>
        <v>-0.185052687571863</v>
      </c>
      <c r="S734" s="51" t="n">
        <f aca="false">IF(AND(C734=C733,ISNUMBER(L734),ISNUMBER(L733)),(L734/L733-1)*100,"")</f>
        <v>25.696316262354</v>
      </c>
      <c r="T734" s="51" t="n">
        <f aca="false">IF(AND(C734=C733,ISNUMBER(G734),ISNUMBER(G733)),G734-G733,"")</f>
        <v>-49.3999999999978</v>
      </c>
      <c r="U734" s="1" t="str">
        <f aca="false">IF(OR(NOT(ISNUMBER(R734)),NOT(ISNUMBER(S734))),"Not classified",IF(AND(R734&gt;0,S734&gt;0),"Long buildup (interpretation)",IF(AND(R734&lt;0,S734&gt;0),"Short buildup (interpretation)",IF(AND(R734&gt;0,S734&lt;0),"Short covering (interpretation)",IF(AND(R734&lt;0,S734&lt;0),"Long unwinding (interpretation)","Neutral")))))</f>
        <v>Short buildup (interpretation)</v>
      </c>
      <c r="V734" s="52" t="str">
        <f aca="false">TEXT(B734,"yyyy-mm")</f>
        <v>2025-12</v>
      </c>
      <c r="W734" s="52" t="n">
        <f aca="false">1+COUNTIFS($B$2:$B$756,B734,$C$2:$C$756,"&lt;"&amp;C734)</f>
        <v>3</v>
      </c>
      <c r="X734" s="53" t="n">
        <f aca="false">IF(AND(ISNUMBER(P734),Q734&gt;0),P734*365/Q734,"")</f>
        <v>0.0770950436276056</v>
      </c>
      <c r="Y734" s="42" t="n">
        <f aca="false">IF(AND(C735=C734,ISNUMBER(R735)),R735,"")</f>
        <v>-0.434216402646581</v>
      </c>
      <c r="Z734" s="52" t="n">
        <f aca="false">IF(AND(W734=1,Q734&gt;Basis_Analysis!$B$3,ISNUMBER(Y734)),1,0)</f>
        <v>0</v>
      </c>
      <c r="AA734" s="43" t="str">
        <f aca="false">IF(W734=1,IF(SUMIFS($L$2:$L$756,$B$2:$B$756,B734,$W$2:$W$756,2)&gt;0,SUMIFS($L$2:$L$756,$B$2:$B$756,B734,$W$2:$W$756,2),""),"")</f>
        <v/>
      </c>
      <c r="AB734" s="54" t="str">
        <f aca="false">IF(AND(W734=1,ISNUMBER(AA734)),L734/(L734+AA734),"")</f>
        <v/>
      </c>
    </row>
    <row r="735" customFormat="false" ht="15" hidden="false" customHeight="true" outlineLevel="0" collapsed="false">
      <c r="A735" s="1" t="s">
        <v>274</v>
      </c>
      <c r="B735" s="46" t="n">
        <v>45993</v>
      </c>
      <c r="C735" s="46" t="n">
        <v>46077</v>
      </c>
      <c r="D735" s="47" t="n">
        <v>26639.9</v>
      </c>
      <c r="E735" s="47" t="n">
        <v>26639.9</v>
      </c>
      <c r="F735" s="47" t="n">
        <v>26504</v>
      </c>
      <c r="G735" s="47" t="n">
        <v>26530</v>
      </c>
      <c r="H735" s="47" t="n">
        <v>26548</v>
      </c>
      <c r="I735" s="47" t="n">
        <v>26530</v>
      </c>
      <c r="J735" s="48" t="n">
        <v>1784</v>
      </c>
      <c r="K735" s="47" t="n">
        <v>30792.89</v>
      </c>
      <c r="L735" s="48" t="n">
        <v>224965</v>
      </c>
      <c r="M735" s="48" t="n">
        <v>43095</v>
      </c>
      <c r="N735" s="47" t="n">
        <v>26032.2</v>
      </c>
      <c r="O735" s="47" t="n">
        <f aca="false">IF(AND(ISNUMBER(G735),ISNUMBER(N735)),G735-N735,"")</f>
        <v>497.799999999999</v>
      </c>
      <c r="P735" s="49" t="n">
        <f aca="false">IF(ISNUMBER(O735),O735/N735,"")</f>
        <v>0.0191224714008036</v>
      </c>
      <c r="Q735" s="50" t="n">
        <f aca="false">C735-B735</f>
        <v>84</v>
      </c>
      <c r="R735" s="51" t="n">
        <f aca="false">IF(AND(C735=C734,ISNUMBER(G735),ISNUMBER(G734)),(G735/G734-1)*100,"")</f>
        <v>-0.434216402646581</v>
      </c>
      <c r="S735" s="51" t="n">
        <f aca="false">IF(AND(C735=C734,ISNUMBER(L735),ISNUMBER(L734)),(L735/L734-1)*100,"")</f>
        <v>23.6954967834167</v>
      </c>
      <c r="T735" s="51" t="n">
        <f aca="false">IF(AND(C735=C734,ISNUMBER(G735),ISNUMBER(G734)),G735-G734,"")</f>
        <v>-115.700000000001</v>
      </c>
      <c r="U735" s="1" t="str">
        <f aca="false">IF(OR(NOT(ISNUMBER(R735)),NOT(ISNUMBER(S735))),"Not classified",IF(AND(R735&gt;0,S735&gt;0),"Long buildup (interpretation)",IF(AND(R735&lt;0,S735&gt;0),"Short buildup (interpretation)",IF(AND(R735&gt;0,S735&lt;0),"Short covering (interpretation)",IF(AND(R735&lt;0,S735&lt;0),"Long unwinding (interpretation)","Neutral")))))</f>
        <v>Short buildup (interpretation)</v>
      </c>
      <c r="V735" s="52" t="str">
        <f aca="false">TEXT(B735,"yyyy-mm")</f>
        <v>2025-12</v>
      </c>
      <c r="W735" s="52" t="n">
        <f aca="false">1+COUNTIFS($B$2:$B$756,B735,$C$2:$C$756,"&lt;"&amp;C735)</f>
        <v>3</v>
      </c>
      <c r="X735" s="53" t="n">
        <f aca="false">IF(AND(ISNUMBER(P735),Q735&gt;0),P735*365/Q735,"")</f>
        <v>0.0830916912058727</v>
      </c>
      <c r="Y735" s="42" t="n">
        <f aca="false">IF(AND(C736=C735,ISNUMBER(R736)),R736,"")</f>
        <v>-0.320392009046366</v>
      </c>
      <c r="Z735" s="52" t="n">
        <f aca="false">IF(AND(W735=1,Q735&gt;Basis_Analysis!$B$3,ISNUMBER(Y735)),1,0)</f>
        <v>0</v>
      </c>
      <c r="AA735" s="43" t="str">
        <f aca="false">IF(W735=1,IF(SUMIFS($L$2:$L$756,$B$2:$B$756,B735,$W$2:$W$756,2)&gt;0,SUMIFS($L$2:$L$756,$B$2:$B$756,B735,$W$2:$W$756,2),""),"")</f>
        <v/>
      </c>
      <c r="AB735" s="54" t="str">
        <f aca="false">IF(AND(W735=1,ISNUMBER(AA735)),L735/(L735+AA735),"")</f>
        <v/>
      </c>
    </row>
    <row r="736" customFormat="false" ht="15" hidden="false" customHeight="true" outlineLevel="0" collapsed="false">
      <c r="A736" s="1" t="s">
        <v>274</v>
      </c>
      <c r="B736" s="46" t="n">
        <v>45994</v>
      </c>
      <c r="C736" s="46" t="n">
        <v>46077</v>
      </c>
      <c r="D736" s="47" t="n">
        <v>26524.4</v>
      </c>
      <c r="E736" s="47" t="n">
        <v>26530</v>
      </c>
      <c r="F736" s="47" t="n">
        <v>26370</v>
      </c>
      <c r="G736" s="47" t="n">
        <v>26445</v>
      </c>
      <c r="H736" s="47" t="n">
        <v>26452</v>
      </c>
      <c r="I736" s="47" t="n">
        <v>26445</v>
      </c>
      <c r="J736" s="48" t="n">
        <v>1515</v>
      </c>
      <c r="K736" s="47" t="n">
        <v>26014.6</v>
      </c>
      <c r="L736" s="48" t="n">
        <v>260585</v>
      </c>
      <c r="M736" s="48" t="n">
        <v>35620</v>
      </c>
      <c r="N736" s="47" t="n">
        <v>25986</v>
      </c>
      <c r="O736" s="47" t="n">
        <f aca="false">IF(AND(ISNUMBER(G736),ISNUMBER(N736)),G736-N736,"")</f>
        <v>459</v>
      </c>
      <c r="P736" s="49" t="n">
        <f aca="false">IF(ISNUMBER(O736),O736/N736,"")</f>
        <v>0.0176633571923343</v>
      </c>
      <c r="Q736" s="50" t="n">
        <f aca="false">C736-B736</f>
        <v>83</v>
      </c>
      <c r="R736" s="51" t="n">
        <f aca="false">IF(AND(C736=C735,ISNUMBER(G736),ISNUMBER(G735)),(G736/G735-1)*100,"")</f>
        <v>-0.320392009046366</v>
      </c>
      <c r="S736" s="51" t="n">
        <f aca="false">IF(AND(C736=C735,ISNUMBER(L736),ISNUMBER(L735)),(L736/L735-1)*100,"")</f>
        <v>15.8335741115285</v>
      </c>
      <c r="T736" s="51" t="n">
        <f aca="false">IF(AND(C736=C735,ISNUMBER(G736),ISNUMBER(G735)),G736-G735,"")</f>
        <v>-85</v>
      </c>
      <c r="U736" s="1" t="str">
        <f aca="false">IF(OR(NOT(ISNUMBER(R736)),NOT(ISNUMBER(S736))),"Not classified",IF(AND(R736&gt;0,S736&gt;0),"Long buildup (interpretation)",IF(AND(R736&lt;0,S736&gt;0),"Short buildup (interpretation)",IF(AND(R736&gt;0,S736&lt;0),"Short covering (interpretation)",IF(AND(R736&lt;0,S736&lt;0),"Long unwinding (interpretation)","Neutral")))))</f>
        <v>Short buildup (interpretation)</v>
      </c>
      <c r="V736" s="52" t="str">
        <f aca="false">TEXT(B736,"yyyy-mm")</f>
        <v>2025-12</v>
      </c>
      <c r="W736" s="52" t="n">
        <f aca="false">1+COUNTIFS($B$2:$B$756,B736,$C$2:$C$756,"&lt;"&amp;C736)</f>
        <v>3</v>
      </c>
      <c r="X736" s="53" t="n">
        <f aca="false">IF(AND(ISNUMBER(P736),Q736&gt;0),P736*365/Q736,"")</f>
        <v>0.0776762093397835</v>
      </c>
      <c r="Y736" s="42" t="n">
        <f aca="false">IF(AND(C737=C736,ISNUMBER(R737)),R737,"")</f>
        <v>0.179618075250509</v>
      </c>
      <c r="Z736" s="52" t="n">
        <f aca="false">IF(AND(W736=1,Q736&gt;Basis_Analysis!$B$3,ISNUMBER(Y736)),1,0)</f>
        <v>0</v>
      </c>
      <c r="AA736" s="43" t="str">
        <f aca="false">IF(W736=1,IF(SUMIFS($L$2:$L$756,$B$2:$B$756,B736,$W$2:$W$756,2)&gt;0,SUMIFS($L$2:$L$756,$B$2:$B$756,B736,$W$2:$W$756,2),""),"")</f>
        <v/>
      </c>
      <c r="AB736" s="54" t="str">
        <f aca="false">IF(AND(W736=1,ISNUMBER(AA736)),L736/(L736+AA736),"")</f>
        <v/>
      </c>
    </row>
    <row r="737" customFormat="false" ht="15" hidden="false" customHeight="true" outlineLevel="0" collapsed="false">
      <c r="A737" s="1" t="s">
        <v>274</v>
      </c>
      <c r="B737" s="46" t="n">
        <v>45995</v>
      </c>
      <c r="C737" s="46" t="n">
        <v>46077</v>
      </c>
      <c r="D737" s="47" t="n">
        <v>26380.1</v>
      </c>
      <c r="E737" s="47" t="n">
        <v>26545</v>
      </c>
      <c r="F737" s="47" t="n">
        <v>26369.2</v>
      </c>
      <c r="G737" s="47" t="n">
        <v>26492.5</v>
      </c>
      <c r="H737" s="47" t="n">
        <v>26483.9</v>
      </c>
      <c r="I737" s="47" t="n">
        <v>26492.5</v>
      </c>
      <c r="J737" s="48" t="n">
        <v>1104</v>
      </c>
      <c r="K737" s="47" t="n">
        <v>18998.39</v>
      </c>
      <c r="L737" s="48" t="n">
        <v>281450</v>
      </c>
      <c r="M737" s="48" t="n">
        <v>20865</v>
      </c>
      <c r="N737" s="47" t="n">
        <v>26033.75</v>
      </c>
      <c r="O737" s="47" t="n">
        <f aca="false">IF(AND(ISNUMBER(G737),ISNUMBER(N737)),G737-N737,"")</f>
        <v>458.75</v>
      </c>
      <c r="P737" s="49" t="n">
        <f aca="false">IF(ISNUMBER(O737),O737/N737,"")</f>
        <v>0.0176213568924953</v>
      </c>
      <c r="Q737" s="50" t="n">
        <f aca="false">C737-B737</f>
        <v>82</v>
      </c>
      <c r="R737" s="51" t="n">
        <f aca="false">IF(AND(C737=C736,ISNUMBER(G737),ISNUMBER(G736)),(G737/G736-1)*100,"")</f>
        <v>0.179618075250509</v>
      </c>
      <c r="S737" s="51" t="n">
        <f aca="false">IF(AND(C737=C736,ISNUMBER(L737),ISNUMBER(L736)),(L737/L736-1)*100,"")</f>
        <v>8.00698428535796</v>
      </c>
      <c r="T737" s="51" t="n">
        <f aca="false">IF(AND(C737=C736,ISNUMBER(G737),ISNUMBER(G736)),G737-G736,"")</f>
        <v>47.5</v>
      </c>
      <c r="U737" s="1" t="str">
        <f aca="false">IF(OR(NOT(ISNUMBER(R737)),NOT(ISNUMBER(S737))),"Not classified",IF(AND(R737&gt;0,S737&gt;0),"Long buildup (interpretation)",IF(AND(R737&lt;0,S737&gt;0),"Short buildup (interpretation)",IF(AND(R737&gt;0,S737&lt;0),"Short covering (interpretation)",IF(AND(R737&lt;0,S737&lt;0),"Long unwinding (interpretation)","Neutral")))))</f>
        <v>Long buildup (interpretation)</v>
      </c>
      <c r="V737" s="52" t="str">
        <f aca="false">TEXT(B737,"yyyy-mm")</f>
        <v>2025-12</v>
      </c>
      <c r="W737" s="52" t="n">
        <f aca="false">1+COUNTIFS($B$2:$B$756,B737,$C$2:$C$756,"&lt;"&amp;C737)</f>
        <v>3</v>
      </c>
      <c r="X737" s="53" t="n">
        <f aca="false">IF(AND(ISNUMBER(P737),Q737&gt;0),P737*365/Q737,"")</f>
        <v>0.0784365276312292</v>
      </c>
      <c r="Y737" s="42" t="n">
        <f aca="false">IF(AND(C738=C737,ISNUMBER(R738)),R738,"")</f>
        <v>0.534490893649142</v>
      </c>
      <c r="Z737" s="52" t="n">
        <f aca="false">IF(AND(W737=1,Q737&gt;Basis_Analysis!$B$3,ISNUMBER(Y737)),1,0)</f>
        <v>0</v>
      </c>
      <c r="AA737" s="43" t="str">
        <f aca="false">IF(W737=1,IF(SUMIFS($L$2:$L$756,$B$2:$B$756,B737,$W$2:$W$756,2)&gt;0,SUMIFS($L$2:$L$756,$B$2:$B$756,B737,$W$2:$W$756,2),""),"")</f>
        <v/>
      </c>
      <c r="AB737" s="54" t="str">
        <f aca="false">IF(AND(W737=1,ISNUMBER(AA737)),L737/(L737+AA737),"")</f>
        <v/>
      </c>
    </row>
    <row r="738" customFormat="false" ht="15" hidden="false" customHeight="true" outlineLevel="0" collapsed="false">
      <c r="A738" s="1" t="s">
        <v>274</v>
      </c>
      <c r="B738" s="46" t="n">
        <v>45996</v>
      </c>
      <c r="C738" s="46" t="n">
        <v>46077</v>
      </c>
      <c r="D738" s="47" t="n">
        <v>26490</v>
      </c>
      <c r="E738" s="47" t="n">
        <v>26660</v>
      </c>
      <c r="F738" s="47" t="n">
        <v>26470</v>
      </c>
      <c r="G738" s="47" t="n">
        <v>26634.1</v>
      </c>
      <c r="H738" s="47" t="n">
        <v>26640</v>
      </c>
      <c r="I738" s="47" t="n">
        <v>26634.1</v>
      </c>
      <c r="J738" s="48" t="n">
        <v>1721</v>
      </c>
      <c r="K738" s="47" t="n">
        <v>29754.48</v>
      </c>
      <c r="L738" s="48" t="n">
        <v>311220</v>
      </c>
      <c r="M738" s="48" t="n">
        <v>29770</v>
      </c>
      <c r="N738" s="47" t="n">
        <v>26186.45</v>
      </c>
      <c r="O738" s="47" t="n">
        <f aca="false">IF(AND(ISNUMBER(G738),ISNUMBER(N738)),G738-N738,"")</f>
        <v>447.649999999998</v>
      </c>
      <c r="P738" s="49" t="n">
        <f aca="false">IF(ISNUMBER(O738),O738/N738,"")</f>
        <v>0.0170947188335952</v>
      </c>
      <c r="Q738" s="50" t="n">
        <f aca="false">C738-B738</f>
        <v>81</v>
      </c>
      <c r="R738" s="51" t="n">
        <f aca="false">IF(AND(C738=C737,ISNUMBER(G738),ISNUMBER(G737)),(G738/G737-1)*100,"")</f>
        <v>0.534490893649142</v>
      </c>
      <c r="S738" s="51" t="n">
        <f aca="false">IF(AND(C738=C737,ISNUMBER(L738),ISNUMBER(L737)),(L738/L737-1)*100,"")</f>
        <v>10.5773672055427</v>
      </c>
      <c r="T738" s="51" t="n">
        <f aca="false">IF(AND(C738=C737,ISNUMBER(G738),ISNUMBER(G737)),G738-G737,"")</f>
        <v>141.599999999999</v>
      </c>
      <c r="U738" s="1" t="str">
        <f aca="false">IF(OR(NOT(ISNUMBER(R738)),NOT(ISNUMBER(S738))),"Not classified",IF(AND(R738&gt;0,S738&gt;0),"Long buildup (interpretation)",IF(AND(R738&lt;0,S738&gt;0),"Short buildup (interpretation)",IF(AND(R738&gt;0,S738&lt;0),"Short covering (interpretation)",IF(AND(R738&lt;0,S738&lt;0),"Long unwinding (interpretation)","Neutral")))))</f>
        <v>Long buildup (interpretation)</v>
      </c>
      <c r="V738" s="52" t="str">
        <f aca="false">TEXT(B738,"yyyy-mm")</f>
        <v>2025-12</v>
      </c>
      <c r="W738" s="52" t="n">
        <f aca="false">1+COUNTIFS($B$2:$B$756,B738,$C$2:$C$756,"&lt;"&amp;C738)</f>
        <v>3</v>
      </c>
      <c r="X738" s="53" t="n">
        <f aca="false">IF(AND(ISNUMBER(P738),Q738&gt;0),P738*365/Q738,"")</f>
        <v>0.0770317577069411</v>
      </c>
      <c r="Y738" s="42" t="n">
        <f aca="false">IF(AND(C739=C738,ISNUMBER(R739)),R739,"")</f>
        <v>-0.946530950923807</v>
      </c>
      <c r="Z738" s="52" t="n">
        <f aca="false">IF(AND(W738=1,Q738&gt;Basis_Analysis!$B$3,ISNUMBER(Y738)),1,0)</f>
        <v>0</v>
      </c>
      <c r="AA738" s="43" t="str">
        <f aca="false">IF(W738=1,IF(SUMIFS($L$2:$L$756,$B$2:$B$756,B738,$W$2:$W$756,2)&gt;0,SUMIFS($L$2:$L$756,$B$2:$B$756,B738,$W$2:$W$756,2),""),"")</f>
        <v/>
      </c>
      <c r="AB738" s="54" t="str">
        <f aca="false">IF(AND(W738=1,ISNUMBER(AA738)),L738/(L738+AA738),"")</f>
        <v/>
      </c>
    </row>
    <row r="739" customFormat="false" ht="15" hidden="false" customHeight="true" outlineLevel="0" collapsed="false">
      <c r="A739" s="1" t="s">
        <v>274</v>
      </c>
      <c r="B739" s="46" t="n">
        <v>45999</v>
      </c>
      <c r="C739" s="46" t="n">
        <v>46077</v>
      </c>
      <c r="D739" s="47" t="n">
        <v>26634</v>
      </c>
      <c r="E739" s="47" t="n">
        <v>26644.7</v>
      </c>
      <c r="F739" s="47" t="n">
        <v>26359</v>
      </c>
      <c r="G739" s="47" t="n">
        <v>26382</v>
      </c>
      <c r="H739" s="47" t="n">
        <v>26370</v>
      </c>
      <c r="I739" s="47" t="n">
        <v>26382</v>
      </c>
      <c r="J739" s="48" t="n">
        <v>2481</v>
      </c>
      <c r="K739" s="47" t="n">
        <v>42698.77</v>
      </c>
      <c r="L739" s="48" t="n">
        <v>351065</v>
      </c>
      <c r="M739" s="48" t="n">
        <v>39845</v>
      </c>
      <c r="N739" s="47" t="n">
        <v>25960.55</v>
      </c>
      <c r="O739" s="47" t="n">
        <f aca="false">IF(AND(ISNUMBER(G739),ISNUMBER(N739)),G739-N739,"")</f>
        <v>421.450000000001</v>
      </c>
      <c r="P739" s="49" t="n">
        <f aca="false">IF(ISNUMBER(O739),O739/N739,"")</f>
        <v>0.0162342477335804</v>
      </c>
      <c r="Q739" s="50" t="n">
        <f aca="false">C739-B739</f>
        <v>78</v>
      </c>
      <c r="R739" s="51" t="n">
        <f aca="false">IF(AND(C739=C738,ISNUMBER(G739),ISNUMBER(G738)),(G739/G738-1)*100,"")</f>
        <v>-0.946530950923807</v>
      </c>
      <c r="S739" s="51" t="n">
        <f aca="false">IF(AND(C739=C738,ISNUMBER(L739),ISNUMBER(L738)),(L739/L738-1)*100,"")</f>
        <v>12.8028404344194</v>
      </c>
      <c r="T739" s="51" t="n">
        <f aca="false">IF(AND(C739=C738,ISNUMBER(G739),ISNUMBER(G738)),G739-G738,"")</f>
        <v>-252.099999999999</v>
      </c>
      <c r="U739" s="1" t="str">
        <f aca="false">IF(OR(NOT(ISNUMBER(R739)),NOT(ISNUMBER(S739))),"Not classified",IF(AND(R739&gt;0,S739&gt;0),"Long buildup (interpretation)",IF(AND(R739&lt;0,S739&gt;0),"Short buildup (interpretation)",IF(AND(R739&gt;0,S739&lt;0),"Short covering (interpretation)",IF(AND(R739&lt;0,S739&lt;0),"Long unwinding (interpretation)","Neutral")))))</f>
        <v>Short buildup (interpretation)</v>
      </c>
      <c r="V739" s="52" t="str">
        <f aca="false">TEXT(B739,"yyyy-mm")</f>
        <v>2025-12</v>
      </c>
      <c r="W739" s="52" t="n">
        <f aca="false">1+COUNTIFS($B$2:$B$756,B739,$C$2:$C$756,"&lt;"&amp;C739)</f>
        <v>3</v>
      </c>
      <c r="X739" s="53" t="n">
        <f aca="false">IF(AND(ISNUMBER(P739),Q739&gt;0),P739*365/Q739,"")</f>
        <v>0.0759679541379083</v>
      </c>
      <c r="Y739" s="42" t="n">
        <f aca="false">IF(AND(C740=C739,ISNUMBER(R740)),R740,"")</f>
        <v>-0.413160488211661</v>
      </c>
      <c r="Z739" s="52" t="n">
        <f aca="false">IF(AND(W739=1,Q739&gt;Basis_Analysis!$B$3,ISNUMBER(Y739)),1,0)</f>
        <v>0</v>
      </c>
      <c r="AA739" s="43" t="str">
        <f aca="false">IF(W739=1,IF(SUMIFS($L$2:$L$756,$B$2:$B$756,B739,$W$2:$W$756,2)&gt;0,SUMIFS($L$2:$L$756,$B$2:$B$756,B739,$W$2:$W$756,2),""),"")</f>
        <v/>
      </c>
      <c r="AB739" s="54" t="str">
        <f aca="false">IF(AND(W739=1,ISNUMBER(AA739)),L739/(L739+AA739),"")</f>
        <v/>
      </c>
    </row>
    <row r="740" customFormat="false" ht="15" hidden="false" customHeight="true" outlineLevel="0" collapsed="false">
      <c r="A740" s="1" t="s">
        <v>274</v>
      </c>
      <c r="B740" s="46" t="n">
        <v>46000</v>
      </c>
      <c r="C740" s="46" t="n">
        <v>46077</v>
      </c>
      <c r="D740" s="47" t="n">
        <v>26349.9</v>
      </c>
      <c r="E740" s="47" t="n">
        <v>26371</v>
      </c>
      <c r="F740" s="47" t="n">
        <v>26194</v>
      </c>
      <c r="G740" s="47" t="n">
        <v>26273</v>
      </c>
      <c r="H740" s="47" t="n">
        <v>26263.3</v>
      </c>
      <c r="I740" s="47" t="n">
        <v>26273</v>
      </c>
      <c r="J740" s="48" t="n">
        <v>2968</v>
      </c>
      <c r="K740" s="47" t="n">
        <v>50673.05</v>
      </c>
      <c r="L740" s="48" t="n">
        <v>403000</v>
      </c>
      <c r="M740" s="48" t="n">
        <v>51935</v>
      </c>
      <c r="N740" s="47" t="n">
        <v>25839.65</v>
      </c>
      <c r="O740" s="47" t="n">
        <f aca="false">IF(AND(ISNUMBER(G740),ISNUMBER(N740)),G740-N740,"")</f>
        <v>433.349999999999</v>
      </c>
      <c r="P740" s="49" t="n">
        <f aca="false">IF(ISNUMBER(O740),O740/N740,"")</f>
        <v>0.0167707379937421</v>
      </c>
      <c r="Q740" s="50" t="n">
        <f aca="false">C740-B740</f>
        <v>77</v>
      </c>
      <c r="R740" s="51" t="n">
        <f aca="false">IF(AND(C740=C739,ISNUMBER(G740),ISNUMBER(G739)),(G740/G739-1)*100,"")</f>
        <v>-0.413160488211661</v>
      </c>
      <c r="S740" s="51" t="n">
        <f aca="false">IF(AND(C740=C739,ISNUMBER(L740),ISNUMBER(L739)),(L740/L739-1)*100,"")</f>
        <v>14.7935567487502</v>
      </c>
      <c r="T740" s="51" t="n">
        <f aca="false">IF(AND(C740=C739,ISNUMBER(G740),ISNUMBER(G739)),G740-G739,"")</f>
        <v>-109</v>
      </c>
      <c r="U740" s="1" t="str">
        <f aca="false">IF(OR(NOT(ISNUMBER(R740)),NOT(ISNUMBER(S740))),"Not classified",IF(AND(R740&gt;0,S740&gt;0),"Long buildup (interpretation)",IF(AND(R740&lt;0,S740&gt;0),"Short buildup (interpretation)",IF(AND(R740&gt;0,S740&lt;0),"Short covering (interpretation)",IF(AND(R740&lt;0,S740&lt;0),"Long unwinding (interpretation)","Neutral")))))</f>
        <v>Short buildup (interpretation)</v>
      </c>
      <c r="V740" s="52" t="str">
        <f aca="false">TEXT(B740,"yyyy-mm")</f>
        <v>2025-12</v>
      </c>
      <c r="W740" s="52" t="n">
        <f aca="false">1+COUNTIFS($B$2:$B$756,B740,$C$2:$C$756,"&lt;"&amp;C740)</f>
        <v>3</v>
      </c>
      <c r="X740" s="53" t="n">
        <f aca="false">IF(AND(ISNUMBER(P740),Q740&gt;0),P740*365/Q740,"")</f>
        <v>0.0794976541261802</v>
      </c>
      <c r="Y740" s="42" t="n">
        <f aca="false">IF(AND(C741=C740,ISNUMBER(R741)),R741,"")</f>
        <v>-0.347505043200236</v>
      </c>
      <c r="Z740" s="52" t="n">
        <f aca="false">IF(AND(W740=1,Q740&gt;Basis_Analysis!$B$3,ISNUMBER(Y740)),1,0)</f>
        <v>0</v>
      </c>
      <c r="AA740" s="43" t="str">
        <f aca="false">IF(W740=1,IF(SUMIFS($L$2:$L$756,$B$2:$B$756,B740,$W$2:$W$756,2)&gt;0,SUMIFS($L$2:$L$756,$B$2:$B$756,B740,$W$2:$W$756,2),""),"")</f>
        <v/>
      </c>
      <c r="AB740" s="54" t="str">
        <f aca="false">IF(AND(W740=1,ISNUMBER(AA740)),L740/(L740+AA740),"")</f>
        <v/>
      </c>
    </row>
    <row r="741" customFormat="false" ht="15" hidden="false" customHeight="true" outlineLevel="0" collapsed="false">
      <c r="A741" s="1" t="s">
        <v>274</v>
      </c>
      <c r="B741" s="46" t="n">
        <v>46001</v>
      </c>
      <c r="C741" s="46" t="n">
        <v>46077</v>
      </c>
      <c r="D741" s="47" t="n">
        <v>26263.3</v>
      </c>
      <c r="E741" s="47" t="n">
        <v>26357.8</v>
      </c>
      <c r="F741" s="47" t="n">
        <v>26165.2</v>
      </c>
      <c r="G741" s="47" t="n">
        <v>26181.7</v>
      </c>
      <c r="H741" s="47" t="n">
        <v>26171</v>
      </c>
      <c r="I741" s="47" t="n">
        <v>26181.7</v>
      </c>
      <c r="J741" s="48" t="n">
        <v>1768</v>
      </c>
      <c r="K741" s="47" t="n">
        <v>30158.49</v>
      </c>
      <c r="L741" s="48" t="n">
        <v>435760</v>
      </c>
      <c r="M741" s="48" t="n">
        <v>32760</v>
      </c>
      <c r="N741" s="47" t="n">
        <v>25758</v>
      </c>
      <c r="O741" s="47" t="n">
        <f aca="false">IF(AND(ISNUMBER(G741),ISNUMBER(N741)),G741-N741,"")</f>
        <v>423.700000000001</v>
      </c>
      <c r="P741" s="49" t="n">
        <f aca="false">IF(ISNUMBER(O741),O741/N741,"")</f>
        <v>0.0164492584828015</v>
      </c>
      <c r="Q741" s="50" t="n">
        <f aca="false">C741-B741</f>
        <v>76</v>
      </c>
      <c r="R741" s="51" t="n">
        <f aca="false">IF(AND(C741=C740,ISNUMBER(G741),ISNUMBER(G740)),(G741/G740-1)*100,"")</f>
        <v>-0.347505043200236</v>
      </c>
      <c r="S741" s="51" t="n">
        <f aca="false">IF(AND(C741=C740,ISNUMBER(L741),ISNUMBER(L740)),(L741/L740-1)*100,"")</f>
        <v>8.12903225806452</v>
      </c>
      <c r="T741" s="51" t="n">
        <f aca="false">IF(AND(C741=C740,ISNUMBER(G741),ISNUMBER(G740)),G741-G740,"")</f>
        <v>-91.2999999999993</v>
      </c>
      <c r="U741" s="1" t="str">
        <f aca="false">IF(OR(NOT(ISNUMBER(R741)),NOT(ISNUMBER(S741))),"Not classified",IF(AND(R741&gt;0,S741&gt;0),"Long buildup (interpretation)",IF(AND(R741&lt;0,S741&gt;0),"Short buildup (interpretation)",IF(AND(R741&gt;0,S741&lt;0),"Short covering (interpretation)",IF(AND(R741&lt;0,S741&lt;0),"Long unwinding (interpretation)","Neutral")))))</f>
        <v>Short buildup (interpretation)</v>
      </c>
      <c r="V741" s="52" t="str">
        <f aca="false">TEXT(B741,"yyyy-mm")</f>
        <v>2025-12</v>
      </c>
      <c r="W741" s="52" t="n">
        <f aca="false">1+COUNTIFS($B$2:$B$756,B741,$C$2:$C$756,"&lt;"&amp;C741)</f>
        <v>3</v>
      </c>
      <c r="X741" s="53" t="n">
        <f aca="false">IF(AND(ISNUMBER(P741),Q741&gt;0),P741*365/Q741,"")</f>
        <v>0.0789997282397703</v>
      </c>
      <c r="Y741" s="42" t="n">
        <f aca="false">IF(AND(C742=C741,ISNUMBER(R742)),R742,"")</f>
        <v>0.491946665037024</v>
      </c>
      <c r="Z741" s="52" t="n">
        <f aca="false">IF(AND(W741=1,Q741&gt;Basis_Analysis!$B$3,ISNUMBER(Y741)),1,0)</f>
        <v>0</v>
      </c>
      <c r="AA741" s="43" t="str">
        <f aca="false">IF(W741=1,IF(SUMIFS($L$2:$L$756,$B$2:$B$756,B741,$W$2:$W$756,2)&gt;0,SUMIFS($L$2:$L$756,$B$2:$B$756,B741,$W$2:$W$756,2),""),"")</f>
        <v/>
      </c>
      <c r="AB741" s="54" t="str">
        <f aca="false">IF(AND(W741=1,ISNUMBER(AA741)),L741/(L741+AA741),"")</f>
        <v/>
      </c>
    </row>
    <row r="742" customFormat="false" ht="15" hidden="false" customHeight="true" outlineLevel="0" collapsed="false">
      <c r="A742" s="1" t="s">
        <v>274</v>
      </c>
      <c r="B742" s="46" t="n">
        <v>46002</v>
      </c>
      <c r="C742" s="46" t="n">
        <v>46077</v>
      </c>
      <c r="D742" s="47" t="n">
        <v>26298.7</v>
      </c>
      <c r="E742" s="47" t="n">
        <v>26338.3</v>
      </c>
      <c r="F742" s="47" t="n">
        <v>26115</v>
      </c>
      <c r="G742" s="47" t="n">
        <v>26310.5</v>
      </c>
      <c r="H742" s="47" t="n">
        <v>26308.2</v>
      </c>
      <c r="I742" s="47" t="n">
        <v>26310.5</v>
      </c>
      <c r="J742" s="48" t="n">
        <v>2057</v>
      </c>
      <c r="K742" s="47" t="n">
        <v>35113.17</v>
      </c>
      <c r="L742" s="48" t="n">
        <v>474825</v>
      </c>
      <c r="M742" s="48" t="n">
        <v>39065</v>
      </c>
      <c r="N742" s="47" t="n">
        <v>25898.55</v>
      </c>
      <c r="O742" s="47" t="n">
        <f aca="false">IF(AND(ISNUMBER(G742),ISNUMBER(N742)),G742-N742,"")</f>
        <v>411.950000000001</v>
      </c>
      <c r="P742" s="49" t="n">
        <f aca="false">IF(ISNUMBER(O742),O742/N742,"")</f>
        <v>0.0159062959123194</v>
      </c>
      <c r="Q742" s="50" t="n">
        <f aca="false">C742-B742</f>
        <v>75</v>
      </c>
      <c r="R742" s="51" t="n">
        <f aca="false">IF(AND(C742=C741,ISNUMBER(G742),ISNUMBER(G741)),(G742/G741-1)*100,"")</f>
        <v>0.491946665037024</v>
      </c>
      <c r="S742" s="51" t="n">
        <f aca="false">IF(AND(C742=C741,ISNUMBER(L742),ISNUMBER(L741)),(L742/L741-1)*100,"")</f>
        <v>8.96479713603819</v>
      </c>
      <c r="T742" s="51" t="n">
        <f aca="false">IF(AND(C742=C741,ISNUMBER(G742),ISNUMBER(G741)),G742-G741,"")</f>
        <v>128.799999999999</v>
      </c>
      <c r="U742" s="1" t="str">
        <f aca="false">IF(OR(NOT(ISNUMBER(R742)),NOT(ISNUMBER(S742))),"Not classified",IF(AND(R742&gt;0,S742&gt;0),"Long buildup (interpretation)",IF(AND(R742&lt;0,S742&gt;0),"Short buildup (interpretation)",IF(AND(R742&gt;0,S742&lt;0),"Short covering (interpretation)",IF(AND(R742&lt;0,S742&lt;0),"Long unwinding (interpretation)","Neutral")))))</f>
        <v>Long buildup (interpretation)</v>
      </c>
      <c r="V742" s="52" t="str">
        <f aca="false">TEXT(B742,"yyyy-mm")</f>
        <v>2025-12</v>
      </c>
      <c r="W742" s="52" t="n">
        <f aca="false">1+COUNTIFS($B$2:$B$756,B742,$C$2:$C$756,"&lt;"&amp;C742)</f>
        <v>3</v>
      </c>
      <c r="X742" s="53" t="n">
        <f aca="false">IF(AND(ISNUMBER(P742),Q742&gt;0),P742*365/Q742,"")</f>
        <v>0.0774106401066213</v>
      </c>
      <c r="Y742" s="42" t="n">
        <f aca="false">IF(AND(C743=C742,ISNUMBER(R743)),R743,"")</f>
        <v>0.50512152942741</v>
      </c>
      <c r="Z742" s="52" t="n">
        <f aca="false">IF(AND(W742=1,Q742&gt;Basis_Analysis!$B$3,ISNUMBER(Y742)),1,0)</f>
        <v>0</v>
      </c>
      <c r="AA742" s="43" t="str">
        <f aca="false">IF(W742=1,IF(SUMIFS($L$2:$L$756,$B$2:$B$756,B742,$W$2:$W$756,2)&gt;0,SUMIFS($L$2:$L$756,$B$2:$B$756,B742,$W$2:$W$756,2),""),"")</f>
        <v/>
      </c>
      <c r="AB742" s="54" t="str">
        <f aca="false">IF(AND(W742=1,ISNUMBER(AA742)),L742/(L742+AA742),"")</f>
        <v/>
      </c>
    </row>
    <row r="743" customFormat="false" ht="15" hidden="false" customHeight="true" outlineLevel="0" collapsed="false">
      <c r="A743" s="1" t="s">
        <v>274</v>
      </c>
      <c r="B743" s="46" t="n">
        <v>46003</v>
      </c>
      <c r="C743" s="46" t="n">
        <v>46077</v>
      </c>
      <c r="D743" s="47" t="n">
        <v>26351</v>
      </c>
      <c r="E743" s="47" t="n">
        <v>26450</v>
      </c>
      <c r="F743" s="47" t="n">
        <v>26350</v>
      </c>
      <c r="G743" s="47" t="n">
        <v>26443.4</v>
      </c>
      <c r="H743" s="47" t="n">
        <v>26448</v>
      </c>
      <c r="I743" s="47" t="n">
        <v>26443.4</v>
      </c>
      <c r="J743" s="48" t="n">
        <v>1699</v>
      </c>
      <c r="K743" s="47" t="n">
        <v>29168.75</v>
      </c>
      <c r="L743" s="48" t="n">
        <v>492245</v>
      </c>
      <c r="M743" s="48" t="n">
        <v>17420</v>
      </c>
      <c r="N743" s="47" t="n">
        <v>26046.95</v>
      </c>
      <c r="O743" s="47" t="n">
        <f aca="false">IF(AND(ISNUMBER(G743),ISNUMBER(N743)),G743-N743,"")</f>
        <v>396.450000000001</v>
      </c>
      <c r="P743" s="49" t="n">
        <f aca="false">IF(ISNUMBER(O743),O743/N743,"")</f>
        <v>0.0152205920462857</v>
      </c>
      <c r="Q743" s="50" t="n">
        <f aca="false">C743-B743</f>
        <v>74</v>
      </c>
      <c r="R743" s="51" t="n">
        <f aca="false">IF(AND(C743=C742,ISNUMBER(G743),ISNUMBER(G742)),(G743/G742-1)*100,"")</f>
        <v>0.50512152942741</v>
      </c>
      <c r="S743" s="51" t="n">
        <f aca="false">IF(AND(C743=C742,ISNUMBER(L743),ISNUMBER(L742)),(L743/L742-1)*100,"")</f>
        <v>3.66872005475702</v>
      </c>
      <c r="T743" s="51" t="n">
        <f aca="false">IF(AND(C743=C742,ISNUMBER(G743),ISNUMBER(G742)),G743-G742,"")</f>
        <v>132.900000000001</v>
      </c>
      <c r="U743" s="1" t="str">
        <f aca="false">IF(OR(NOT(ISNUMBER(R743)),NOT(ISNUMBER(S743))),"Not classified",IF(AND(R743&gt;0,S743&gt;0),"Long buildup (interpretation)",IF(AND(R743&lt;0,S743&gt;0),"Short buildup (interpretation)",IF(AND(R743&gt;0,S743&lt;0),"Short covering (interpretation)",IF(AND(R743&lt;0,S743&lt;0),"Long unwinding (interpretation)","Neutral")))))</f>
        <v>Long buildup (interpretation)</v>
      </c>
      <c r="V743" s="52" t="str">
        <f aca="false">TEXT(B743,"yyyy-mm")</f>
        <v>2025-12</v>
      </c>
      <c r="W743" s="52" t="n">
        <f aca="false">1+COUNTIFS($B$2:$B$756,B743,$C$2:$C$756,"&lt;"&amp;C743)</f>
        <v>3</v>
      </c>
      <c r="X743" s="53" t="n">
        <f aca="false">IF(AND(ISNUMBER(P743),Q743&gt;0),P743*365/Q743,"")</f>
        <v>0.0750745418499226</v>
      </c>
      <c r="Y743" s="42" t="n">
        <f aca="false">IF(AND(C744=C743,ISNUMBER(R744)),R744,"")</f>
        <v>-0.136517996929297</v>
      </c>
      <c r="Z743" s="52" t="n">
        <f aca="false">IF(AND(W743=1,Q743&gt;Basis_Analysis!$B$3,ISNUMBER(Y743)),1,0)</f>
        <v>0</v>
      </c>
      <c r="AA743" s="43" t="str">
        <f aca="false">IF(W743=1,IF(SUMIFS($L$2:$L$756,$B$2:$B$756,B743,$W$2:$W$756,2)&gt;0,SUMIFS($L$2:$L$756,$B$2:$B$756,B743,$W$2:$W$756,2),""),"")</f>
        <v/>
      </c>
      <c r="AB743" s="54" t="str">
        <f aca="false">IF(AND(W743=1,ISNUMBER(AA743)),L743/(L743+AA743),"")</f>
        <v/>
      </c>
    </row>
    <row r="744" customFormat="false" ht="15" hidden="false" customHeight="true" outlineLevel="0" collapsed="false">
      <c r="A744" s="1" t="s">
        <v>274</v>
      </c>
      <c r="B744" s="46" t="n">
        <v>46006</v>
      </c>
      <c r="C744" s="46" t="n">
        <v>46077</v>
      </c>
      <c r="D744" s="47" t="n">
        <v>26402.7</v>
      </c>
      <c r="E744" s="47" t="n">
        <v>26426</v>
      </c>
      <c r="F744" s="47" t="n">
        <v>26310</v>
      </c>
      <c r="G744" s="47" t="n">
        <v>26407.3</v>
      </c>
      <c r="H744" s="47" t="n">
        <v>26405</v>
      </c>
      <c r="I744" s="47" t="n">
        <v>26407.3</v>
      </c>
      <c r="J744" s="48" t="n">
        <v>1465</v>
      </c>
      <c r="K744" s="47" t="n">
        <v>25114.73</v>
      </c>
      <c r="L744" s="48" t="n">
        <v>500500</v>
      </c>
      <c r="M744" s="48" t="n">
        <v>8255</v>
      </c>
      <c r="N744" s="47" t="n">
        <v>26027.3</v>
      </c>
      <c r="O744" s="47" t="n">
        <f aca="false">IF(AND(ISNUMBER(G744),ISNUMBER(N744)),G744-N744,"")</f>
        <v>380</v>
      </c>
      <c r="P744" s="49" t="n">
        <f aca="false">IF(ISNUMBER(O744),O744/N744,"")</f>
        <v>0.0146000545580986</v>
      </c>
      <c r="Q744" s="50" t="n">
        <f aca="false">C744-B744</f>
        <v>71</v>
      </c>
      <c r="R744" s="51" t="n">
        <f aca="false">IF(AND(C744=C743,ISNUMBER(G744),ISNUMBER(G743)),(G744/G743-1)*100,"")</f>
        <v>-0.136517996929297</v>
      </c>
      <c r="S744" s="51" t="n">
        <f aca="false">IF(AND(C744=C743,ISNUMBER(L744),ISNUMBER(L743)),(L744/L743-1)*100,"")</f>
        <v>1.67701043179718</v>
      </c>
      <c r="T744" s="51" t="n">
        <f aca="false">IF(AND(C744=C743,ISNUMBER(G744),ISNUMBER(G743)),G744-G743,"")</f>
        <v>-36.1000000000022</v>
      </c>
      <c r="U744" s="1" t="str">
        <f aca="false">IF(OR(NOT(ISNUMBER(R744)),NOT(ISNUMBER(S744))),"Not classified",IF(AND(R744&gt;0,S744&gt;0),"Long buildup (interpretation)",IF(AND(R744&lt;0,S744&gt;0),"Short buildup (interpretation)",IF(AND(R744&gt;0,S744&lt;0),"Short covering (interpretation)",IF(AND(R744&lt;0,S744&lt;0),"Long unwinding (interpretation)","Neutral")))))</f>
        <v>Short buildup (interpretation)</v>
      </c>
      <c r="V744" s="52" t="str">
        <f aca="false">TEXT(B744,"yyyy-mm")</f>
        <v>2025-12</v>
      </c>
      <c r="W744" s="52" t="n">
        <f aca="false">1+COUNTIFS($B$2:$B$756,B744,$C$2:$C$756,"&lt;"&amp;C744)</f>
        <v>3</v>
      </c>
      <c r="X744" s="53" t="n">
        <f aca="false">IF(AND(ISNUMBER(P744),Q744&gt;0),P744*365/Q744,"")</f>
        <v>0.0750566185029013</v>
      </c>
      <c r="Y744" s="42" t="n">
        <f aca="false">IF(AND(C745=C744,ISNUMBER(R745)),R745,"")</f>
        <v>-0.567646067564642</v>
      </c>
      <c r="Z744" s="52" t="n">
        <f aca="false">IF(AND(W744=1,Q744&gt;Basis_Analysis!$B$3,ISNUMBER(Y744)),1,0)</f>
        <v>0</v>
      </c>
      <c r="AA744" s="43" t="str">
        <f aca="false">IF(W744=1,IF(SUMIFS($L$2:$L$756,$B$2:$B$756,B744,$W$2:$W$756,2)&gt;0,SUMIFS($L$2:$L$756,$B$2:$B$756,B744,$W$2:$W$756,2),""),"")</f>
        <v/>
      </c>
      <c r="AB744" s="54" t="str">
        <f aca="false">IF(AND(W744=1,ISNUMBER(AA744)),L744/(L744+AA744),"")</f>
        <v/>
      </c>
    </row>
    <row r="745" customFormat="false" ht="15" hidden="false" customHeight="true" outlineLevel="0" collapsed="false">
      <c r="A745" s="1" t="s">
        <v>274</v>
      </c>
      <c r="B745" s="46" t="n">
        <v>46007</v>
      </c>
      <c r="C745" s="46" t="n">
        <v>46077</v>
      </c>
      <c r="D745" s="47" t="n">
        <v>26375</v>
      </c>
      <c r="E745" s="47" t="n">
        <v>26375</v>
      </c>
      <c r="F745" s="47" t="n">
        <v>26250</v>
      </c>
      <c r="G745" s="47" t="n">
        <v>26257.4</v>
      </c>
      <c r="H745" s="47" t="n">
        <v>26250</v>
      </c>
      <c r="I745" s="47" t="n">
        <v>26257.4</v>
      </c>
      <c r="J745" s="48" t="n">
        <v>1818</v>
      </c>
      <c r="K745" s="47" t="n">
        <v>31066.56</v>
      </c>
      <c r="L745" s="48" t="n">
        <v>544310</v>
      </c>
      <c r="M745" s="48" t="n">
        <v>43810</v>
      </c>
      <c r="N745" s="47" t="n">
        <v>25860.1</v>
      </c>
      <c r="O745" s="47" t="n">
        <f aca="false">IF(AND(ISNUMBER(G745),ISNUMBER(N745)),G745-N745,"")</f>
        <v>397.300000000003</v>
      </c>
      <c r="P745" s="49" t="n">
        <f aca="false">IF(ISNUMBER(O745),O745/N745,"")</f>
        <v>0.0153634363362865</v>
      </c>
      <c r="Q745" s="50" t="n">
        <f aca="false">C745-B745</f>
        <v>70</v>
      </c>
      <c r="R745" s="51" t="n">
        <f aca="false">IF(AND(C745=C744,ISNUMBER(G745),ISNUMBER(G744)),(G745/G744-1)*100,"")</f>
        <v>-0.567646067564642</v>
      </c>
      <c r="S745" s="51" t="n">
        <f aca="false">IF(AND(C745=C744,ISNUMBER(L745),ISNUMBER(L744)),(L745/L744-1)*100,"")</f>
        <v>8.75324675324676</v>
      </c>
      <c r="T745" s="51" t="n">
        <f aca="false">IF(AND(C745=C744,ISNUMBER(G745),ISNUMBER(G744)),G745-G744,"")</f>
        <v>-149.899999999998</v>
      </c>
      <c r="U745" s="1" t="str">
        <f aca="false">IF(OR(NOT(ISNUMBER(R745)),NOT(ISNUMBER(S745))),"Not classified",IF(AND(R745&gt;0,S745&gt;0),"Long buildup (interpretation)",IF(AND(R745&lt;0,S745&gt;0),"Short buildup (interpretation)",IF(AND(R745&gt;0,S745&lt;0),"Short covering (interpretation)",IF(AND(R745&lt;0,S745&lt;0),"Long unwinding (interpretation)","Neutral")))))</f>
        <v>Short buildup (interpretation)</v>
      </c>
      <c r="V745" s="52" t="str">
        <f aca="false">TEXT(B745,"yyyy-mm")</f>
        <v>2025-12</v>
      </c>
      <c r="W745" s="52" t="n">
        <f aca="false">1+COUNTIFS($B$2:$B$756,B745,$C$2:$C$756,"&lt;"&amp;C745)</f>
        <v>3</v>
      </c>
      <c r="X745" s="53" t="n">
        <f aca="false">IF(AND(ISNUMBER(P745),Q745&gt;0),P745*365/Q745,"")</f>
        <v>0.0801093466106368</v>
      </c>
      <c r="Y745" s="42" t="n">
        <f aca="false">IF(AND(C746=C745,ISNUMBER(R746)),R746,"")</f>
        <v>-0.171380258517595</v>
      </c>
      <c r="Z745" s="52" t="n">
        <f aca="false">IF(AND(W745=1,Q745&gt;Basis_Analysis!$B$3,ISNUMBER(Y745)),1,0)</f>
        <v>0</v>
      </c>
      <c r="AA745" s="43" t="str">
        <f aca="false">IF(W745=1,IF(SUMIFS($L$2:$L$756,$B$2:$B$756,B745,$W$2:$W$756,2)&gt;0,SUMIFS($L$2:$L$756,$B$2:$B$756,B745,$W$2:$W$756,2),""),"")</f>
        <v/>
      </c>
      <c r="AB745" s="54" t="str">
        <f aca="false">IF(AND(W745=1,ISNUMBER(AA745)),L745/(L745+AA745),"")</f>
        <v/>
      </c>
    </row>
    <row r="746" customFormat="false" ht="15" hidden="false" customHeight="true" outlineLevel="0" collapsed="false">
      <c r="A746" s="1" t="s">
        <v>274</v>
      </c>
      <c r="B746" s="46" t="n">
        <v>46008</v>
      </c>
      <c r="C746" s="46" t="n">
        <v>46077</v>
      </c>
      <c r="D746" s="47" t="n">
        <v>26267.5</v>
      </c>
      <c r="E746" s="47" t="n">
        <v>26304</v>
      </c>
      <c r="F746" s="47" t="n">
        <v>26177</v>
      </c>
      <c r="G746" s="47" t="n">
        <v>26212.4</v>
      </c>
      <c r="H746" s="47" t="n">
        <v>26225</v>
      </c>
      <c r="I746" s="47" t="n">
        <v>26212.4</v>
      </c>
      <c r="J746" s="48" t="n">
        <v>1650</v>
      </c>
      <c r="K746" s="47" t="n">
        <v>28118.51</v>
      </c>
      <c r="L746" s="48" t="n">
        <v>568425</v>
      </c>
      <c r="M746" s="48" t="n">
        <v>24115</v>
      </c>
      <c r="N746" s="47" t="n">
        <v>25818.55</v>
      </c>
      <c r="O746" s="47" t="n">
        <f aca="false">IF(AND(ISNUMBER(G746),ISNUMBER(N746)),G746-N746,"")</f>
        <v>393.850000000002</v>
      </c>
      <c r="P746" s="49" t="n">
        <f aca="false">IF(ISNUMBER(O746),O746/N746,"")</f>
        <v>0.0152545359828496</v>
      </c>
      <c r="Q746" s="50" t="n">
        <f aca="false">C746-B746</f>
        <v>69</v>
      </c>
      <c r="R746" s="51" t="n">
        <f aca="false">IF(AND(C746=C745,ISNUMBER(G746),ISNUMBER(G745)),(G746/G745-1)*100,"")</f>
        <v>-0.171380258517595</v>
      </c>
      <c r="S746" s="51" t="n">
        <f aca="false">IF(AND(C746=C745,ISNUMBER(L746),ISNUMBER(L745)),(L746/L745-1)*100,"")</f>
        <v>4.43037974683544</v>
      </c>
      <c r="T746" s="51" t="n">
        <f aca="false">IF(AND(C746=C745,ISNUMBER(G746),ISNUMBER(G745)),G746-G745,"")</f>
        <v>-45</v>
      </c>
      <c r="U746" s="1" t="str">
        <f aca="false">IF(OR(NOT(ISNUMBER(R746)),NOT(ISNUMBER(S746))),"Not classified",IF(AND(R746&gt;0,S746&gt;0),"Long buildup (interpretation)",IF(AND(R746&lt;0,S746&gt;0),"Short buildup (interpretation)",IF(AND(R746&gt;0,S746&lt;0),"Short covering (interpretation)",IF(AND(R746&lt;0,S746&lt;0),"Long unwinding (interpretation)","Neutral")))))</f>
        <v>Short buildup (interpretation)</v>
      </c>
      <c r="V746" s="52" t="str">
        <f aca="false">TEXT(B746,"yyyy-mm")</f>
        <v>2025-12</v>
      </c>
      <c r="W746" s="52" t="n">
        <f aca="false">1+COUNTIFS($B$2:$B$756,B746,$C$2:$C$756,"&lt;"&amp;C746)</f>
        <v>3</v>
      </c>
      <c r="X746" s="53" t="n">
        <f aca="false">IF(AND(ISNUMBER(P746),Q746&gt;0),P746*365/Q746,"")</f>
        <v>0.0806942845469582</v>
      </c>
      <c r="Y746" s="42" t="n">
        <f aca="false">IF(AND(C747=C746,ISNUMBER(R747)),R747,"")</f>
        <v>-0.0618028108834046</v>
      </c>
      <c r="Z746" s="52" t="n">
        <f aca="false">IF(AND(W746=1,Q746&gt;Basis_Analysis!$B$3,ISNUMBER(Y746)),1,0)</f>
        <v>0</v>
      </c>
      <c r="AA746" s="43" t="str">
        <f aca="false">IF(W746=1,IF(SUMIFS($L$2:$L$756,$B$2:$B$756,B746,$W$2:$W$756,2)&gt;0,SUMIFS($L$2:$L$756,$B$2:$B$756,B746,$W$2:$W$756,2),""),"")</f>
        <v/>
      </c>
      <c r="AB746" s="54" t="str">
        <f aca="false">IF(AND(W746=1,ISNUMBER(AA746)),L746/(L746+AA746),"")</f>
        <v/>
      </c>
    </row>
    <row r="747" customFormat="false" ht="15" hidden="false" customHeight="true" outlineLevel="0" collapsed="false">
      <c r="A747" s="1" t="s">
        <v>274</v>
      </c>
      <c r="B747" s="46" t="n">
        <v>46009</v>
      </c>
      <c r="C747" s="46" t="n">
        <v>46077</v>
      </c>
      <c r="D747" s="47" t="n">
        <v>26170</v>
      </c>
      <c r="E747" s="47" t="n">
        <v>26284.1</v>
      </c>
      <c r="F747" s="47" t="n">
        <v>26129</v>
      </c>
      <c r="G747" s="47" t="n">
        <v>26196.2</v>
      </c>
      <c r="H747" s="47" t="n">
        <v>26192</v>
      </c>
      <c r="I747" s="47" t="n">
        <v>26196.2</v>
      </c>
      <c r="J747" s="48" t="n">
        <v>2277</v>
      </c>
      <c r="K747" s="47" t="n">
        <v>38784.36</v>
      </c>
      <c r="L747" s="48" t="n">
        <v>611650</v>
      </c>
      <c r="M747" s="48" t="n">
        <v>43225</v>
      </c>
      <c r="N747" s="47" t="n">
        <v>25815.55</v>
      </c>
      <c r="O747" s="47" t="n">
        <f aca="false">IF(AND(ISNUMBER(G747),ISNUMBER(N747)),G747-N747,"")</f>
        <v>380.650000000001</v>
      </c>
      <c r="P747" s="49" t="n">
        <f aca="false">IF(ISNUMBER(O747),O747/N747,"")</f>
        <v>0.0147449889698264</v>
      </c>
      <c r="Q747" s="50" t="n">
        <f aca="false">C747-B747</f>
        <v>68</v>
      </c>
      <c r="R747" s="51" t="n">
        <f aca="false">IF(AND(C747=C746,ISNUMBER(G747),ISNUMBER(G746)),(G747/G746-1)*100,"")</f>
        <v>-0.0618028108834046</v>
      </c>
      <c r="S747" s="51" t="n">
        <f aca="false">IF(AND(C747=C746,ISNUMBER(L747),ISNUMBER(L746)),(L747/L746-1)*100,"")</f>
        <v>7.60434534019441</v>
      </c>
      <c r="T747" s="51" t="n">
        <f aca="false">IF(AND(C747=C746,ISNUMBER(G747),ISNUMBER(G746)),G747-G746,"")</f>
        <v>-16.2000000000007</v>
      </c>
      <c r="U747" s="1" t="str">
        <f aca="false">IF(OR(NOT(ISNUMBER(R747)),NOT(ISNUMBER(S747))),"Not classified",IF(AND(R747&gt;0,S747&gt;0),"Long buildup (interpretation)",IF(AND(R747&lt;0,S747&gt;0),"Short buildup (interpretation)",IF(AND(R747&gt;0,S747&lt;0),"Short covering (interpretation)",IF(AND(R747&lt;0,S747&lt;0),"Long unwinding (interpretation)","Neutral")))))</f>
        <v>Short buildup (interpretation)</v>
      </c>
      <c r="V747" s="52" t="str">
        <f aca="false">TEXT(B747,"yyyy-mm")</f>
        <v>2025-12</v>
      </c>
      <c r="W747" s="52" t="n">
        <f aca="false">1+COUNTIFS($B$2:$B$756,B747,$C$2:$C$756,"&lt;"&amp;C747)</f>
        <v>3</v>
      </c>
      <c r="X747" s="53" t="n">
        <f aca="false">IF(AND(ISNUMBER(P747),Q747&gt;0),P747*365/Q747,"")</f>
        <v>0.079145896676274</v>
      </c>
      <c r="Y747" s="42" t="n">
        <f aca="false">IF(AND(C748=C747,ISNUMBER(R748)),R748,"")</f>
        <v>0.516487124086695</v>
      </c>
      <c r="Z747" s="52" t="n">
        <f aca="false">IF(AND(W747=1,Q747&gt;Basis_Analysis!$B$3,ISNUMBER(Y747)),1,0)</f>
        <v>0</v>
      </c>
      <c r="AA747" s="43" t="str">
        <f aca="false">IF(W747=1,IF(SUMIFS($L$2:$L$756,$B$2:$B$756,B747,$W$2:$W$756,2)&gt;0,SUMIFS($L$2:$L$756,$B$2:$B$756,B747,$W$2:$W$756,2),""),"")</f>
        <v/>
      </c>
      <c r="AB747" s="54" t="str">
        <f aca="false">IF(AND(W747=1,ISNUMBER(AA747)),L747/(L747+AA747),"")</f>
        <v/>
      </c>
    </row>
    <row r="748" customFormat="false" ht="15" hidden="false" customHeight="true" outlineLevel="0" collapsed="false">
      <c r="A748" s="1" t="s">
        <v>274</v>
      </c>
      <c r="B748" s="46" t="n">
        <v>46010</v>
      </c>
      <c r="C748" s="46" t="n">
        <v>46077</v>
      </c>
      <c r="D748" s="47" t="n">
        <v>26249.9</v>
      </c>
      <c r="E748" s="47" t="n">
        <v>26340.9</v>
      </c>
      <c r="F748" s="47" t="n">
        <v>26249.9</v>
      </c>
      <c r="G748" s="47" t="n">
        <v>26331.5</v>
      </c>
      <c r="H748" s="47" t="n">
        <v>26340</v>
      </c>
      <c r="I748" s="47" t="n">
        <v>26331.5</v>
      </c>
      <c r="J748" s="48" t="n">
        <v>1595</v>
      </c>
      <c r="K748" s="47" t="n">
        <v>27279.45</v>
      </c>
      <c r="L748" s="48" t="n">
        <v>613990</v>
      </c>
      <c r="M748" s="48" t="n">
        <v>2340</v>
      </c>
      <c r="N748" s="47" t="n">
        <v>25966.4</v>
      </c>
      <c r="O748" s="47" t="n">
        <f aca="false">IF(AND(ISNUMBER(G748),ISNUMBER(N748)),G748-N748,"")</f>
        <v>365.099999999999</v>
      </c>
      <c r="P748" s="49" t="n">
        <f aca="false">IF(ISNUMBER(O748),O748/N748,"")</f>
        <v>0.0140604781563867</v>
      </c>
      <c r="Q748" s="50" t="n">
        <f aca="false">C748-B748</f>
        <v>67</v>
      </c>
      <c r="R748" s="51" t="n">
        <f aca="false">IF(AND(C748=C747,ISNUMBER(G748),ISNUMBER(G747)),(G748/G747-1)*100,"")</f>
        <v>0.516487124086695</v>
      </c>
      <c r="S748" s="51" t="n">
        <f aca="false">IF(AND(C748=C747,ISNUMBER(L748),ISNUMBER(L747)),(L748/L747-1)*100,"")</f>
        <v>0.382571732199777</v>
      </c>
      <c r="T748" s="51" t="n">
        <f aca="false">IF(AND(C748=C747,ISNUMBER(G748),ISNUMBER(G747)),G748-G747,"")</f>
        <v>135.299999999999</v>
      </c>
      <c r="U748" s="1" t="str">
        <f aca="false">IF(OR(NOT(ISNUMBER(R748)),NOT(ISNUMBER(S748))),"Not classified",IF(AND(R748&gt;0,S748&gt;0),"Long buildup (interpretation)",IF(AND(R748&lt;0,S748&gt;0),"Short buildup (interpretation)",IF(AND(R748&gt;0,S748&lt;0),"Short covering (interpretation)",IF(AND(R748&lt;0,S748&lt;0),"Long unwinding (interpretation)","Neutral")))))</f>
        <v>Long buildup (interpretation)</v>
      </c>
      <c r="V748" s="52" t="str">
        <f aca="false">TEXT(B748,"yyyy-mm")</f>
        <v>2025-12</v>
      </c>
      <c r="W748" s="52" t="n">
        <f aca="false">1+COUNTIFS($B$2:$B$756,B748,$C$2:$C$756,"&lt;"&amp;C748)</f>
        <v>3</v>
      </c>
      <c r="X748" s="53" t="n">
        <f aca="false">IF(AND(ISNUMBER(P748),Q748&gt;0),P748*365/Q748,"")</f>
        <v>0.0765981272698676</v>
      </c>
      <c r="Y748" s="42" t="n">
        <f aca="false">IF(AND(C749=C748,ISNUMBER(R749)),R749,"")</f>
        <v>0.698023280101778</v>
      </c>
      <c r="Z748" s="52" t="n">
        <f aca="false">IF(AND(W748=1,Q748&gt;Basis_Analysis!$B$3,ISNUMBER(Y748)),1,0)</f>
        <v>0</v>
      </c>
      <c r="AA748" s="43" t="str">
        <f aca="false">IF(W748=1,IF(SUMIFS($L$2:$L$756,$B$2:$B$756,B748,$W$2:$W$756,2)&gt;0,SUMIFS($L$2:$L$756,$B$2:$B$756,B748,$W$2:$W$756,2),""),"")</f>
        <v/>
      </c>
      <c r="AB748" s="54" t="str">
        <f aca="false">IF(AND(W748=1,ISNUMBER(AA748)),L748/(L748+AA748),"")</f>
        <v/>
      </c>
    </row>
    <row r="749" customFormat="false" ht="15" hidden="false" customHeight="true" outlineLevel="0" collapsed="false">
      <c r="A749" s="1" t="s">
        <v>274</v>
      </c>
      <c r="B749" s="46" t="n">
        <v>46013</v>
      </c>
      <c r="C749" s="46" t="n">
        <v>46077</v>
      </c>
      <c r="D749" s="47" t="n">
        <v>26400</v>
      </c>
      <c r="E749" s="47" t="n">
        <v>26521</v>
      </c>
      <c r="F749" s="47" t="n">
        <v>26399.9</v>
      </c>
      <c r="G749" s="47" t="n">
        <v>26515.3</v>
      </c>
      <c r="H749" s="47" t="n">
        <v>26521</v>
      </c>
      <c r="I749" s="47" t="n">
        <v>26515.3</v>
      </c>
      <c r="J749" s="48" t="n">
        <v>2204</v>
      </c>
      <c r="K749" s="47" t="n">
        <v>37945.49</v>
      </c>
      <c r="L749" s="48" t="n">
        <v>651950</v>
      </c>
      <c r="M749" s="48" t="n">
        <v>37960</v>
      </c>
      <c r="N749" s="47" t="n">
        <v>26172.4</v>
      </c>
      <c r="O749" s="47" t="n">
        <f aca="false">IF(AND(ISNUMBER(G749),ISNUMBER(N749)),G749-N749,"")</f>
        <v>342.899999999998</v>
      </c>
      <c r="P749" s="49" t="n">
        <f aca="false">IF(ISNUMBER(O749),O749/N749,"")</f>
        <v>0.0131015879323256</v>
      </c>
      <c r="Q749" s="50" t="n">
        <f aca="false">C749-B749</f>
        <v>64</v>
      </c>
      <c r="R749" s="51" t="n">
        <f aca="false">IF(AND(C749=C748,ISNUMBER(G749),ISNUMBER(G748)),(G749/G748-1)*100,"")</f>
        <v>0.698023280101778</v>
      </c>
      <c r="S749" s="51" t="n">
        <f aca="false">IF(AND(C749=C748,ISNUMBER(L749),ISNUMBER(L748)),(L749/L748-1)*100,"")</f>
        <v>6.18251111581623</v>
      </c>
      <c r="T749" s="51" t="n">
        <f aca="false">IF(AND(C749=C748,ISNUMBER(G749),ISNUMBER(G748)),G749-G748,"")</f>
        <v>183.799999999999</v>
      </c>
      <c r="U749" s="1" t="str">
        <f aca="false">IF(OR(NOT(ISNUMBER(R749)),NOT(ISNUMBER(S749))),"Not classified",IF(AND(R749&gt;0,S749&gt;0),"Long buildup (interpretation)",IF(AND(R749&lt;0,S749&gt;0),"Short buildup (interpretation)",IF(AND(R749&gt;0,S749&lt;0),"Short covering (interpretation)",IF(AND(R749&lt;0,S749&lt;0),"Long unwinding (interpretation)","Neutral")))))</f>
        <v>Long buildup (interpretation)</v>
      </c>
      <c r="V749" s="52" t="str">
        <f aca="false">TEXT(B749,"yyyy-mm")</f>
        <v>2025-12</v>
      </c>
      <c r="W749" s="52" t="n">
        <f aca="false">1+COUNTIFS($B$2:$B$756,B749,$C$2:$C$756,"&lt;"&amp;C749)</f>
        <v>3</v>
      </c>
      <c r="X749" s="53" t="n">
        <f aca="false">IF(AND(ISNUMBER(P749),Q749&gt;0),P749*365/Q749,"")</f>
        <v>0.0747199936765443</v>
      </c>
      <c r="Y749" s="42" t="n">
        <f aca="false">IF(AND(C750=C749,ISNUMBER(R750)),R750,"")</f>
        <v>0.0791995564824788</v>
      </c>
      <c r="Z749" s="52" t="n">
        <f aca="false">IF(AND(W749=1,Q749&gt;Basis_Analysis!$B$3,ISNUMBER(Y749)),1,0)</f>
        <v>0</v>
      </c>
      <c r="AA749" s="43" t="str">
        <f aca="false">IF(W749=1,IF(SUMIFS($L$2:$L$756,$B$2:$B$756,B749,$W$2:$W$756,2)&gt;0,SUMIFS($L$2:$L$756,$B$2:$B$756,B749,$W$2:$W$756,2),""),"")</f>
        <v/>
      </c>
      <c r="AB749" s="54" t="str">
        <f aca="false">IF(AND(W749=1,ISNUMBER(AA749)),L749/(L749+AA749),"")</f>
        <v/>
      </c>
    </row>
    <row r="750" customFormat="false" ht="15" hidden="false" customHeight="true" outlineLevel="0" collapsed="false">
      <c r="A750" s="1" t="s">
        <v>274</v>
      </c>
      <c r="B750" s="46" t="n">
        <v>46014</v>
      </c>
      <c r="C750" s="46" t="n">
        <v>46077</v>
      </c>
      <c r="D750" s="47" t="n">
        <v>26545</v>
      </c>
      <c r="E750" s="47" t="n">
        <v>26585</v>
      </c>
      <c r="F750" s="47" t="n">
        <v>26491</v>
      </c>
      <c r="G750" s="47" t="n">
        <v>26536.3</v>
      </c>
      <c r="H750" s="47" t="n">
        <v>26531</v>
      </c>
      <c r="I750" s="47" t="n">
        <v>26536.3</v>
      </c>
      <c r="J750" s="48" t="n">
        <v>1917</v>
      </c>
      <c r="K750" s="47" t="n">
        <v>33073.11</v>
      </c>
      <c r="L750" s="48" t="n">
        <v>677690</v>
      </c>
      <c r="M750" s="48" t="n">
        <v>25740</v>
      </c>
      <c r="N750" s="47" t="n">
        <v>26177.15</v>
      </c>
      <c r="O750" s="47" t="n">
        <f aca="false">IF(AND(ISNUMBER(G750),ISNUMBER(N750)),G750-N750,"")</f>
        <v>359.149999999998</v>
      </c>
      <c r="P750" s="49" t="n">
        <f aca="false">IF(ISNUMBER(O750),O750/N750,"")</f>
        <v>0.0137199809757746</v>
      </c>
      <c r="Q750" s="50" t="n">
        <f aca="false">C750-B750</f>
        <v>63</v>
      </c>
      <c r="R750" s="51" t="n">
        <f aca="false">IF(AND(C750=C749,ISNUMBER(G750),ISNUMBER(G749)),(G750/G749-1)*100,"")</f>
        <v>0.0791995564824788</v>
      </c>
      <c r="S750" s="51" t="n">
        <f aca="false">IF(AND(C750=C749,ISNUMBER(L750),ISNUMBER(L749)),(L750/L749-1)*100,"")</f>
        <v>3.9481555333998</v>
      </c>
      <c r="T750" s="51" t="n">
        <f aca="false">IF(AND(C750=C749,ISNUMBER(G750),ISNUMBER(G749)),G750-G749,"")</f>
        <v>21</v>
      </c>
      <c r="U750" s="1" t="str">
        <f aca="false">IF(OR(NOT(ISNUMBER(R750)),NOT(ISNUMBER(S750))),"Not classified",IF(AND(R750&gt;0,S750&gt;0),"Long buildup (interpretation)",IF(AND(R750&lt;0,S750&gt;0),"Short buildup (interpretation)",IF(AND(R750&gt;0,S750&lt;0),"Short covering (interpretation)",IF(AND(R750&lt;0,S750&lt;0),"Long unwinding (interpretation)","Neutral")))))</f>
        <v>Long buildup (interpretation)</v>
      </c>
      <c r="V750" s="52" t="str">
        <f aca="false">TEXT(B750,"yyyy-mm")</f>
        <v>2025-12</v>
      </c>
      <c r="W750" s="52" t="n">
        <f aca="false">1+COUNTIFS($B$2:$B$756,B750,$C$2:$C$756,"&lt;"&amp;C750)</f>
        <v>3</v>
      </c>
      <c r="X750" s="53" t="n">
        <f aca="false">IF(AND(ISNUMBER(P750),Q750&gt;0),P750*365/Q750,"")</f>
        <v>0.0794887786691702</v>
      </c>
      <c r="Y750" s="42" t="n">
        <f aca="false">IF(AND(C751=C750,ISNUMBER(R751)),R751,"")</f>
        <v>-0.142069542475787</v>
      </c>
      <c r="Z750" s="52" t="n">
        <f aca="false">IF(AND(W750=1,Q750&gt;Basis_Analysis!$B$3,ISNUMBER(Y750)),1,0)</f>
        <v>0</v>
      </c>
      <c r="AA750" s="43" t="str">
        <f aca="false">IF(W750=1,IF(SUMIFS($L$2:$L$756,$B$2:$B$756,B750,$W$2:$W$756,2)&gt;0,SUMIFS($L$2:$L$756,$B$2:$B$756,B750,$W$2:$W$756,2),""),"")</f>
        <v/>
      </c>
      <c r="AB750" s="54" t="str">
        <f aca="false">IF(AND(W750=1,ISNUMBER(AA750)),L750/(L750+AA750),"")</f>
        <v/>
      </c>
    </row>
    <row r="751" customFormat="false" ht="15" hidden="false" customHeight="true" outlineLevel="0" collapsed="false">
      <c r="A751" s="1" t="s">
        <v>274</v>
      </c>
      <c r="B751" s="46" t="n">
        <v>46015</v>
      </c>
      <c r="C751" s="46" t="n">
        <v>46077</v>
      </c>
      <c r="D751" s="47" t="n">
        <v>26600</v>
      </c>
      <c r="E751" s="47" t="n">
        <v>26600</v>
      </c>
      <c r="F751" s="47" t="n">
        <v>26481.2</v>
      </c>
      <c r="G751" s="47" t="n">
        <v>26498.6</v>
      </c>
      <c r="H751" s="47" t="n">
        <v>26494.8</v>
      </c>
      <c r="I751" s="47" t="n">
        <v>26498.6</v>
      </c>
      <c r="J751" s="48" t="n">
        <v>1851</v>
      </c>
      <c r="K751" s="47" t="n">
        <v>31930.39</v>
      </c>
      <c r="L751" s="48" t="n">
        <v>716885</v>
      </c>
      <c r="M751" s="48" t="n">
        <v>39195</v>
      </c>
      <c r="N751" s="47" t="n">
        <v>26142.1</v>
      </c>
      <c r="O751" s="47" t="n">
        <f aca="false">IF(AND(ISNUMBER(G751),ISNUMBER(N751)),G751-N751,"")</f>
        <v>356.5</v>
      </c>
      <c r="P751" s="49" t="n">
        <f aca="false">IF(ISNUMBER(O751),O751/N751,"")</f>
        <v>0.013637006973426</v>
      </c>
      <c r="Q751" s="50" t="n">
        <f aca="false">C751-B751</f>
        <v>62</v>
      </c>
      <c r="R751" s="51" t="n">
        <f aca="false">IF(AND(C751=C750,ISNUMBER(G751),ISNUMBER(G750)),(G751/G750-1)*100,"")</f>
        <v>-0.142069542475787</v>
      </c>
      <c r="S751" s="51" t="n">
        <f aca="false">IF(AND(C751=C750,ISNUMBER(L751),ISNUMBER(L750)),(L751/L750-1)*100,"")</f>
        <v>5.78361787838098</v>
      </c>
      <c r="T751" s="51" t="n">
        <f aca="false">IF(AND(C751=C750,ISNUMBER(G751),ISNUMBER(G750)),G751-G750,"")</f>
        <v>-37.7000000000007</v>
      </c>
      <c r="U751" s="1" t="str">
        <f aca="false">IF(OR(NOT(ISNUMBER(R751)),NOT(ISNUMBER(S751))),"Not classified",IF(AND(R751&gt;0,S751&gt;0),"Long buildup (interpretation)",IF(AND(R751&lt;0,S751&gt;0),"Short buildup (interpretation)",IF(AND(R751&gt;0,S751&lt;0),"Short covering (interpretation)",IF(AND(R751&lt;0,S751&lt;0),"Long unwinding (interpretation)","Neutral")))))</f>
        <v>Short buildup (interpretation)</v>
      </c>
      <c r="V751" s="52" t="str">
        <f aca="false">TEXT(B751,"yyyy-mm")</f>
        <v>2025-12</v>
      </c>
      <c r="W751" s="52" t="n">
        <f aca="false">1+COUNTIFS($B$2:$B$756,B751,$C$2:$C$756,"&lt;"&amp;C751)</f>
        <v>3</v>
      </c>
      <c r="X751" s="53" t="n">
        <f aca="false">IF(AND(ISNUMBER(P751),Q751&gt;0),P751*365/Q751,"")</f>
        <v>0.0802823797629112</v>
      </c>
      <c r="Y751" s="42" t="n">
        <f aca="false">IF(AND(C752=C751,ISNUMBER(R752)),R752,"")</f>
        <v>-0.488705063663741</v>
      </c>
      <c r="Z751" s="52" t="n">
        <f aca="false">IF(AND(W751=1,Q751&gt;Basis_Analysis!$B$3,ISNUMBER(Y751)),1,0)</f>
        <v>0</v>
      </c>
      <c r="AA751" s="43" t="str">
        <f aca="false">IF(W751=1,IF(SUMIFS($L$2:$L$756,$B$2:$B$756,B751,$W$2:$W$756,2)&gt;0,SUMIFS($L$2:$L$756,$B$2:$B$756,B751,$W$2:$W$756,2),""),"")</f>
        <v/>
      </c>
      <c r="AB751" s="54" t="str">
        <f aca="false">IF(AND(W751=1,ISNUMBER(AA751)),L751/(L751+AA751),"")</f>
        <v/>
      </c>
    </row>
    <row r="752" customFormat="false" ht="15" hidden="false" customHeight="true" outlineLevel="0" collapsed="false">
      <c r="A752" s="1" t="s">
        <v>274</v>
      </c>
      <c r="B752" s="46" t="n">
        <v>46017</v>
      </c>
      <c r="C752" s="46" t="n">
        <v>46077</v>
      </c>
      <c r="D752" s="47" t="n">
        <v>26461</v>
      </c>
      <c r="E752" s="47" t="n">
        <v>26469</v>
      </c>
      <c r="F752" s="47" t="n">
        <v>26353.6</v>
      </c>
      <c r="G752" s="47" t="n">
        <v>26369.1</v>
      </c>
      <c r="H752" s="47" t="n">
        <v>26367</v>
      </c>
      <c r="I752" s="47" t="n">
        <v>26369.1</v>
      </c>
      <c r="J752" s="48" t="n">
        <v>3215</v>
      </c>
      <c r="K752" s="47" t="n">
        <v>55148.47</v>
      </c>
      <c r="L752" s="48" t="n">
        <v>785135</v>
      </c>
      <c r="M752" s="48" t="n">
        <v>68250</v>
      </c>
      <c r="N752" s="47" t="n">
        <v>26042.3</v>
      </c>
      <c r="O752" s="47" t="n">
        <f aca="false">IF(AND(ISNUMBER(G752),ISNUMBER(N752)),G752-N752,"")</f>
        <v>326.799999999999</v>
      </c>
      <c r="P752" s="49" t="n">
        <f aca="false">IF(ISNUMBER(O752),O752/N752,"")</f>
        <v>0.0125488148128237</v>
      </c>
      <c r="Q752" s="50" t="n">
        <f aca="false">C752-B752</f>
        <v>60</v>
      </c>
      <c r="R752" s="51" t="n">
        <f aca="false">IF(AND(C752=C751,ISNUMBER(G752),ISNUMBER(G751)),(G752/G751-1)*100,"")</f>
        <v>-0.488705063663741</v>
      </c>
      <c r="S752" s="51" t="n">
        <f aca="false">IF(AND(C752=C751,ISNUMBER(L752),ISNUMBER(L751)),(L752/L751-1)*100,"")</f>
        <v>9.52035542660259</v>
      </c>
      <c r="T752" s="51" t="n">
        <f aca="false">IF(AND(C752=C751,ISNUMBER(G752),ISNUMBER(G751)),G752-G751,"")</f>
        <v>-129.5</v>
      </c>
      <c r="U752" s="1" t="str">
        <f aca="false">IF(OR(NOT(ISNUMBER(R752)),NOT(ISNUMBER(S752))),"Not classified",IF(AND(R752&gt;0,S752&gt;0),"Long buildup (interpretation)",IF(AND(R752&lt;0,S752&gt;0),"Short buildup (interpretation)",IF(AND(R752&gt;0,S752&lt;0),"Short covering (interpretation)",IF(AND(R752&lt;0,S752&lt;0),"Long unwinding (interpretation)","Neutral")))))</f>
        <v>Short buildup (interpretation)</v>
      </c>
      <c r="V752" s="52" t="str">
        <f aca="false">TEXT(B752,"yyyy-mm")</f>
        <v>2025-12</v>
      </c>
      <c r="W752" s="52" t="n">
        <f aca="false">1+COUNTIFS($B$2:$B$756,B752,$C$2:$C$756,"&lt;"&amp;C752)</f>
        <v>3</v>
      </c>
      <c r="X752" s="53" t="n">
        <f aca="false">IF(AND(ISNUMBER(P752),Q752&gt;0),P752*365/Q752,"")</f>
        <v>0.0763386234446777</v>
      </c>
      <c r="Y752" s="42" t="n">
        <f aca="false">IF(AND(C753=C752,ISNUMBER(R753)),R753,"")</f>
        <v>-0.393263327151849</v>
      </c>
      <c r="Z752" s="52" t="n">
        <f aca="false">IF(AND(W752=1,Q752&gt;Basis_Analysis!$B$3,ISNUMBER(Y752)),1,0)</f>
        <v>0</v>
      </c>
      <c r="AA752" s="43" t="str">
        <f aca="false">IF(W752=1,IF(SUMIFS($L$2:$L$756,$B$2:$B$756,B752,$W$2:$W$756,2)&gt;0,SUMIFS($L$2:$L$756,$B$2:$B$756,B752,$W$2:$W$756,2),""),"")</f>
        <v/>
      </c>
      <c r="AB752" s="54" t="str">
        <f aca="false">IF(AND(W752=1,ISNUMBER(AA752)),L752/(L752+AA752),"")</f>
        <v/>
      </c>
    </row>
    <row r="753" customFormat="false" ht="15" hidden="false" customHeight="true" outlineLevel="0" collapsed="false">
      <c r="A753" s="1" t="s">
        <v>274</v>
      </c>
      <c r="B753" s="46" t="n">
        <v>46020</v>
      </c>
      <c r="C753" s="46" t="n">
        <v>46077</v>
      </c>
      <c r="D753" s="47" t="n">
        <v>26370</v>
      </c>
      <c r="E753" s="47" t="n">
        <v>26409.3</v>
      </c>
      <c r="F753" s="47" t="n">
        <v>26245.1</v>
      </c>
      <c r="G753" s="47" t="n">
        <v>26265.4</v>
      </c>
      <c r="H753" s="47" t="n">
        <v>26265</v>
      </c>
      <c r="I753" s="47" t="n">
        <v>26265.4</v>
      </c>
      <c r="J753" s="48" t="n">
        <v>4869</v>
      </c>
      <c r="K753" s="47" t="n">
        <v>83229.73</v>
      </c>
      <c r="L753" s="48" t="n">
        <v>942760</v>
      </c>
      <c r="M753" s="48" t="n">
        <v>157625</v>
      </c>
      <c r="N753" s="47" t="n">
        <v>25942.1</v>
      </c>
      <c r="O753" s="47" t="n">
        <f aca="false">IF(AND(ISNUMBER(G753),ISNUMBER(N753)),G753-N753,"")</f>
        <v>323.300000000003</v>
      </c>
      <c r="P753" s="49" t="n">
        <f aca="false">IF(ISNUMBER(O753),O753/N753,"")</f>
        <v>0.0124623681197745</v>
      </c>
      <c r="Q753" s="50" t="n">
        <f aca="false">C753-B753</f>
        <v>57</v>
      </c>
      <c r="R753" s="51" t="n">
        <f aca="false">IF(AND(C753=C752,ISNUMBER(G753),ISNUMBER(G752)),(G753/G752-1)*100,"")</f>
        <v>-0.393263327151849</v>
      </c>
      <c r="S753" s="51" t="n">
        <f aca="false">IF(AND(C753=C752,ISNUMBER(L753),ISNUMBER(L752)),(L753/L752-1)*100,"")</f>
        <v>20.0761652454673</v>
      </c>
      <c r="T753" s="51" t="n">
        <f aca="false">IF(AND(C753=C752,ISNUMBER(G753),ISNUMBER(G752)),G753-G752,"")</f>
        <v>-103.699999999997</v>
      </c>
      <c r="U753" s="1" t="str">
        <f aca="false">IF(OR(NOT(ISNUMBER(R753)),NOT(ISNUMBER(S753))),"Not classified",IF(AND(R753&gt;0,S753&gt;0),"Long buildup (interpretation)",IF(AND(R753&lt;0,S753&gt;0),"Short buildup (interpretation)",IF(AND(R753&gt;0,S753&lt;0),"Short covering (interpretation)",IF(AND(R753&lt;0,S753&lt;0),"Long unwinding (interpretation)","Neutral")))))</f>
        <v>Short buildup (interpretation)</v>
      </c>
      <c r="V753" s="52" t="str">
        <f aca="false">TEXT(B753,"yyyy-mm")</f>
        <v>2025-12</v>
      </c>
      <c r="W753" s="52" t="n">
        <f aca="false">1+COUNTIFS($B$2:$B$756,B753,$C$2:$C$756,"&lt;"&amp;C753)</f>
        <v>3</v>
      </c>
      <c r="X753" s="53" t="n">
        <f aca="false">IF(AND(ISNUMBER(P753),Q753&gt;0),P753*365/Q753,"")</f>
        <v>0.0798028835739948</v>
      </c>
      <c r="Y753" s="42" t="n">
        <f aca="false">IF(AND(C754=C753,ISNUMBER(R754)),R754,"")</f>
        <v>-0.0266510313949198</v>
      </c>
      <c r="Z753" s="52" t="n">
        <f aca="false">IF(AND(W753=1,Q753&gt;Basis_Analysis!$B$3,ISNUMBER(Y753)),1,0)</f>
        <v>0</v>
      </c>
      <c r="AA753" s="43" t="str">
        <f aca="false">IF(W753=1,IF(SUMIFS($L$2:$L$756,$B$2:$B$756,B753,$W$2:$W$756,2)&gt;0,SUMIFS($L$2:$L$756,$B$2:$B$756,B753,$W$2:$W$756,2),""),"")</f>
        <v/>
      </c>
      <c r="AB753" s="54" t="str">
        <f aca="false">IF(AND(W753=1,ISNUMBER(AA753)),L753/(L753+AA753),"")</f>
        <v/>
      </c>
    </row>
    <row r="754" customFormat="false" ht="15" hidden="false" customHeight="true" outlineLevel="0" collapsed="false">
      <c r="A754" s="1" t="s">
        <v>274</v>
      </c>
      <c r="B754" s="46" t="n">
        <v>46021</v>
      </c>
      <c r="C754" s="46" t="n">
        <v>46077</v>
      </c>
      <c r="D754" s="47" t="n">
        <v>26240</v>
      </c>
      <c r="E754" s="47" t="n">
        <v>26285.1</v>
      </c>
      <c r="F754" s="47" t="n">
        <v>26185</v>
      </c>
      <c r="G754" s="47" t="n">
        <v>26258.4</v>
      </c>
      <c r="H754" s="47" t="n">
        <v>26276.8</v>
      </c>
      <c r="I754" s="47" t="n">
        <v>26258.4</v>
      </c>
      <c r="J754" s="48" t="n">
        <v>5461</v>
      </c>
      <c r="K754" s="47" t="n">
        <v>93106.29</v>
      </c>
      <c r="L754" s="48" t="n">
        <v>1148615</v>
      </c>
      <c r="M754" s="48" t="n">
        <v>205855</v>
      </c>
      <c r="N754" s="47" t="n">
        <v>25938.85</v>
      </c>
      <c r="O754" s="47" t="n">
        <f aca="false">IF(AND(ISNUMBER(G754),ISNUMBER(N754)),G754-N754,"")</f>
        <v>319.550000000003</v>
      </c>
      <c r="P754" s="49" t="n">
        <f aca="false">IF(ISNUMBER(O754),O754/N754,"")</f>
        <v>0.0123193587996385</v>
      </c>
      <c r="Q754" s="50" t="n">
        <f aca="false">C754-B754</f>
        <v>56</v>
      </c>
      <c r="R754" s="51" t="n">
        <f aca="false">IF(AND(C754=C753,ISNUMBER(G754),ISNUMBER(G753)),(G754/G753-1)*100,"")</f>
        <v>-0.0266510313949198</v>
      </c>
      <c r="S754" s="51" t="n">
        <f aca="false">IF(AND(C754=C753,ISNUMBER(L754),ISNUMBER(L753)),(L754/L753-1)*100,"")</f>
        <v>21.8353557639272</v>
      </c>
      <c r="T754" s="51" t="n">
        <f aca="false">IF(AND(C754=C753,ISNUMBER(G754),ISNUMBER(G753)),G754-G753,"")</f>
        <v>-7</v>
      </c>
      <c r="U754" s="1" t="str">
        <f aca="false">IF(OR(NOT(ISNUMBER(R754)),NOT(ISNUMBER(S754))),"Not classified",IF(AND(R754&gt;0,S754&gt;0),"Long buildup (interpretation)",IF(AND(R754&lt;0,S754&gt;0),"Short buildup (interpretation)",IF(AND(R754&gt;0,S754&lt;0),"Short covering (interpretation)",IF(AND(R754&lt;0,S754&lt;0),"Long unwinding (interpretation)","Neutral")))))</f>
        <v>Short buildup (interpretation)</v>
      </c>
      <c r="V754" s="52" t="str">
        <f aca="false">TEXT(B754,"yyyy-mm")</f>
        <v>2025-12</v>
      </c>
      <c r="W754" s="52" t="n">
        <f aca="false">1+COUNTIFS($B$2:$B$756,B754,$C$2:$C$756,"&lt;"&amp;C754)</f>
        <v>3</v>
      </c>
      <c r="X754" s="53" t="n">
        <f aca="false">IF(AND(ISNUMBER(P754),Q754&gt;0),P754*365/Q754,"")</f>
        <v>0.0802958207476438</v>
      </c>
      <c r="Y754" s="42" t="n">
        <f aca="false">IF(AND(C755=C754,ISNUMBER(R755)),R755,"")</f>
        <v>0.683971605276779</v>
      </c>
      <c r="Z754" s="52" t="n">
        <f aca="false">IF(AND(W754=1,Q754&gt;Basis_Analysis!$B$3,ISNUMBER(Y754)),1,0)</f>
        <v>0</v>
      </c>
      <c r="AA754" s="43" t="str">
        <f aca="false">IF(W754=1,IF(SUMIFS($L$2:$L$756,$B$2:$B$756,B754,$W$2:$W$756,2)&gt;0,SUMIFS($L$2:$L$756,$B$2:$B$756,B754,$W$2:$W$756,2),""),"")</f>
        <v/>
      </c>
      <c r="AB754" s="54" t="str">
        <f aca="false">IF(AND(W754=1,ISNUMBER(AA754)),L754/(L754+AA754),"")</f>
        <v/>
      </c>
    </row>
    <row r="755" customFormat="false" ht="15" hidden="false" customHeight="true" outlineLevel="0" collapsed="false">
      <c r="A755" s="1" t="s">
        <v>274</v>
      </c>
      <c r="B755" s="46" t="n">
        <v>46022</v>
      </c>
      <c r="C755" s="46" t="n">
        <v>46077</v>
      </c>
      <c r="D755" s="47" t="n">
        <v>26299.9</v>
      </c>
      <c r="E755" s="47" t="n">
        <v>26460</v>
      </c>
      <c r="F755" s="47" t="n">
        <v>26275</v>
      </c>
      <c r="G755" s="47" t="n">
        <v>26438</v>
      </c>
      <c r="H755" s="47" t="n">
        <v>26444</v>
      </c>
      <c r="I755" s="47" t="n">
        <v>26438</v>
      </c>
      <c r="J755" s="48" t="n">
        <v>5097</v>
      </c>
      <c r="K755" s="47" t="n">
        <v>87400.49</v>
      </c>
      <c r="L755" s="48" t="n">
        <v>1195610</v>
      </c>
      <c r="M755" s="48" t="n">
        <v>46995</v>
      </c>
      <c r="N755" s="47" t="n">
        <v>26129.6</v>
      </c>
      <c r="O755" s="47" t="n">
        <f aca="false">IF(AND(ISNUMBER(G755),ISNUMBER(N755)),G755-N755,"")</f>
        <v>308.400000000001</v>
      </c>
      <c r="P755" s="49" t="n">
        <f aca="false">IF(ISNUMBER(O755),O755/N755,"")</f>
        <v>0.0118027065090932</v>
      </c>
      <c r="Q755" s="50" t="n">
        <f aca="false">C755-B755</f>
        <v>55</v>
      </c>
      <c r="R755" s="51" t="n">
        <f aca="false">IF(AND(C755=C754,ISNUMBER(G755),ISNUMBER(G754)),(G755/G754-1)*100,"")</f>
        <v>0.683971605276779</v>
      </c>
      <c r="S755" s="51" t="n">
        <f aca="false">IF(AND(C755=C754,ISNUMBER(L755),ISNUMBER(L754)),(L755/L754-1)*100,"")</f>
        <v>4.0914492671609</v>
      </c>
      <c r="T755" s="51" t="n">
        <f aca="false">IF(AND(C755=C754,ISNUMBER(G755),ISNUMBER(G754)),G755-G754,"")</f>
        <v>179.599999999999</v>
      </c>
      <c r="U755" s="1" t="str">
        <f aca="false">IF(OR(NOT(ISNUMBER(R755)),NOT(ISNUMBER(S755))),"Not classified",IF(AND(R755&gt;0,S755&gt;0),"Long buildup (interpretation)",IF(AND(R755&lt;0,S755&gt;0),"Short buildup (interpretation)",IF(AND(R755&gt;0,S755&lt;0),"Short covering (interpretation)",IF(AND(R755&lt;0,S755&lt;0),"Long unwinding (interpretation)","Neutral")))))</f>
        <v>Long buildup (interpretation)</v>
      </c>
      <c r="V755" s="52" t="str">
        <f aca="false">TEXT(B755,"yyyy-mm")</f>
        <v>2025-12</v>
      </c>
      <c r="W755" s="52" t="n">
        <f aca="false">1+COUNTIFS($B$2:$B$756,B755,$C$2:$C$756,"&lt;"&amp;C755)</f>
        <v>2</v>
      </c>
      <c r="X755" s="53" t="n">
        <f aca="false">IF(AND(ISNUMBER(P755),Q755&gt;0),P755*365/Q755,"")</f>
        <v>0.0783270522876185</v>
      </c>
      <c r="Y755" s="42" t="str">
        <f aca="false">IF(AND(C756=C755,ISNUMBER(R756)),R756,"")</f>
        <v/>
      </c>
      <c r="Z755" s="52" t="n">
        <f aca="false">IF(AND(W755=1,Q755&gt;Basis_Analysis!$B$3,ISNUMBER(Y755)),1,0)</f>
        <v>0</v>
      </c>
      <c r="AA755" s="43" t="str">
        <f aca="false">IF(W755=1,IF(SUMIFS($L$2:$L$756,$B$2:$B$756,B755,$W$2:$W$756,2)&gt;0,SUMIFS($L$2:$L$756,$B$2:$B$756,B755,$W$2:$W$756,2),""),"")</f>
        <v/>
      </c>
      <c r="AB755" s="54" t="str">
        <f aca="false">IF(AND(W755=1,ISNUMBER(AA755)),L755/(L755+AA755),"")</f>
        <v/>
      </c>
    </row>
    <row r="756" customFormat="false" ht="15" hidden="false" customHeight="true" outlineLevel="0" collapsed="false">
      <c r="A756" s="1" t="s">
        <v>274</v>
      </c>
      <c r="B756" s="46" t="n">
        <v>46022</v>
      </c>
      <c r="C756" s="46" t="n">
        <v>46111</v>
      </c>
      <c r="D756" s="47" t="n">
        <v>26428.7</v>
      </c>
      <c r="E756" s="47" t="n">
        <v>26641</v>
      </c>
      <c r="F756" s="47" t="n">
        <v>26397.9</v>
      </c>
      <c r="G756" s="47" t="n">
        <v>26617.1</v>
      </c>
      <c r="H756" s="47" t="n">
        <v>26622</v>
      </c>
      <c r="I756" s="47" t="n">
        <v>26617.1</v>
      </c>
      <c r="J756" s="48" t="n">
        <v>2553</v>
      </c>
      <c r="K756" s="47" t="n">
        <v>44044.59</v>
      </c>
      <c r="L756" s="48" t="n">
        <v>138515</v>
      </c>
      <c r="M756" s="48" t="n">
        <v>138515</v>
      </c>
      <c r="N756" s="47" t="n">
        <v>26129.6</v>
      </c>
      <c r="O756" s="47" t="n">
        <f aca="false">IF(AND(ISNUMBER(G756),ISNUMBER(N756)),G756-N756,"")</f>
        <v>487.5</v>
      </c>
      <c r="P756" s="49" t="n">
        <f aca="false">IF(ISNUMBER(O756),O756/N756,"")</f>
        <v>0.0186570020206968</v>
      </c>
      <c r="Q756" s="50" t="n">
        <f aca="false">C756-B756</f>
        <v>89</v>
      </c>
      <c r="R756" s="51" t="str">
        <f aca="false">IF(AND(C756=C755,ISNUMBER(G756),ISNUMBER(G755)),(G756/G755-1)*100,"")</f>
        <v/>
      </c>
      <c r="S756" s="51" t="str">
        <f aca="false">IF(AND(C756=C755,ISNUMBER(L756),ISNUMBER(L755)),(L756/L755-1)*100,"")</f>
        <v/>
      </c>
      <c r="T756" s="51" t="str">
        <f aca="false">IF(AND(C756=C755,ISNUMBER(G756),ISNUMBER(G755)),G756-G755,"")</f>
        <v/>
      </c>
      <c r="U756" s="1" t="str">
        <f aca="false">IF(OR(NOT(ISNUMBER(R756)),NOT(ISNUMBER(S756))),"Not classified",IF(AND(R756&gt;0,S756&gt;0),"Long buildup (interpretation)",IF(AND(R756&lt;0,S756&gt;0),"Short buildup (interpretation)",IF(AND(R756&gt;0,S756&lt;0),"Short covering (interpretation)",IF(AND(R756&lt;0,S756&lt;0),"Long unwinding (interpretation)","Neutral")))))</f>
        <v>Not classified</v>
      </c>
      <c r="V756" s="52" t="str">
        <f aca="false">TEXT(B756,"yyyy-mm")</f>
        <v>2025-12</v>
      </c>
      <c r="W756" s="52" t="n">
        <f aca="false">1+COUNTIFS($B$2:$B$756,B756,$C$2:$C$756,"&lt;"&amp;C756)</f>
        <v>3</v>
      </c>
      <c r="X756" s="53" t="n">
        <f aca="false">IF(AND(ISNUMBER(P756),Q756&gt;0),P756*365/Q756,"")</f>
        <v>0.0765146712084758</v>
      </c>
      <c r="Y756" s="42" t="str">
        <f aca="false">IF(AND(C757=C756,ISNUMBER(R757)),R757,"")</f>
        <v/>
      </c>
      <c r="Z756" s="52" t="n">
        <f aca="false">IF(AND(W756=1,Q756&gt;Basis_Analysis!$B$3,ISNUMBER(Y756)),1,0)</f>
        <v>0</v>
      </c>
      <c r="AA756" s="43" t="str">
        <f aca="false">IF(W756=1,IF(SUMIFS($L$2:$L$756,$B$2:$B$756,B756,$W$2:$W$756,2)&gt;0,SUMIFS($L$2:$L$756,$B$2:$B$756,B756,$W$2:$W$756,2),""),"")</f>
        <v/>
      </c>
      <c r="AB756" s="54" t="str">
        <f aca="false">IF(AND(W756=1,ISNUMBER(AA756)),L756/(L756+AA756),"")</f>
        <v/>
      </c>
    </row>
  </sheetData>
  <autoFilter ref="A1:AB7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2026-09-21T08:26:05Z</dcterms:created>
  <dc:creator>openpyxl</dc:creator>
  <dc:description/>
  <dc:language>en-US</dc:language>
  <cp:lastModifiedBy/>
  <dcterms:modified xsi:type="dcterms:W3CDTF">2026-09-21T16:20:09Z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